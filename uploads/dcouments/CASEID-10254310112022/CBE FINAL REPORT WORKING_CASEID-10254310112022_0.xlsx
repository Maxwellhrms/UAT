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630" tabRatio="897"/>
  </bookViews>
  <sheets>
    <sheet name="R1" sheetId="1" r:id="rId1"/>
    <sheet name="ADAPT" sheetId="2" r:id="rId2"/>
    <sheet name="BALMER" sheetId="3" r:id="rId3"/>
    <sheet name="BDI" sheetId="4" r:id="rId4"/>
    <sheet name="BEST HEAT" sheetId="5" r:id="rId5"/>
    <sheet name="CB STONE" sheetId="6" r:id="rId6"/>
    <sheet name="COIMBATORE MURUGAN" sheetId="7" r:id="rId7"/>
    <sheet name="D P JAIN" sheetId="8" r:id="rId8"/>
    <sheet name="EXCEL" sheetId="9" r:id="rId9"/>
    <sheet name="HINDUSTAN PRODUCT" sheetId="10" r:id="rId10"/>
    <sheet name="HLE ENGG" sheetId="11" r:id="rId11"/>
    <sheet name="HYDAC" sheetId="12" r:id="rId12"/>
    <sheet name="JAY STONE" sheetId="13" r:id="rId13"/>
    <sheet name="JAYCHANDRAN ALLOYS" sheetId="14" r:id="rId14"/>
    <sheet name="KANNAPIRAN" sheetId="15" r:id="rId15"/>
    <sheet name="KRISHNA ENTP" sheetId="16" r:id="rId16"/>
    <sheet name="LARSEN &amp; T " sheetId="17" r:id="rId17"/>
    <sheet name="LINNHOFF" sheetId="18" r:id="rId18"/>
    <sheet name="MARINI" sheetId="19" r:id="rId19"/>
    <sheet name="MOHAMMED JAVED" sheetId="20" r:id="rId20"/>
    <sheet name="N G PROJECTS" sheetId="21" r:id="rId21"/>
    <sheet name="NARENDRA SHARMA" sheetId="22" r:id="rId22"/>
    <sheet name="NATIONAL TEXTILE" sheetId="40" r:id="rId23"/>
    <sheet name="NEELAM STONE" sheetId="23" r:id="rId24"/>
    <sheet name="Sheet3" sheetId="41" r:id="rId25"/>
    <sheet name="ONSHORE" sheetId="24" r:id="rId26"/>
    <sheet name="ORIENTAL" sheetId="25" r:id="rId27"/>
    <sheet name="PENTAFLO" sheetId="26" r:id="rId28"/>
    <sheet name="PRASHANT" sheetId="27" r:id="rId29"/>
    <sheet name="PROPEL" sheetId="28" r:id="rId30"/>
    <sheet name="PUS STONE" sheetId="29" r:id="rId31"/>
    <sheet name="ROSSI GEAR" sheetId="30" r:id="rId32"/>
    <sheet name="SAI ENTP" sheetId="31" r:id="rId33"/>
    <sheet name="SAM TURBO" sheetId="32" r:id="rId34"/>
    <sheet name="SAND STONE" sheetId="33" r:id="rId35"/>
    <sheet name="SANDFITS" sheetId="34" r:id="rId36"/>
    <sheet name="SE FORGE" sheetId="35" r:id="rId37"/>
    <sheet name="SHIVA KRIPA" sheetId="36" r:id="rId38"/>
    <sheet name="SHREE BUILDERS" sheetId="37" r:id="rId39"/>
    <sheet name="Sheet19" sheetId="38" r:id="rId40"/>
    <sheet name="Sheet20" sheetId="39" r:id="rId41"/>
  </sheets>
  <definedNames>
    <definedName name="_xlnm._FilterDatabase" localSheetId="2" hidden="1">BALMER!$A$1:$XEI$365</definedName>
    <definedName name="_xlnm._FilterDatabase" localSheetId="6" hidden="1">'COIMBATORE MURUGAN'!$A$1:$XEI$1</definedName>
    <definedName name="_xlnm._FilterDatabase" localSheetId="11" hidden="1">HYDAC!$A$1:$XEI$94</definedName>
    <definedName name="_xlnm._FilterDatabase" localSheetId="13" hidden="1">'JAYCHANDRAN ALLOYS'!$A$1:$BX$38</definedName>
    <definedName name="_xlnm._FilterDatabase" localSheetId="15" hidden="1">'KRISHNA ENTP'!$A$1:$BV$3</definedName>
    <definedName name="_xlnm._FilterDatabase" localSheetId="16" hidden="1">'LARSEN &amp; T '!$A$1:$BV$126</definedName>
    <definedName name="_xlnm._FilterDatabase" localSheetId="25" hidden="1">ONSHORE!$A$1:$BV$33</definedName>
    <definedName name="_xlnm._FilterDatabase" localSheetId="26" hidden="1">ORIENTAL!$A$1:$BV$40</definedName>
    <definedName name="_xlnm._FilterDatabase" localSheetId="29" hidden="1">PROPEL!$A$1:$BV$293</definedName>
    <definedName name="_xlnm.Print_Area" localSheetId="0">'R1'!$A$1:$M$62</definedName>
    <definedName name="_xlnm.Print_Titles" localSheetId="0">'R1'!$1:$1</definedName>
  </definedNames>
  <calcPr calcId="162913"/>
  <fileRecoveryPr autoRecover="0"/>
</workbook>
</file>

<file path=xl/calcChain.xml><?xml version="1.0" encoding="utf-8"?>
<calcChain xmlns="http://schemas.openxmlformats.org/spreadsheetml/2006/main">
  <c r="D62" i="1" l="1"/>
  <c r="F62" i="1"/>
  <c r="G62" i="1"/>
  <c r="J62" i="1"/>
  <c r="B62" i="1"/>
  <c r="M51" i="1"/>
  <c r="M62" i="1" l="1"/>
  <c r="H39" i="1"/>
  <c r="H6" i="1"/>
  <c r="H3" i="1"/>
  <c r="C3" i="1"/>
  <c r="E3" i="1" s="1"/>
  <c r="I3" i="1" s="1"/>
  <c r="C59" i="1"/>
  <c r="E59" i="1" s="1"/>
  <c r="H58" i="1"/>
  <c r="C58" i="1"/>
  <c r="E58" i="1" s="1"/>
  <c r="C57" i="1"/>
  <c r="E57" i="1" s="1"/>
  <c r="C56" i="1"/>
  <c r="E56" i="1" s="1"/>
  <c r="H55" i="1"/>
  <c r="C55" i="1"/>
  <c r="E55" i="1" s="1"/>
  <c r="C54" i="1"/>
  <c r="E54" i="1" s="1"/>
  <c r="C53" i="1"/>
  <c r="E53" i="1" s="1"/>
  <c r="C51" i="1"/>
  <c r="E51" i="1" s="1"/>
  <c r="H50" i="1"/>
  <c r="C50" i="1"/>
  <c r="E50" i="1" s="1"/>
  <c r="I50" i="1" s="1"/>
  <c r="H47" i="1"/>
  <c r="C47" i="1"/>
  <c r="E47" i="1" s="1"/>
  <c r="I47" i="1" s="1"/>
  <c r="H46" i="1"/>
  <c r="C46" i="1"/>
  <c r="E46" i="1" s="1"/>
  <c r="C44" i="1"/>
  <c r="E44" i="1" s="1"/>
  <c r="C45" i="1"/>
  <c r="E45" i="1" s="1"/>
  <c r="C48" i="1"/>
  <c r="E48" i="1" s="1"/>
  <c r="H41" i="1"/>
  <c r="C41" i="1"/>
  <c r="E41" i="1" s="1"/>
  <c r="H38" i="1"/>
  <c r="C38" i="1"/>
  <c r="E38" i="1" s="1"/>
  <c r="H33" i="1"/>
  <c r="C33" i="1"/>
  <c r="E33" i="1" s="1"/>
  <c r="H30" i="1"/>
  <c r="C30" i="1"/>
  <c r="E30" i="1" s="1"/>
  <c r="H29" i="1"/>
  <c r="C29" i="1"/>
  <c r="E29" i="1" s="1"/>
  <c r="H28" i="1"/>
  <c r="C28" i="1"/>
  <c r="E28" i="1" s="1"/>
  <c r="H23" i="1"/>
  <c r="C23" i="1"/>
  <c r="E23" i="1" s="1"/>
  <c r="H22" i="1"/>
  <c r="C22" i="1"/>
  <c r="E22" i="1" s="1"/>
  <c r="H21" i="1"/>
  <c r="C21" i="1"/>
  <c r="E21" i="1" s="1"/>
  <c r="C20" i="1"/>
  <c r="C25" i="1"/>
  <c r="C26" i="1"/>
  <c r="C27" i="1"/>
  <c r="C31" i="1"/>
  <c r="C32" i="1"/>
  <c r="C35" i="1"/>
  <c r="C39" i="1"/>
  <c r="E39" i="1" s="1"/>
  <c r="C42" i="1"/>
  <c r="E42" i="1" s="1"/>
  <c r="C19" i="1"/>
  <c r="E19" i="1" s="1"/>
  <c r="H18" i="1"/>
  <c r="C16" i="1"/>
  <c r="C17" i="1"/>
  <c r="C18" i="1"/>
  <c r="E18" i="1" s="1"/>
  <c r="C15" i="1"/>
  <c r="C14" i="1"/>
  <c r="C12" i="1"/>
  <c r="C11" i="1"/>
  <c r="C9" i="1"/>
  <c r="C8" i="1"/>
  <c r="C7" i="1"/>
  <c r="C6" i="1"/>
  <c r="C5" i="1"/>
  <c r="C4" i="1"/>
  <c r="C2" i="1"/>
  <c r="I55" i="1" l="1"/>
  <c r="C62" i="1"/>
  <c r="I21" i="1"/>
  <c r="I22" i="1"/>
  <c r="I23" i="1"/>
  <c r="I28" i="1"/>
  <c r="I29" i="1"/>
  <c r="I30" i="1"/>
  <c r="I33" i="1"/>
  <c r="I58" i="1"/>
  <c r="I41" i="1"/>
  <c r="I46" i="1"/>
  <c r="I38" i="1"/>
  <c r="I18" i="1"/>
  <c r="E8" i="1"/>
  <c r="I8" i="1" s="1"/>
  <c r="E6" i="1" l="1"/>
  <c r="I6" i="1" s="1"/>
  <c r="E5" i="1"/>
  <c r="E7" i="1"/>
  <c r="E9" i="1"/>
  <c r="E11" i="1"/>
  <c r="E12" i="1"/>
  <c r="E13" i="1"/>
  <c r="E14" i="1"/>
  <c r="E15" i="1"/>
  <c r="E16" i="1"/>
  <c r="E17" i="1"/>
  <c r="E20" i="1"/>
  <c r="E25" i="1"/>
  <c r="E26" i="1"/>
  <c r="E27" i="1"/>
  <c r="E31" i="1"/>
  <c r="E32" i="1"/>
  <c r="E35" i="1"/>
  <c r="I36" i="1"/>
  <c r="I37" i="1"/>
  <c r="I40" i="1"/>
  <c r="E4" i="1"/>
  <c r="E2" i="1"/>
  <c r="E62" i="1" s="1"/>
  <c r="H5" i="1" l="1"/>
  <c r="I5" i="1" s="1"/>
  <c r="H26" i="1" l="1"/>
  <c r="I26" i="1" s="1"/>
  <c r="H27" i="1"/>
  <c r="I27" i="1" s="1"/>
  <c r="H31" i="1"/>
  <c r="I31" i="1" s="1"/>
  <c r="H32" i="1"/>
  <c r="I32" i="1" s="1"/>
  <c r="H35" i="1"/>
  <c r="I35" i="1" s="1"/>
  <c r="I39" i="1"/>
  <c r="H42" i="1"/>
  <c r="I42" i="1" s="1"/>
  <c r="H44" i="1"/>
  <c r="I44" i="1" s="1"/>
  <c r="H45" i="1"/>
  <c r="I45" i="1" s="1"/>
  <c r="H48" i="1"/>
  <c r="I48" i="1" s="1"/>
  <c r="H51" i="1"/>
  <c r="I51" i="1" s="1"/>
  <c r="H53" i="1"/>
  <c r="I53" i="1" s="1"/>
  <c r="H54" i="1"/>
  <c r="I54" i="1" s="1"/>
  <c r="H56" i="1"/>
  <c r="I56" i="1" s="1"/>
  <c r="H57" i="1"/>
  <c r="I57" i="1" s="1"/>
  <c r="H59" i="1"/>
  <c r="I59" i="1" s="1"/>
  <c r="H25" i="1"/>
  <c r="I25" i="1" s="1"/>
  <c r="H20" i="1"/>
  <c r="I20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9" i="1"/>
  <c r="I19" i="1" s="1"/>
  <c r="H4" i="1"/>
  <c r="I4" i="1" s="1"/>
  <c r="H7" i="1"/>
  <c r="H9" i="1"/>
  <c r="I9" i="1" s="1"/>
  <c r="H11" i="1"/>
  <c r="I11" i="1" s="1"/>
  <c r="H2" i="1"/>
  <c r="I2" i="1" s="1"/>
  <c r="I62" i="1" l="1"/>
  <c r="I7" i="1"/>
  <c r="H62" i="1"/>
</calcChain>
</file>

<file path=xl/comments1.xml><?xml version="1.0" encoding="utf-8"?>
<comments xmlns="http://schemas.openxmlformats.org/spreadsheetml/2006/main">
  <authors>
    <author>Author</author>
  </authors>
  <commentList>
    <comment ref="M5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RS.1240/- FALSE TDS BY PARTY
</t>
        </r>
      </text>
    </comment>
    <comment ref="M6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RS.3400/- FALSE TDS BY PARTY
</t>
        </r>
      </text>
    </comment>
    <comment ref="M24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RS.21000/- NOT RECEIVED AGAINST MR SM31327 AS PER BRS
</t>
        </r>
      </text>
    </comment>
    <comment ref="M25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RS.65000/- CHQ NOT CLEAR AS PER BRS, BR-244, SM33891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RS.6280 TDS 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RS.6280/- FALSE TDS BY PARTY</t>
        </r>
      </text>
    </comment>
    <comment ref="M34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RS.46000/- YET TO BE RECEIVED SM33894, AS PER BRS</t>
        </r>
      </text>
    </comment>
    <comment ref="M39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RS.60000/- NOT YET CLEAR AS PER BRS BR-190, SM33852,
RS.60000/- NOT YET CLEAR AS PER BRS, BR-196, SM33858
</t>
        </r>
      </text>
    </comment>
    <comment ref="M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UNBILLED S118695</t>
        </r>
      </text>
    </comment>
    <comment ref="M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RS.311640/- NOT YET RECEIVED,PENDING AS PER BRS</t>
        </r>
      </text>
    </comment>
    <comment ref="M51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RS.49000/- &amp; RS.99000/- YET TO BE CREDIT AS PER BRS SM33874 &amp; SM33875</t>
        </r>
      </text>
    </comment>
    <comment ref="M53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RS.15000/- RECOVERABLE YET TO BILL
</t>
        </r>
      </text>
    </comment>
    <comment ref="M56" authorId="0" shapeId="0">
      <text>
        <r>
          <rPr>
            <b/>
            <sz val="9"/>
            <color indexed="81"/>
            <rFont val="Tahoma"/>
            <family val="2"/>
          </rPr>
          <t>ASIS PAL:</t>
        </r>
        <r>
          <rPr>
            <sz val="9"/>
            <color indexed="81"/>
            <rFont val="Tahoma"/>
            <family val="2"/>
          </rPr>
          <t xml:space="preserve">
RS.30000/- RECOVERABLE YET TO BE BILLED</t>
        </r>
      </text>
    </comment>
  </commentList>
</comments>
</file>

<file path=xl/sharedStrings.xml><?xml version="1.0" encoding="utf-8"?>
<sst xmlns="http://schemas.openxmlformats.org/spreadsheetml/2006/main" count="23020" uniqueCount="5246">
  <si>
    <t>lr no</t>
  </si>
  <si>
    <t>lr date</t>
  </si>
  <si>
    <t>consignor</t>
  </si>
  <si>
    <t>consignee</t>
  </si>
  <si>
    <t>pay party</t>
  </si>
  <si>
    <t>lr freight</t>
  </si>
  <si>
    <t>Ch no</t>
  </si>
  <si>
    <t>ch date</t>
  </si>
  <si>
    <t>broker name</t>
  </si>
  <si>
    <t>total Hire</t>
  </si>
  <si>
    <t>Pmt date 1</t>
  </si>
  <si>
    <t>Pmt Type 1</t>
  </si>
  <si>
    <t>Payee Name 1</t>
  </si>
  <si>
    <t>A/b type 1</t>
  </si>
  <si>
    <t>Amount 1</t>
  </si>
  <si>
    <t>Pmt date 2</t>
  </si>
  <si>
    <t>Pmt Type 2</t>
  </si>
  <si>
    <t>Payee Name 2</t>
  </si>
  <si>
    <t>A/b type 2</t>
  </si>
  <si>
    <t>Amount 2</t>
  </si>
  <si>
    <t>Pmt date 3</t>
  </si>
  <si>
    <t>Pmt Type 3</t>
  </si>
  <si>
    <t>Payee Name 3</t>
  </si>
  <si>
    <t>A/b type 3</t>
  </si>
  <si>
    <t>Amount 3</t>
  </si>
  <si>
    <t>Pmt date 4</t>
  </si>
  <si>
    <t>Pmt Type 4</t>
  </si>
  <si>
    <t>Payee Name 4</t>
  </si>
  <si>
    <t>A/b type 4</t>
  </si>
  <si>
    <t>Amount 4</t>
  </si>
  <si>
    <t>Bill No 1</t>
  </si>
  <si>
    <t>Bill Date 1</t>
  </si>
  <si>
    <t>Bill Amt 1</t>
  </si>
  <si>
    <t>Bill OS 1</t>
  </si>
  <si>
    <t>Bill No 2</t>
  </si>
  <si>
    <t>Bill Date 2</t>
  </si>
  <si>
    <t>Bill Amt 2</t>
  </si>
  <si>
    <t>Bill OS 2</t>
  </si>
  <si>
    <t>MR No 1</t>
  </si>
  <si>
    <t>MR Date 1</t>
  </si>
  <si>
    <t>Recd Amt 1</t>
  </si>
  <si>
    <t>Ded 1</t>
  </si>
  <si>
    <t>TDS 1</t>
  </si>
  <si>
    <t>Recble 1</t>
  </si>
  <si>
    <t>MR No 2</t>
  </si>
  <si>
    <t>PMT MODE MR1</t>
  </si>
  <si>
    <t>RECED FROM</t>
  </si>
  <si>
    <t>PMT MODE MR2</t>
  </si>
  <si>
    <t>PMT MODE MR3</t>
  </si>
  <si>
    <t>S104001</t>
  </si>
  <si>
    <t>PROPEL INDUSTRIES PRIVATE LIMITED</t>
  </si>
  <si>
    <t>ADAPT INFRA PRIVATE LIMITED</t>
  </si>
  <si>
    <t>SC94555</t>
  </si>
  <si>
    <t>NAMAKKAL ROAD CARRIERS(CBE)</t>
  </si>
  <si>
    <t>B</t>
  </si>
  <si>
    <t>NAMAKKAL ROAD CARRIERS</t>
  </si>
  <si>
    <t>Adv</t>
  </si>
  <si>
    <t>C</t>
  </si>
  <si>
    <t>NAMAKKAL  ROADCARRIERS</t>
  </si>
  <si>
    <t>NAMAKKAL  TRANSPORT</t>
  </si>
  <si>
    <t>Fin</t>
  </si>
  <si>
    <t>SB64964</t>
  </si>
  <si>
    <t>SM30231</t>
  </si>
  <si>
    <t>SM30249</t>
  </si>
  <si>
    <t>S104187</t>
  </si>
  <si>
    <t>SC94673</t>
  </si>
  <si>
    <t>K K TRANSPORT</t>
  </si>
  <si>
    <t>D</t>
  </si>
  <si>
    <t>KAVITHA</t>
  </si>
  <si>
    <t>KAVITHA  C</t>
  </si>
  <si>
    <t>SB65064</t>
  </si>
  <si>
    <t>SM32676</t>
  </si>
  <si>
    <t>BANK</t>
  </si>
  <si>
    <t>A/C NO 50100133670933 -TPT ADAPT INFRA PVT LIMI</t>
  </si>
  <si>
    <t>S114308</t>
  </si>
  <si>
    <t>ORIENTAL PLANTS &amp; EQUIPMENTS ( P ) LTD</t>
  </si>
  <si>
    <t>SC105855</t>
  </si>
  <si>
    <t>KAVITHA C</t>
  </si>
  <si>
    <t>SB68884</t>
  </si>
  <si>
    <t>PARTY NAME</t>
  </si>
  <si>
    <t>FAKE BILL AMOUNT</t>
  </si>
  <si>
    <t>AMOUNT RECEIVED AGAINST FAKE BILL</t>
  </si>
  <si>
    <t>OUTSTANDING AMOUNT FAKE</t>
  </si>
  <si>
    <t>AMOUNT TAKEN AGAINST FAKE OUTSTANDING BY WAY OF LORRY HIRE PAYMENT</t>
  </si>
  <si>
    <t xml:space="preserve">AGAINST FAKE BILL LORRY HIRE AMOUNT PAID TO </t>
  </si>
  <si>
    <t>AGAINST FAKE BILL BROKER NAME</t>
  </si>
  <si>
    <t>S88646</t>
  </si>
  <si>
    <t>BALMER LAWRIES CO LTD.</t>
  </si>
  <si>
    <t>SPM LUBES</t>
  </si>
  <si>
    <t>BALMER LAWRIE &amp; CO LTD</t>
  </si>
  <si>
    <t>SC56439</t>
  </si>
  <si>
    <t>DIRECT ..</t>
  </si>
  <si>
    <t>SB52643</t>
  </si>
  <si>
    <t>SM22306</t>
  </si>
  <si>
    <t>S88657</t>
  </si>
  <si>
    <t>SREE SATI AGENSI</t>
  </si>
  <si>
    <t>SC56453</t>
  </si>
  <si>
    <t>SB52642</t>
  </si>
  <si>
    <t>S88658</t>
  </si>
  <si>
    <t>SC56458</t>
  </si>
  <si>
    <t>SB52641</t>
  </si>
  <si>
    <t>S88686</t>
  </si>
  <si>
    <t>SRI DEVMOTERS</t>
  </si>
  <si>
    <t>SC56485</t>
  </si>
  <si>
    <t>SB52656</t>
  </si>
  <si>
    <t>S88738</t>
  </si>
  <si>
    <t>SC88785</t>
  </si>
  <si>
    <t>DIRECT</t>
  </si>
  <si>
    <t>SB52719</t>
  </si>
  <si>
    <t>SM22353</t>
  </si>
  <si>
    <t>S94151</t>
  </si>
  <si>
    <t>SRI SAKTHI AGENSY</t>
  </si>
  <si>
    <t>SC88798</t>
  </si>
  <si>
    <t>SB52720</t>
  </si>
  <si>
    <t>S94182</t>
  </si>
  <si>
    <t>SC88834</t>
  </si>
  <si>
    <t>SB52742</t>
  </si>
  <si>
    <t>S94183</t>
  </si>
  <si>
    <t>SC88835</t>
  </si>
  <si>
    <t>SB52743</t>
  </si>
  <si>
    <t>S94172</t>
  </si>
  <si>
    <t>KARPAGA VINAYGA</t>
  </si>
  <si>
    <t>SC88836</t>
  </si>
  <si>
    <t>SB52737</t>
  </si>
  <si>
    <t>S94173</t>
  </si>
  <si>
    <t>SRI DEVI MOTERS</t>
  </si>
  <si>
    <t>SC88837</t>
  </si>
  <si>
    <t>SB52741</t>
  </si>
  <si>
    <t>S94178</t>
  </si>
  <si>
    <t xml:space="preserve">KARPAGA VINYAGA </t>
  </si>
  <si>
    <t>SC88838</t>
  </si>
  <si>
    <t>S94200</t>
  </si>
  <si>
    <t>SC88848</t>
  </si>
  <si>
    <t>S94222</t>
  </si>
  <si>
    <t>EM VEE YEM TRADING COMPANY</t>
  </si>
  <si>
    <t>SC88868</t>
  </si>
  <si>
    <t>SARAN TRANSPORT</t>
  </si>
  <si>
    <t>SB58981</t>
  </si>
  <si>
    <t>SB59156</t>
  </si>
  <si>
    <t>SM16911</t>
  </si>
  <si>
    <t>SM31315</t>
  </si>
  <si>
    <t>S94224</t>
  </si>
  <si>
    <t>SRI BALAJI AGENCY</t>
  </si>
  <si>
    <t>SC88905</t>
  </si>
  <si>
    <t>SB58983</t>
  </si>
  <si>
    <t>S94250</t>
  </si>
  <si>
    <t>SC88906</t>
  </si>
  <si>
    <t>SB58984</t>
  </si>
  <si>
    <t>S94223</t>
  </si>
  <si>
    <t>SC88907</t>
  </si>
  <si>
    <t>SB58982</t>
  </si>
  <si>
    <t>S94271</t>
  </si>
  <si>
    <t>SRI SAKTHI AGENCY</t>
  </si>
  <si>
    <t>SC88924</t>
  </si>
  <si>
    <t>SB58985</t>
  </si>
  <si>
    <t>S94293</t>
  </si>
  <si>
    <t>SC88934</t>
  </si>
  <si>
    <t>SB58986</t>
  </si>
  <si>
    <t>S94311</t>
  </si>
  <si>
    <t>SC88952</t>
  </si>
  <si>
    <t>SB59025</t>
  </si>
  <si>
    <t>SM16946</t>
  </si>
  <si>
    <t>S94312</t>
  </si>
  <si>
    <t>SC88976</t>
  </si>
  <si>
    <t>SB59026</t>
  </si>
  <si>
    <t>S94337</t>
  </si>
  <si>
    <t>SC88975</t>
  </si>
  <si>
    <t>SB59027</t>
  </si>
  <si>
    <t>S94346</t>
  </si>
  <si>
    <t>SC88989</t>
  </si>
  <si>
    <t>SB59028</t>
  </si>
  <si>
    <t>S94376</t>
  </si>
  <si>
    <t>SC94016</t>
  </si>
  <si>
    <t>SB59029</t>
  </si>
  <si>
    <t>S94377</t>
  </si>
  <si>
    <t>SC94022</t>
  </si>
  <si>
    <t>SB59039</t>
  </si>
  <si>
    <t>S94378</t>
  </si>
  <si>
    <t>SC94031</t>
  </si>
  <si>
    <t>SB59040</t>
  </si>
  <si>
    <t>S94385</t>
  </si>
  <si>
    <t>SC94037</t>
  </si>
  <si>
    <t>SB59041</t>
  </si>
  <si>
    <t>S94419</t>
  </si>
  <si>
    <t>SC94055</t>
  </si>
  <si>
    <t>SB59042</t>
  </si>
  <si>
    <t>S94423</t>
  </si>
  <si>
    <t>SC94057</t>
  </si>
  <si>
    <t>SB59043</t>
  </si>
  <si>
    <t>S94466</t>
  </si>
  <si>
    <t>SC94217</t>
  </si>
  <si>
    <t>SENTHIL</t>
  </si>
  <si>
    <t>SENTHI</t>
  </si>
  <si>
    <t>SB59096</t>
  </si>
  <si>
    <t>S94465</t>
  </si>
  <si>
    <t>SC94218</t>
  </si>
  <si>
    <t>A NALLI</t>
  </si>
  <si>
    <t>SM30179</t>
  </si>
  <si>
    <t>S94498</t>
  </si>
  <si>
    <t>SC94226</t>
  </si>
  <si>
    <t>SRI BHARGAVI LORRY TRANSPORT</t>
  </si>
  <si>
    <t>SHREE BAGAVATHI TRANSPORT</t>
  </si>
  <si>
    <t>SRI BHAGVATHI TPT</t>
  </si>
  <si>
    <t>S94499</t>
  </si>
  <si>
    <t>SC94243</t>
  </si>
  <si>
    <t>S99028</t>
  </si>
  <si>
    <t>CROSS TRADING CENTRE</t>
  </si>
  <si>
    <t>SC94262</t>
  </si>
  <si>
    <t>SB59125</t>
  </si>
  <si>
    <t>SM30193</t>
  </si>
  <si>
    <t>S99029</t>
  </si>
  <si>
    <t>SC94268</t>
  </si>
  <si>
    <t>S99045</t>
  </si>
  <si>
    <t>SC94274</t>
  </si>
  <si>
    <t>SNMR TRANSPORT</t>
  </si>
  <si>
    <t>SELVARAJ</t>
  </si>
  <si>
    <t>S99046</t>
  </si>
  <si>
    <t>SC94275</t>
  </si>
  <si>
    <t>S99069</t>
  </si>
  <si>
    <t>SC94293</t>
  </si>
  <si>
    <t>K MALTHI</t>
  </si>
  <si>
    <t>S99033</t>
  </si>
  <si>
    <t>SC94314</t>
  </si>
  <si>
    <t>SENTHIL KUMAR</t>
  </si>
  <si>
    <t>SB59145</t>
  </si>
  <si>
    <t>S99110</t>
  </si>
  <si>
    <t>SC94341</t>
  </si>
  <si>
    <t>S99127</t>
  </si>
  <si>
    <t>S M ENTERPRISES</t>
  </si>
  <si>
    <t>SC94363</t>
  </si>
  <si>
    <t>BHAGAVATHI TRANSPORTS</t>
  </si>
  <si>
    <t>S94545</t>
  </si>
  <si>
    <t>SC94415</t>
  </si>
  <si>
    <t>PADMAPRIYA</t>
  </si>
  <si>
    <t>SB59176</t>
  </si>
  <si>
    <t>S94546</t>
  </si>
  <si>
    <t>SC94416</t>
  </si>
  <si>
    <t>S94547</t>
  </si>
  <si>
    <t>JAWAHAR AGENCY</t>
  </si>
  <si>
    <t>SC94417</t>
  </si>
  <si>
    <t>S94549</t>
  </si>
  <si>
    <t>KARPAGA VINAYAGA ENTERPRISES</t>
  </si>
  <si>
    <t>SC94418</t>
  </si>
  <si>
    <t>BALAJI TRANSPORT (CBE)</t>
  </si>
  <si>
    <t>S94548</t>
  </si>
  <si>
    <t>SRI DEV MOTORS</t>
  </si>
  <si>
    <t>SC94419</t>
  </si>
  <si>
    <t>S94550</t>
  </si>
  <si>
    <t>SC94420</t>
  </si>
  <si>
    <t>SM30230</t>
  </si>
  <si>
    <t>S94552</t>
  </si>
  <si>
    <t>SPM  LUBS</t>
  </si>
  <si>
    <t>SC94421</t>
  </si>
  <si>
    <t>M  ARUL</t>
  </si>
  <si>
    <t>SB59190</t>
  </si>
  <si>
    <t>S94554</t>
  </si>
  <si>
    <t>SRI ASTHALAKSHMI AUTOMOBILES</t>
  </si>
  <si>
    <t>SC94426</t>
  </si>
  <si>
    <t>BHAGWATI  TRANSPORT</t>
  </si>
  <si>
    <t>SHREE BAGAVATHI TRASNPORT</t>
  </si>
  <si>
    <t>SB59186</t>
  </si>
  <si>
    <t>S94553</t>
  </si>
  <si>
    <t>EM VEE YEM TRADING CO</t>
  </si>
  <si>
    <t>SC94427</t>
  </si>
  <si>
    <t>SM30223</t>
  </si>
  <si>
    <t>S94564</t>
  </si>
  <si>
    <t>SC94433</t>
  </si>
  <si>
    <t>M ARUL</t>
  </si>
  <si>
    <t>SB59181</t>
  </si>
  <si>
    <t>S94558</t>
  </si>
  <si>
    <t>SC94435</t>
  </si>
  <si>
    <t>S94566</t>
  </si>
  <si>
    <t>SC94442</t>
  </si>
  <si>
    <t>S94567</t>
  </si>
  <si>
    <t>SC94443</t>
  </si>
  <si>
    <t>S94570</t>
  </si>
  <si>
    <t>BALMER LAWRIE &amp; CO LIMITED</t>
  </si>
  <si>
    <t>SC94446</t>
  </si>
  <si>
    <t>SUPREME ROADLINES</t>
  </si>
  <si>
    <t>MOHAMED ASHIK M K</t>
  </si>
  <si>
    <t>MOHAMED  ASHIK  MK</t>
  </si>
  <si>
    <t>SB59203</t>
  </si>
  <si>
    <t>S94575</t>
  </si>
  <si>
    <t>SC94447</t>
  </si>
  <si>
    <t>SB59194</t>
  </si>
  <si>
    <t>S94574</t>
  </si>
  <si>
    <t>SC94448</t>
  </si>
  <si>
    <t>S94576</t>
  </si>
  <si>
    <t>SM ENTERPRISES</t>
  </si>
  <si>
    <t>SC94449</t>
  </si>
  <si>
    <t>MRG TRANSPORT</t>
  </si>
  <si>
    <t>SB59204</t>
  </si>
  <si>
    <t>SM31314</t>
  </si>
  <si>
    <t>SM32181</t>
  </si>
  <si>
    <t>SM30245</t>
  </si>
  <si>
    <t>S94577</t>
  </si>
  <si>
    <t>SC94451</t>
  </si>
  <si>
    <t>MOHAMMED ASHIK M K</t>
  </si>
  <si>
    <t>SB59184</t>
  </si>
  <si>
    <t>S94582</t>
  </si>
  <si>
    <t>SIRAGIRI TRADERS</t>
  </si>
  <si>
    <t>SC94455</t>
  </si>
  <si>
    <t>S94586</t>
  </si>
  <si>
    <t>SC94456</t>
  </si>
  <si>
    <t>SREE BHAGAWATI TPT</t>
  </si>
  <si>
    <t>SHREE BHAGAVATHI TRASNPORT</t>
  </si>
  <si>
    <t>S94591</t>
  </si>
  <si>
    <t>SC94464</t>
  </si>
  <si>
    <t>A   RAVI</t>
  </si>
  <si>
    <t>SB59207</t>
  </si>
  <si>
    <t>S94594</t>
  </si>
  <si>
    <t>SC94466</t>
  </si>
  <si>
    <t>S94593</t>
  </si>
  <si>
    <t>SRI RAGAVENDRA MACHINERIES</t>
  </si>
  <si>
    <t>SC94467</t>
  </si>
  <si>
    <t>S94592</t>
  </si>
  <si>
    <t>S94595</t>
  </si>
  <si>
    <t>SC94469</t>
  </si>
  <si>
    <t>SB59191</t>
  </si>
  <si>
    <t>S94596</t>
  </si>
  <si>
    <t>SC94470</t>
  </si>
  <si>
    <t>S94598</t>
  </si>
  <si>
    <t>SC94468</t>
  </si>
  <si>
    <t>SB59192</t>
  </si>
  <si>
    <t>SM32198</t>
  </si>
  <si>
    <t>S102505</t>
  </si>
  <si>
    <t>SC94477</t>
  </si>
  <si>
    <t>SHREE MAHAA ROADLINES</t>
  </si>
  <si>
    <t>SREE  MAHA ROADLINES</t>
  </si>
  <si>
    <t>SB59216</t>
  </si>
  <si>
    <t>S102506</t>
  </si>
  <si>
    <t>SC94478</t>
  </si>
  <si>
    <t>SB59193</t>
  </si>
  <si>
    <t>S102522</t>
  </si>
  <si>
    <t>SC94483</t>
  </si>
  <si>
    <t>AMUL R</t>
  </si>
  <si>
    <t>SB59199</t>
  </si>
  <si>
    <t>S102521</t>
  </si>
  <si>
    <t>SC94484</t>
  </si>
  <si>
    <t>SHREE MAA ROADWAYS</t>
  </si>
  <si>
    <t>S102528</t>
  </si>
  <si>
    <t>SC94486</t>
  </si>
  <si>
    <t>S102527</t>
  </si>
  <si>
    <t>SC94487</t>
  </si>
  <si>
    <t>KOVAI SURJIT ROADLINES</t>
  </si>
  <si>
    <t>MURLI  K</t>
  </si>
  <si>
    <t>SB59209</t>
  </si>
  <si>
    <t>S102529</t>
  </si>
  <si>
    <t>SC94488</t>
  </si>
  <si>
    <t>S102531</t>
  </si>
  <si>
    <t>SC94489</t>
  </si>
  <si>
    <t>S102537</t>
  </si>
  <si>
    <t>SC94496</t>
  </si>
  <si>
    <t>SB59223</t>
  </si>
  <si>
    <t>S102538</t>
  </si>
  <si>
    <t>SC94499</t>
  </si>
  <si>
    <t>BHAGAVATI  TRANSPORT</t>
  </si>
  <si>
    <t>S102546</t>
  </si>
  <si>
    <t>SC98054</t>
  </si>
  <si>
    <t>KOI SURJEET ROADLINES</t>
  </si>
  <si>
    <t>S102547</t>
  </si>
  <si>
    <t>SC98055</t>
  </si>
  <si>
    <t>S102551</t>
  </si>
  <si>
    <t>SC98067</t>
  </si>
  <si>
    <t>S102550</t>
  </si>
  <si>
    <t>SC98057</t>
  </si>
  <si>
    <t>BHAGVATHI  TRANSPORT</t>
  </si>
  <si>
    <t>S102552</t>
  </si>
  <si>
    <t>SC98058</t>
  </si>
  <si>
    <t>S102560</t>
  </si>
  <si>
    <t>SC98056</t>
  </si>
  <si>
    <t>SENTHIL  KUMAR C</t>
  </si>
  <si>
    <t>S102561</t>
  </si>
  <si>
    <t>SC98065</t>
  </si>
  <si>
    <t>S102557</t>
  </si>
  <si>
    <t>SC94501</t>
  </si>
  <si>
    <t>SREE  BHAGAVATI   TRANSPORT</t>
  </si>
  <si>
    <t>S102565</t>
  </si>
  <si>
    <t>KAVACHAM  MACHINE  TOOLS</t>
  </si>
  <si>
    <t>SC94503</t>
  </si>
  <si>
    <t>KERALA   ROADWAYS   PVT   LTD</t>
  </si>
  <si>
    <t>KERALA  ROADWAYS  PVT LRD</t>
  </si>
  <si>
    <t>SB59218</t>
  </si>
  <si>
    <t>S102566</t>
  </si>
  <si>
    <t>KAVACHAM ENTERPRICES</t>
  </si>
  <si>
    <t>S102567</t>
  </si>
  <si>
    <t>SC94505</t>
  </si>
  <si>
    <t>GM  SUBRAMANI   TPT</t>
  </si>
  <si>
    <t>S102569</t>
  </si>
  <si>
    <t>SC94507</t>
  </si>
  <si>
    <t>JAGDESAWARAN</t>
  </si>
  <si>
    <t>SANTHI   C</t>
  </si>
  <si>
    <t>SB59219</t>
  </si>
  <si>
    <t>S102570</t>
  </si>
  <si>
    <t>SC94508</t>
  </si>
  <si>
    <t>KOVI  SURJIT  ROADLINES</t>
  </si>
  <si>
    <t>KOVI SURJEET  ROADLINES</t>
  </si>
  <si>
    <t>S102575</t>
  </si>
  <si>
    <t>SC94514</t>
  </si>
  <si>
    <t>SREE MAHAA ROADLINES</t>
  </si>
  <si>
    <t>SRI MAHAA ROAD LINES</t>
  </si>
  <si>
    <t>SB59239</t>
  </si>
  <si>
    <t>S102563</t>
  </si>
  <si>
    <t>SM32158</t>
  </si>
  <si>
    <t>S102576</t>
  </si>
  <si>
    <t>SC94516</t>
  </si>
  <si>
    <t>SANTHI    C</t>
  </si>
  <si>
    <t>S102577</t>
  </si>
  <si>
    <t>KISHORE  AGENCIES</t>
  </si>
  <si>
    <t>SC94517</t>
  </si>
  <si>
    <t>KOVAI SURAJIT ROADLINES</t>
  </si>
  <si>
    <t>KOVAI  SURAJEET   ROADLINES</t>
  </si>
  <si>
    <t>S102578</t>
  </si>
  <si>
    <t>SC94518</t>
  </si>
  <si>
    <t>SREE MAHA ROADLINES</t>
  </si>
  <si>
    <t>S102583</t>
  </si>
  <si>
    <t>SC94522</t>
  </si>
  <si>
    <t>RVK  TRANSPORT</t>
  </si>
  <si>
    <t>PAULRAJ</t>
  </si>
  <si>
    <t>SB64958</t>
  </si>
  <si>
    <t>S102584</t>
  </si>
  <si>
    <t>S102586</t>
  </si>
  <si>
    <t>SC94523</t>
  </si>
  <si>
    <t>SB59235</t>
  </si>
  <si>
    <t>S102585</t>
  </si>
  <si>
    <t>SC94524</t>
  </si>
  <si>
    <t>NEW MAHA KASHAMI ROAD LINES</t>
  </si>
  <si>
    <t>NEW MAHALAKSHMI TRANSPORT</t>
  </si>
  <si>
    <t>NEW  MHAAA LAKSHAMI   ROADLINES</t>
  </si>
  <si>
    <t>SB59248</t>
  </si>
  <si>
    <t>S102587</t>
  </si>
  <si>
    <t>SB64952</t>
  </si>
  <si>
    <t>S102592</t>
  </si>
  <si>
    <t>SC94526</t>
  </si>
  <si>
    <t>SM32182</t>
  </si>
  <si>
    <t>S102517</t>
  </si>
  <si>
    <t>SC94540</t>
  </si>
  <si>
    <t>S102518</t>
  </si>
  <si>
    <t>SC94541</t>
  </si>
  <si>
    <t>RAMA  KRISHANAN</t>
  </si>
  <si>
    <t>S104003</t>
  </si>
  <si>
    <t>SC94544</t>
  </si>
  <si>
    <t>KOVAI  SURAJEET  ROADLINES</t>
  </si>
  <si>
    <t>KOVI SURAJIT  ROADLINES</t>
  </si>
  <si>
    <t>SB64957</t>
  </si>
  <si>
    <t>S104002</t>
  </si>
  <si>
    <t>S104004</t>
  </si>
  <si>
    <t>SC94545</t>
  </si>
  <si>
    <t>KERALA ROADWAY PVT   LTD</t>
  </si>
  <si>
    <t>SB59249</t>
  </si>
  <si>
    <t>S102520</t>
  </si>
  <si>
    <t>SC94551</t>
  </si>
  <si>
    <t>SANTHI  C</t>
  </si>
  <si>
    <t>S102598</t>
  </si>
  <si>
    <t>SC94549</t>
  </si>
  <si>
    <t>KOVAI  SURAJIT   ROADLINES</t>
  </si>
  <si>
    <t>SB64956</t>
  </si>
  <si>
    <t>S104007</t>
  </si>
  <si>
    <t>SC94559</t>
  </si>
  <si>
    <t>SANTHI</t>
  </si>
  <si>
    <t>S104016</t>
  </si>
  <si>
    <t>SC94560</t>
  </si>
  <si>
    <t>KOVAI  SURAJIT ROAD  LINES</t>
  </si>
  <si>
    <t>S104008</t>
  </si>
  <si>
    <t>SC94561</t>
  </si>
  <si>
    <t>S104015</t>
  </si>
  <si>
    <t>SC94562</t>
  </si>
  <si>
    <t>SANTHI C</t>
  </si>
  <si>
    <t>S104022</t>
  </si>
  <si>
    <t>SC94566</t>
  </si>
  <si>
    <t>SREE  MAHAROAD LINES</t>
  </si>
  <si>
    <t>S104023</t>
  </si>
  <si>
    <t>SB64953</t>
  </si>
  <si>
    <t>S104021</t>
  </si>
  <si>
    <t>SC94567</t>
  </si>
  <si>
    <t>S104026</t>
  </si>
  <si>
    <t>SC94573</t>
  </si>
  <si>
    <t>SREE  MAHAA  ROAD  LINES</t>
  </si>
  <si>
    <t>S104027</t>
  </si>
  <si>
    <t>SC94574</t>
  </si>
  <si>
    <t>KOVAI  SURAJIT  ROAD LINES</t>
  </si>
  <si>
    <t>S104024</t>
  </si>
  <si>
    <t>SC94575</t>
  </si>
  <si>
    <t>SHIVA KUMAR</t>
  </si>
  <si>
    <t>SIVA KUMAR</t>
  </si>
  <si>
    <t>S104042</t>
  </si>
  <si>
    <t>BALAMURUGAN AGENCIES</t>
  </si>
  <si>
    <t>SC94585</t>
  </si>
  <si>
    <t>NEW  MAHAROAD LINES</t>
  </si>
  <si>
    <t>SREE  MAHA  ROADLINES</t>
  </si>
  <si>
    <t>SB64968</t>
  </si>
  <si>
    <t>S104051</t>
  </si>
  <si>
    <t>SC94591</t>
  </si>
  <si>
    <t>KOVI  SURAJIT  ROADLINES</t>
  </si>
  <si>
    <t>KOVAI SURAJIT  ROADLINES</t>
  </si>
  <si>
    <t>SB64966</t>
  </si>
  <si>
    <t>S104053</t>
  </si>
  <si>
    <t>SC94602</t>
  </si>
  <si>
    <t>PADMA PRIYA</t>
  </si>
  <si>
    <t>SB64984</t>
  </si>
  <si>
    <t>S104049</t>
  </si>
  <si>
    <t>SC94593</t>
  </si>
  <si>
    <t>JAI VENKATESHWARA TRANSPORT</t>
  </si>
  <si>
    <t>P  NATRAJAN</t>
  </si>
  <si>
    <t>S104052</t>
  </si>
  <si>
    <t>SC94594</t>
  </si>
  <si>
    <t>SB64986</t>
  </si>
  <si>
    <t>S104055</t>
  </si>
  <si>
    <t>SC94595</t>
  </si>
  <si>
    <t>SM32202</t>
  </si>
  <si>
    <t>S104056</t>
  </si>
  <si>
    <t>SC94612</t>
  </si>
  <si>
    <t>S104057</t>
  </si>
  <si>
    <t>SC94613</t>
  </si>
  <si>
    <t>DIRECT (OWNER)</t>
  </si>
  <si>
    <t>S104058</t>
  </si>
  <si>
    <t>SC94611</t>
  </si>
  <si>
    <t>S104074</t>
  </si>
  <si>
    <t>SC94610</t>
  </si>
  <si>
    <t>S104070</t>
  </si>
  <si>
    <t>SC94614</t>
  </si>
  <si>
    <t>KOVI  SURAJIT ROAD LINES</t>
  </si>
  <si>
    <t>S104069</t>
  </si>
  <si>
    <t>SC94615</t>
  </si>
  <si>
    <t>NATARAJAN P</t>
  </si>
  <si>
    <t>S104071</t>
  </si>
  <si>
    <t>SC94628</t>
  </si>
  <si>
    <t>J P TRANSPORT</t>
  </si>
  <si>
    <t>JP  TRANSPORT</t>
  </si>
  <si>
    <t>SB68702</t>
  </si>
  <si>
    <t>S104072</t>
  </si>
  <si>
    <t>SC94629</t>
  </si>
  <si>
    <t>KERALA ROADWAYS PRIVATE LIMITED</t>
  </si>
  <si>
    <t>KERALA  ROAADLINS SERVICE</t>
  </si>
  <si>
    <t>SB65011</t>
  </si>
  <si>
    <t>S104093</t>
  </si>
  <si>
    <t>SC94630</t>
  </si>
  <si>
    <t>KOVI  SURAJIT ROAD  LINES</t>
  </si>
  <si>
    <t>KOVAI  SURAJIT ROADLINES</t>
  </si>
  <si>
    <t>SB64993</t>
  </si>
  <si>
    <t>S104095</t>
  </si>
  <si>
    <t>SC94632</t>
  </si>
  <si>
    <t>SB65012</t>
  </si>
  <si>
    <t>S104096</t>
  </si>
  <si>
    <t>SC94633</t>
  </si>
  <si>
    <t>SB65004</t>
  </si>
  <si>
    <t>S104094</t>
  </si>
  <si>
    <t>SC94639</t>
  </si>
  <si>
    <t>SB64985</t>
  </si>
  <si>
    <t>SM32661</t>
  </si>
  <si>
    <t>SM32229</t>
  </si>
  <si>
    <t>S104092</t>
  </si>
  <si>
    <t>SC94644</t>
  </si>
  <si>
    <t>ARUL M</t>
  </si>
  <si>
    <t>SB64995</t>
  </si>
  <si>
    <t>S104164</t>
  </si>
  <si>
    <t>SC94653</t>
  </si>
  <si>
    <t>SB64994</t>
  </si>
  <si>
    <t>S104165</t>
  </si>
  <si>
    <t>SC94654</t>
  </si>
  <si>
    <t>ARUL</t>
  </si>
  <si>
    <t>SB65009</t>
  </si>
  <si>
    <t>S104167</t>
  </si>
  <si>
    <t>SC94659</t>
  </si>
  <si>
    <t>NITHYA   N</t>
  </si>
  <si>
    <t>S104097</t>
  </si>
  <si>
    <t>SC94660</t>
  </si>
  <si>
    <t>RADHAKISHANAN</t>
  </si>
  <si>
    <t>S104166</t>
  </si>
  <si>
    <t>RUBY AGENCIES..</t>
  </si>
  <si>
    <t>SC94661</t>
  </si>
  <si>
    <t>KERALA ROADWAYS</t>
  </si>
  <si>
    <t>SB65013</t>
  </si>
  <si>
    <t>S104168</t>
  </si>
  <si>
    <t>SC94662</t>
  </si>
  <si>
    <t>S104169</t>
  </si>
  <si>
    <t>SM33883</t>
  </si>
  <si>
    <t>S104181</t>
  </si>
  <si>
    <t>SC94667</t>
  </si>
  <si>
    <t>KOVAI  SURAJIT  ROADLINES</t>
  </si>
  <si>
    <t>S104195</t>
  </si>
  <si>
    <t>SC94679</t>
  </si>
  <si>
    <t>R  RAJESH  KUMAR</t>
  </si>
  <si>
    <t>S104193</t>
  </si>
  <si>
    <t>SC94677</t>
  </si>
  <si>
    <t>S104192</t>
  </si>
  <si>
    <t>SC94678</t>
  </si>
  <si>
    <t>SB65025</t>
  </si>
  <si>
    <t>S104190</t>
  </si>
  <si>
    <t>SC94680</t>
  </si>
  <si>
    <t>SB65014</t>
  </si>
  <si>
    <t>SM32229A</t>
  </si>
  <si>
    <t>S104196</t>
  </si>
  <si>
    <t>SC94681</t>
  </si>
  <si>
    <t>S104197</t>
  </si>
  <si>
    <t>SC94682</t>
  </si>
  <si>
    <t>SB65042</t>
  </si>
  <si>
    <t>S109464</t>
  </si>
  <si>
    <t>SC98074</t>
  </si>
  <si>
    <t>S109460</t>
  </si>
  <si>
    <t>SC98075</t>
  </si>
  <si>
    <t>KARTHIKEYAN TRASNPORT</t>
  </si>
  <si>
    <t>S109463</t>
  </si>
  <si>
    <t>SC94690</t>
  </si>
  <si>
    <t>S109451</t>
  </si>
  <si>
    <t>SB68727</t>
  </si>
  <si>
    <t>S109452</t>
  </si>
  <si>
    <t>SC98072</t>
  </si>
  <si>
    <t>MATHI M</t>
  </si>
  <si>
    <t>SB68744</t>
  </si>
  <si>
    <t>S109465</t>
  </si>
  <si>
    <t>SC98099</t>
  </si>
  <si>
    <t>S109466</t>
  </si>
  <si>
    <t>SC98100</t>
  </si>
  <si>
    <t>S109479</t>
  </si>
  <si>
    <t>SC94697</t>
  </si>
  <si>
    <t>S109475</t>
  </si>
  <si>
    <t>S109480</t>
  </si>
  <si>
    <t>SC98084</t>
  </si>
  <si>
    <t>S109483</t>
  </si>
  <si>
    <t>SC98089</t>
  </si>
  <si>
    <t>SB68707</t>
  </si>
  <si>
    <t>S109481</t>
  </si>
  <si>
    <t>SC98092</t>
  </si>
  <si>
    <t>J P TRASNPORT</t>
  </si>
  <si>
    <t>S109484</t>
  </si>
  <si>
    <t>SC98090</t>
  </si>
  <si>
    <t>S109485</t>
  </si>
  <si>
    <t>SC98091</t>
  </si>
  <si>
    <t>JAYVENKATESWARA</t>
  </si>
  <si>
    <t>S109498</t>
  </si>
  <si>
    <t>SC98002</t>
  </si>
  <si>
    <t>KOVAI SURAJITH ROADLINES</t>
  </si>
  <si>
    <t>SB68709</t>
  </si>
  <si>
    <t>S109500</t>
  </si>
  <si>
    <t>SC98003</t>
  </si>
  <si>
    <t>SB65051</t>
  </si>
  <si>
    <t>S109497</t>
  </si>
  <si>
    <t>SC98004</t>
  </si>
  <si>
    <t>S109499</t>
  </si>
  <si>
    <t>SC98005</t>
  </si>
  <si>
    <t>RAVI A</t>
  </si>
  <si>
    <t>S110404</t>
  </si>
  <si>
    <t>S109496</t>
  </si>
  <si>
    <t>SC98008</t>
  </si>
  <si>
    <t>ARUL  M</t>
  </si>
  <si>
    <t>S110415</t>
  </si>
  <si>
    <t>SC98009</t>
  </si>
  <si>
    <t>SB68746</t>
  </si>
  <si>
    <t>S110414</t>
  </si>
  <si>
    <t>ERAM MOTORS PRIVATE LIMITED</t>
  </si>
  <si>
    <t>SC98010</t>
  </si>
  <si>
    <t>.</t>
  </si>
  <si>
    <t>SB68758</t>
  </si>
  <si>
    <t>S110416</t>
  </si>
  <si>
    <t>SC98011</t>
  </si>
  <si>
    <t>S110412</t>
  </si>
  <si>
    <t>SC98012</t>
  </si>
  <si>
    <t>SB68716</t>
  </si>
  <si>
    <t>S110419</t>
  </si>
  <si>
    <t>SC98014</t>
  </si>
  <si>
    <t>S110437</t>
  </si>
  <si>
    <t>SC98029</t>
  </si>
  <si>
    <t>SB68714</t>
  </si>
  <si>
    <t>S110351</t>
  </si>
  <si>
    <t>SC98030</t>
  </si>
  <si>
    <t>SB68712</t>
  </si>
  <si>
    <t>S110426</t>
  </si>
  <si>
    <t>SC98031</t>
  </si>
  <si>
    <t>SB68713</t>
  </si>
  <si>
    <t>S110436</t>
  </si>
  <si>
    <t>SC98040</t>
  </si>
  <si>
    <t>SB68715</t>
  </si>
  <si>
    <t>S110431</t>
  </si>
  <si>
    <t>SC99109</t>
  </si>
  <si>
    <t>S110359</t>
  </si>
  <si>
    <t>SC99112</t>
  </si>
  <si>
    <t>S110360</t>
  </si>
  <si>
    <t>MPK AUTOMOBILES</t>
  </si>
  <si>
    <t>SC99113</t>
  </si>
  <si>
    <t>SB68749</t>
  </si>
  <si>
    <t>S110361</t>
  </si>
  <si>
    <t>SC99110</t>
  </si>
  <si>
    <t>S110362</t>
  </si>
  <si>
    <t>SC99111</t>
  </si>
  <si>
    <t>S110376</t>
  </si>
  <si>
    <t>SC99123</t>
  </si>
  <si>
    <t>SB68750</t>
  </si>
  <si>
    <t>S110372</t>
  </si>
  <si>
    <t>SC99127</t>
  </si>
  <si>
    <t>S110373</t>
  </si>
  <si>
    <t>SC99122</t>
  </si>
  <si>
    <t>SB68721</t>
  </si>
  <si>
    <t>S110374</t>
  </si>
  <si>
    <t>S110378</t>
  </si>
  <si>
    <t>SC99124</t>
  </si>
  <si>
    <t>S110379</t>
  </si>
  <si>
    <t>SC99125</t>
  </si>
  <si>
    <t>S110377</t>
  </si>
  <si>
    <t>SC99126</t>
  </si>
  <si>
    <t>S110375</t>
  </si>
  <si>
    <t>SC99129</t>
  </si>
  <si>
    <t>S110364</t>
  </si>
  <si>
    <t>SC99142</t>
  </si>
  <si>
    <t>SB68858</t>
  </si>
  <si>
    <t>S110398</t>
  </si>
  <si>
    <t>SC99138</t>
  </si>
  <si>
    <t>KOVAI SURAJIT ROAD LINES</t>
  </si>
  <si>
    <t>SB68802</t>
  </si>
  <si>
    <t>S110397</t>
  </si>
  <si>
    <t>SC99139</t>
  </si>
  <si>
    <t>SB68788</t>
  </si>
  <si>
    <t>S110400</t>
  </si>
  <si>
    <t>SC99140</t>
  </si>
  <si>
    <t>SREE  MAHA  ROADDLINES</t>
  </si>
  <si>
    <t>SRI MAHAA  ROADLINES</t>
  </si>
  <si>
    <t>SB68754</t>
  </si>
  <si>
    <t>S111353</t>
  </si>
  <si>
    <t>MRK AUTOMOBILES</t>
  </si>
  <si>
    <t>SC99148</t>
  </si>
  <si>
    <t>BHAGAVATHI TRANSPORT</t>
  </si>
  <si>
    <t>SREE BHAGAVATHI  TRANPORT</t>
  </si>
  <si>
    <t>SB68800</t>
  </si>
  <si>
    <t>S111362</t>
  </si>
  <si>
    <t>SC99154</t>
  </si>
  <si>
    <t>SB68770</t>
  </si>
  <si>
    <t>S111372</t>
  </si>
  <si>
    <t>SC99160</t>
  </si>
  <si>
    <t>MANDIYA</t>
  </si>
  <si>
    <t>MANDI</t>
  </si>
  <si>
    <t>S111369</t>
  </si>
  <si>
    <t>SC99161</t>
  </si>
  <si>
    <t>S110399</t>
  </si>
  <si>
    <t>SC99141</t>
  </si>
  <si>
    <t>CHANDRASEKARAN</t>
  </si>
  <si>
    <t>CHANDRASEKARAN R</t>
  </si>
  <si>
    <t>S111375</t>
  </si>
  <si>
    <t>SC99165</t>
  </si>
  <si>
    <t>S111376</t>
  </si>
  <si>
    <t>SRM SALES CORPORATION</t>
  </si>
  <si>
    <t>SC99166</t>
  </si>
  <si>
    <t>SB68859</t>
  </si>
  <si>
    <t>SM31348</t>
  </si>
  <si>
    <t>S111377</t>
  </si>
  <si>
    <t>SC99176</t>
  </si>
  <si>
    <t>S111374</t>
  </si>
  <si>
    <t>S111354</t>
  </si>
  <si>
    <t>SC99152</t>
  </si>
  <si>
    <t>S111361</t>
  </si>
  <si>
    <t>SC99184</t>
  </si>
  <si>
    <t>S111385</t>
  </si>
  <si>
    <t>SC99171</t>
  </si>
  <si>
    <t>SREE MAHA ROAD LINES</t>
  </si>
  <si>
    <t>S111398</t>
  </si>
  <si>
    <t>SC99187</t>
  </si>
  <si>
    <t>BHAGAVATI ROAD CARRIER</t>
  </si>
  <si>
    <t>SHREE BHAGAVATI TRANSPORT</t>
  </si>
  <si>
    <t>S111389</t>
  </si>
  <si>
    <t>SC99190</t>
  </si>
  <si>
    <t>S111367</t>
  </si>
  <si>
    <t>SC99191</t>
  </si>
  <si>
    <t>KERALA ROADWAY PRIVATE LIMITED</t>
  </si>
  <si>
    <t>S111405</t>
  </si>
  <si>
    <t>T V SUNDRAM IYENGAR &amp; SONS PRIVATE LIMITED</t>
  </si>
  <si>
    <t>SC99197</t>
  </si>
  <si>
    <t>SB68772</t>
  </si>
  <si>
    <t>S111406</t>
  </si>
  <si>
    <t>S111412</t>
  </si>
  <si>
    <t>SC99201</t>
  </si>
  <si>
    <t>S111413</t>
  </si>
  <si>
    <t>SC99205</t>
  </si>
  <si>
    <t>S  NAGARAM</t>
  </si>
  <si>
    <t>S111420</t>
  </si>
  <si>
    <t>SC99208</t>
  </si>
  <si>
    <t>BALU N</t>
  </si>
  <si>
    <t>S111415</t>
  </si>
  <si>
    <t>SC99207</t>
  </si>
  <si>
    <t>S111421</t>
  </si>
  <si>
    <t>S111430</t>
  </si>
  <si>
    <t>SC99212</t>
  </si>
  <si>
    <t>S NAGARAM</t>
  </si>
  <si>
    <t>S111414</t>
  </si>
  <si>
    <t>SC99210</t>
  </si>
  <si>
    <t>SB68821</t>
  </si>
  <si>
    <t>S111431</t>
  </si>
  <si>
    <t>SC99211</t>
  </si>
  <si>
    <t>S111432</t>
  </si>
  <si>
    <t>SC99217</t>
  </si>
  <si>
    <t>S111433</t>
  </si>
  <si>
    <t>SC99228</t>
  </si>
  <si>
    <t>S SAGARAM</t>
  </si>
  <si>
    <t>S111435</t>
  </si>
  <si>
    <t>SC99220</t>
  </si>
  <si>
    <t>SB68888</t>
  </si>
  <si>
    <t>S111436</t>
  </si>
  <si>
    <t>SC99221</t>
  </si>
  <si>
    <t>SB68822</t>
  </si>
  <si>
    <t>S111434</t>
  </si>
  <si>
    <t>SC99222</t>
  </si>
  <si>
    <t>S111427</t>
  </si>
  <si>
    <t>SC99239</t>
  </si>
  <si>
    <t>DELTA CRAFTS</t>
  </si>
  <si>
    <t>S111449</t>
  </si>
  <si>
    <t>SC99243</t>
  </si>
  <si>
    <t>SB68831</t>
  </si>
  <si>
    <t>S114303</t>
  </si>
  <si>
    <t>SC99244</t>
  </si>
  <si>
    <t>DELTA CEAFT</t>
  </si>
  <si>
    <t>S114311</t>
  </si>
  <si>
    <t>SC99245</t>
  </si>
  <si>
    <t>S114305</t>
  </si>
  <si>
    <t>SC99246</t>
  </si>
  <si>
    <t>DELTA</t>
  </si>
  <si>
    <t>S114314</t>
  </si>
  <si>
    <t>BLESSING ENTERPRISES</t>
  </si>
  <si>
    <t>SC99248</t>
  </si>
  <si>
    <t>KOPVAI SURAJIT ROADLINES</t>
  </si>
  <si>
    <t>SB68849</t>
  </si>
  <si>
    <t>S114316</t>
  </si>
  <si>
    <t>SC105865</t>
  </si>
  <si>
    <t>DELTA  CRAFT</t>
  </si>
  <si>
    <t>SB68868</t>
  </si>
  <si>
    <t>S114327</t>
  </si>
  <si>
    <t>SC105866</t>
  </si>
  <si>
    <t>JOTHI MURGAN TRANSPORT</t>
  </si>
  <si>
    <t>C.R.SHANKAR</t>
  </si>
  <si>
    <t>C. R.  SANKAR</t>
  </si>
  <si>
    <t>S114326</t>
  </si>
  <si>
    <t>SC105867</t>
  </si>
  <si>
    <t>DELTA CRAFT</t>
  </si>
  <si>
    <t>S114328</t>
  </si>
  <si>
    <t>SC105872</t>
  </si>
  <si>
    <t>S114319</t>
  </si>
  <si>
    <t>SC105873</t>
  </si>
  <si>
    <t>DHANARAJ</t>
  </si>
  <si>
    <t>SB68897</t>
  </si>
  <si>
    <t>SM31349</t>
  </si>
  <si>
    <t>S114334</t>
  </si>
  <si>
    <t>SC105882</t>
  </si>
  <si>
    <t>S114344</t>
  </si>
  <si>
    <t>SC105887</t>
  </si>
  <si>
    <t>KARTIKAYAN</t>
  </si>
  <si>
    <t>SB68879</t>
  </si>
  <si>
    <t>S114342</t>
  </si>
  <si>
    <t>SB68882</t>
  </si>
  <si>
    <t>S114343</t>
  </si>
  <si>
    <t>SC105889</t>
  </si>
  <si>
    <t>KERALA ROADLINES</t>
  </si>
  <si>
    <t>S114345</t>
  </si>
  <si>
    <t>SC105890</t>
  </si>
  <si>
    <t>MUTHAMILAEASAN</t>
  </si>
  <si>
    <t>S114346</t>
  </si>
  <si>
    <t>SC105888</t>
  </si>
  <si>
    <t>KOVAI  SURAJIT ROAD LINES</t>
  </si>
  <si>
    <t>S117202</t>
  </si>
  <si>
    <t>SC105894</t>
  </si>
  <si>
    <t>S117203</t>
  </si>
  <si>
    <t>SC105895</t>
  </si>
  <si>
    <t>RAJALAKSHAMI</t>
  </si>
  <si>
    <t>S114350</t>
  </si>
  <si>
    <t>SC105893</t>
  </si>
  <si>
    <t>SB68877</t>
  </si>
  <si>
    <t>S117209</t>
  </si>
  <si>
    <t>SC108652</t>
  </si>
  <si>
    <t>S117208</t>
  </si>
  <si>
    <t>SC108663</t>
  </si>
  <si>
    <t>S117225</t>
  </si>
  <si>
    <t>SC108664</t>
  </si>
  <si>
    <t>S117226</t>
  </si>
  <si>
    <t>SC108673</t>
  </si>
  <si>
    <t>S117232</t>
  </si>
  <si>
    <t>SC108674</t>
  </si>
  <si>
    <t>S117231</t>
  </si>
  <si>
    <t>S117227</t>
  </si>
  <si>
    <t>SC108694</t>
  </si>
  <si>
    <t>ARUN M</t>
  </si>
  <si>
    <t>S117251</t>
  </si>
  <si>
    <t>SC108681</t>
  </si>
  <si>
    <t>SB68925</t>
  </si>
  <si>
    <t>SM33914</t>
  </si>
  <si>
    <t>S117252</t>
  </si>
  <si>
    <t>SC108685</t>
  </si>
  <si>
    <t>S117253</t>
  </si>
  <si>
    <t>SC108695</t>
  </si>
  <si>
    <t>PALANIYAMMAL</t>
  </si>
  <si>
    <t>SB68883</t>
  </si>
  <si>
    <t>S117236</t>
  </si>
  <si>
    <t>SC108684</t>
  </si>
  <si>
    <t>SB68950</t>
  </si>
  <si>
    <t>S117241</t>
  </si>
  <si>
    <t>SC108690</t>
  </si>
  <si>
    <t>S117237</t>
  </si>
  <si>
    <t>SC108691</t>
  </si>
  <si>
    <t>S117250</t>
  </si>
  <si>
    <t>SC108700</t>
  </si>
  <si>
    <t>SREE BHAGAVATHI TRANSPORT</t>
  </si>
  <si>
    <t>SB68949</t>
  </si>
  <si>
    <t>SM33884</t>
  </si>
  <si>
    <t>S117246</t>
  </si>
  <si>
    <t>SC108701</t>
  </si>
  <si>
    <t>SHREE  BHAGAVATHI  TRANSPORT</t>
  </si>
  <si>
    <t>SHREE  BHAGAVATHI TRANSPORT</t>
  </si>
  <si>
    <t>S117256</t>
  </si>
  <si>
    <t>SC108702</t>
  </si>
  <si>
    <t>S117245</t>
  </si>
  <si>
    <t>S117270</t>
  </si>
  <si>
    <t>SC108703</t>
  </si>
  <si>
    <t>SREE NAHAA ROADLINES</t>
  </si>
  <si>
    <t>SB68900</t>
  </si>
  <si>
    <t>S117259</t>
  </si>
  <si>
    <t>SC108705</t>
  </si>
  <si>
    <t>PADAMPRIYA</t>
  </si>
  <si>
    <t>S117258</t>
  </si>
  <si>
    <t>SC108715</t>
  </si>
  <si>
    <t>RAJU</t>
  </si>
  <si>
    <t>SB68898</t>
  </si>
  <si>
    <t>S117264</t>
  </si>
  <si>
    <t>SC108718</t>
  </si>
  <si>
    <t>HURGRSAN</t>
  </si>
  <si>
    <t>S117268</t>
  </si>
  <si>
    <t>SC108714</t>
  </si>
  <si>
    <t>S117287</t>
  </si>
  <si>
    <t>SC108730</t>
  </si>
  <si>
    <t>KOVAI  SURAJIT ROADLIMNES</t>
  </si>
  <si>
    <t>S117288</t>
  </si>
  <si>
    <t>SC108731</t>
  </si>
  <si>
    <t>SREE MHAA ROADLINES</t>
  </si>
  <si>
    <t>S117289</t>
  </si>
  <si>
    <t>S117290</t>
  </si>
  <si>
    <t>SC108740</t>
  </si>
  <si>
    <t>S117300</t>
  </si>
  <si>
    <t>SC110301</t>
  </si>
  <si>
    <t>SB68946</t>
  </si>
  <si>
    <t>S117292</t>
  </si>
  <si>
    <t>SC108739</t>
  </si>
  <si>
    <t>SB68951</t>
  </si>
  <si>
    <t>S118468</t>
  </si>
  <si>
    <t>SC110308</t>
  </si>
  <si>
    <t>SB68945</t>
  </si>
  <si>
    <t>S118469</t>
  </si>
  <si>
    <t>SC110307</t>
  </si>
  <si>
    <t>S118483</t>
  </si>
  <si>
    <t>SC110324</t>
  </si>
  <si>
    <t>SB68947</t>
  </si>
  <si>
    <t>S118491</t>
  </si>
  <si>
    <t>SC110322</t>
  </si>
  <si>
    <t>S118464</t>
  </si>
  <si>
    <t>S118476</t>
  </si>
  <si>
    <t>SC110323</t>
  </si>
  <si>
    <t>S118480</t>
  </si>
  <si>
    <t>SC110327</t>
  </si>
  <si>
    <t>PADMAPRIYA A</t>
  </si>
  <si>
    <t>SB68982</t>
  </si>
  <si>
    <t>S118484</t>
  </si>
  <si>
    <t>SC110328</t>
  </si>
  <si>
    <t>S118485</t>
  </si>
  <si>
    <t>SC110335</t>
  </si>
  <si>
    <t>SM33918</t>
  </si>
  <si>
    <t>S118501</t>
  </si>
  <si>
    <t>SC110326</t>
  </si>
  <si>
    <t>S118502</t>
  </si>
  <si>
    <t>SC110338</t>
  </si>
  <si>
    <t>S118486</t>
  </si>
  <si>
    <t>SC110342</t>
  </si>
  <si>
    <t>SB68948</t>
  </si>
  <si>
    <t>S118512</t>
  </si>
  <si>
    <t>SC110353</t>
  </si>
  <si>
    <t>KARTHIKEYAN TPT</t>
  </si>
  <si>
    <t>KARTHIKEYAN TRANSPORT</t>
  </si>
  <si>
    <t>SB68987</t>
  </si>
  <si>
    <t>SM33897</t>
  </si>
  <si>
    <t>S118510</t>
  </si>
  <si>
    <t>SC110347</t>
  </si>
  <si>
    <t>SEVRAJ S</t>
  </si>
  <si>
    <t>SB68972</t>
  </si>
  <si>
    <t>S118511</t>
  </si>
  <si>
    <t>SC110352</t>
  </si>
  <si>
    <t>SURESH</t>
  </si>
  <si>
    <t>SB68970</t>
  </si>
  <si>
    <t>S118513</t>
  </si>
  <si>
    <t>SC110360</t>
  </si>
  <si>
    <t>KOVAI SURJET TPT</t>
  </si>
  <si>
    <t>S118503</t>
  </si>
  <si>
    <t>SC110346</t>
  </si>
  <si>
    <t>VIJAYN</t>
  </si>
  <si>
    <t>S118525</t>
  </si>
  <si>
    <t>SC110361</t>
  </si>
  <si>
    <t>SB69025</t>
  </si>
  <si>
    <t>S118532</t>
  </si>
  <si>
    <t>SC110366</t>
  </si>
  <si>
    <t>S118533</t>
  </si>
  <si>
    <t>S118534</t>
  </si>
  <si>
    <t>SC110367</t>
  </si>
  <si>
    <t>MURUGESAN</t>
  </si>
  <si>
    <t>SB68976</t>
  </si>
  <si>
    <t>S118524</t>
  </si>
  <si>
    <t>SC110368</t>
  </si>
  <si>
    <t>SB68988</t>
  </si>
  <si>
    <t>S118535</t>
  </si>
  <si>
    <t>SC110373</t>
  </si>
  <si>
    <t>S118546</t>
  </si>
  <si>
    <t>SC110381</t>
  </si>
  <si>
    <t>KOVAI SURAJITH ROALINES</t>
  </si>
  <si>
    <t>S118547</t>
  </si>
  <si>
    <t>S118536</t>
  </si>
  <si>
    <t>SC110382</t>
  </si>
  <si>
    <t>S118548</t>
  </si>
  <si>
    <t>S118562</t>
  </si>
  <si>
    <t>SC110391</t>
  </si>
  <si>
    <t>SB68996</t>
  </si>
  <si>
    <t>S118566</t>
  </si>
  <si>
    <t>SC110394</t>
  </si>
  <si>
    <t>PADMA PRIYA A</t>
  </si>
  <si>
    <t>SB69046</t>
  </si>
  <si>
    <t>S118564</t>
  </si>
  <si>
    <t>SC110395</t>
  </si>
  <si>
    <t>RANGASAMY</t>
  </si>
  <si>
    <t>S118565</t>
  </si>
  <si>
    <t>S118567</t>
  </si>
  <si>
    <t>SC110398</t>
  </si>
  <si>
    <t>SB69005</t>
  </si>
  <si>
    <t>S118578</t>
  </si>
  <si>
    <t>SC110399</t>
  </si>
  <si>
    <t>SELVARAJ S</t>
  </si>
  <si>
    <t>SB68997</t>
  </si>
  <si>
    <t>S118579</t>
  </si>
  <si>
    <t>SC110406</t>
  </si>
  <si>
    <t>S118581</t>
  </si>
  <si>
    <t>SC110404</t>
  </si>
  <si>
    <t>SB69037</t>
  </si>
  <si>
    <t>S118582</t>
  </si>
  <si>
    <t>SC110413</t>
  </si>
  <si>
    <t>S118588</t>
  </si>
  <si>
    <t>SC110410</t>
  </si>
  <si>
    <t>SB69032</t>
  </si>
  <si>
    <t>S118580</t>
  </si>
  <si>
    <t>SC110412</t>
  </si>
  <si>
    <t>SB69006</t>
  </si>
  <si>
    <t>S118590</t>
  </si>
  <si>
    <t>SC110409</t>
  </si>
  <si>
    <t>S118599</t>
  </si>
  <si>
    <t>SC110416</t>
  </si>
  <si>
    <t>S118606</t>
  </si>
  <si>
    <t>SC110420</t>
  </si>
  <si>
    <t>SB69016</t>
  </si>
  <si>
    <t>S118589</t>
  </si>
  <si>
    <t>SC110419</t>
  </si>
  <si>
    <t>S118601</t>
  </si>
  <si>
    <t>SC110427</t>
  </si>
  <si>
    <t>S118614</t>
  </si>
  <si>
    <t>SC110433</t>
  </si>
  <si>
    <t>KARTHIKEYAN E</t>
  </si>
  <si>
    <t>S118602</t>
  </si>
  <si>
    <t>SC110434</t>
  </si>
  <si>
    <t>S118603</t>
  </si>
  <si>
    <t>SB69045</t>
  </si>
  <si>
    <t>S118604</t>
  </si>
  <si>
    <t>SC110441</t>
  </si>
  <si>
    <t>SM33925</t>
  </si>
  <si>
    <t>S118605</t>
  </si>
  <si>
    <t>SC110442</t>
  </si>
  <si>
    <t>PADAMA PRIYA</t>
  </si>
  <si>
    <t>SB69029</t>
  </si>
  <si>
    <t>S118600</t>
  </si>
  <si>
    <t>SC110426</t>
  </si>
  <si>
    <t>S118645</t>
  </si>
  <si>
    <t>SC110466</t>
  </si>
  <si>
    <t>SB69074</t>
  </si>
  <si>
    <t>S118643</t>
  </si>
  <si>
    <t>SC110471</t>
  </si>
  <si>
    <t>KAVAI SURAJIT ROADLINES</t>
  </si>
  <si>
    <t>SB69073</t>
  </si>
  <si>
    <t>S118644</t>
  </si>
  <si>
    <t>SC110469</t>
  </si>
  <si>
    <t>SHREE BHAGAVATHI TRANSPORT</t>
  </si>
  <si>
    <t>SHREE BHAGAVATHI</t>
  </si>
  <si>
    <t>SB69119</t>
  </si>
  <si>
    <t>S118664</t>
  </si>
  <si>
    <t>SC110473</t>
  </si>
  <si>
    <t>SB69120</t>
  </si>
  <si>
    <t>S118676</t>
  </si>
  <si>
    <t>SC110484</t>
  </si>
  <si>
    <t>RAVI.A</t>
  </si>
  <si>
    <t>A RAVI</t>
  </si>
  <si>
    <t>SB69071</t>
  </si>
  <si>
    <t>S118665</t>
  </si>
  <si>
    <t>SB69070</t>
  </si>
  <si>
    <t>S118674</t>
  </si>
  <si>
    <t>SC110486</t>
  </si>
  <si>
    <t>PADDMA PRIYA</t>
  </si>
  <si>
    <t>SB69078</t>
  </si>
  <si>
    <t>S118679</t>
  </si>
  <si>
    <t>SC110489</t>
  </si>
  <si>
    <t>KOVAI SURAJIT ROADWAYS</t>
  </si>
  <si>
    <t>SB69072</t>
  </si>
  <si>
    <t>S118680</t>
  </si>
  <si>
    <t>SC110500</t>
  </si>
  <si>
    <t>S RATHIN CHAND</t>
  </si>
  <si>
    <t>SB69079</t>
  </si>
  <si>
    <t>S118634</t>
  </si>
  <si>
    <t>SC110465</t>
  </si>
  <si>
    <t>S118681</t>
  </si>
  <si>
    <t>SC110504</t>
  </si>
  <si>
    <t>SB69082</t>
  </si>
  <si>
    <t>S118699</t>
  </si>
  <si>
    <t>SC110508</t>
  </si>
  <si>
    <t>R S T TRANSPORT</t>
  </si>
  <si>
    <t>SB69075</t>
  </si>
  <si>
    <t>S118700</t>
  </si>
  <si>
    <t>SC110511</t>
  </si>
  <si>
    <t>SB69080</t>
  </si>
  <si>
    <t>S118727</t>
  </si>
  <si>
    <t>SC110512</t>
  </si>
  <si>
    <t>SB69090</t>
  </si>
  <si>
    <t>S118728</t>
  </si>
  <si>
    <t>SC110513</t>
  </si>
  <si>
    <t>S118729</t>
  </si>
  <si>
    <t>SC110515</t>
  </si>
  <si>
    <t>SB69097</t>
  </si>
  <si>
    <t>S118730</t>
  </si>
  <si>
    <t>SC110516</t>
  </si>
  <si>
    <t>SHREE BHAGAVATHI ROADLINES</t>
  </si>
  <si>
    <t>SB69105</t>
  </si>
  <si>
    <t>S118696</t>
  </si>
  <si>
    <t>SC110517</t>
  </si>
  <si>
    <t>SB69081</t>
  </si>
  <si>
    <t>S118724</t>
  </si>
  <si>
    <t>SC110518</t>
  </si>
  <si>
    <t>S118726</t>
  </si>
  <si>
    <t>SC110519</t>
  </si>
  <si>
    <t>S118731</t>
  </si>
  <si>
    <t>SC110520</t>
  </si>
  <si>
    <t>S118725</t>
  </si>
  <si>
    <t>SC110523</t>
  </si>
  <si>
    <t>SB69096</t>
  </si>
  <si>
    <t>S118733</t>
  </si>
  <si>
    <t>SC110524</t>
  </si>
  <si>
    <t>SB69121</t>
  </si>
  <si>
    <t>S118715</t>
  </si>
  <si>
    <t>SC110525</t>
  </si>
  <si>
    <t>R SUKUMAR</t>
  </si>
  <si>
    <t>SB69115</t>
  </si>
  <si>
    <t>S118714</t>
  </si>
  <si>
    <t>SC110526</t>
  </si>
  <si>
    <t>G SATISH KUMAR</t>
  </si>
  <si>
    <t>SB69114</t>
  </si>
  <si>
    <t>S118717</t>
  </si>
  <si>
    <t>SC110527</t>
  </si>
  <si>
    <t>P CHANDRASEKARAN</t>
  </si>
  <si>
    <t>SB69116</t>
  </si>
  <si>
    <t>S118718</t>
  </si>
  <si>
    <t>SC110529</t>
  </si>
  <si>
    <t>SB69125</t>
  </si>
  <si>
    <t>S118716</t>
  </si>
  <si>
    <t>SC110530</t>
  </si>
  <si>
    <t>S118720</t>
  </si>
  <si>
    <t>SC110534</t>
  </si>
  <si>
    <t>VST LOGISTICS</t>
  </si>
  <si>
    <t>SB69122</t>
  </si>
  <si>
    <t>S118721</t>
  </si>
  <si>
    <t>SC110535</t>
  </si>
  <si>
    <t>S118719</t>
  </si>
  <si>
    <t>SC110536</t>
  </si>
  <si>
    <t>S118740</t>
  </si>
  <si>
    <t>SC110537</t>
  </si>
  <si>
    <t>S118742</t>
  </si>
  <si>
    <t>SC110539</t>
  </si>
  <si>
    <t>S118743</t>
  </si>
  <si>
    <t>SC110540</t>
  </si>
  <si>
    <t>SB69123</t>
  </si>
  <si>
    <t>S118747</t>
  </si>
  <si>
    <t>SC110542</t>
  </si>
  <si>
    <t>S118748</t>
  </si>
  <si>
    <t>SC110543</t>
  </si>
  <si>
    <t>S118749</t>
  </si>
  <si>
    <t>SC110544</t>
  </si>
  <si>
    <t>S118750</t>
  </si>
  <si>
    <t>SC110545</t>
  </si>
  <si>
    <t>S118751</t>
  </si>
  <si>
    <t>SC110546</t>
  </si>
  <si>
    <t>S118757</t>
  </si>
  <si>
    <t>SC110550</t>
  </si>
  <si>
    <t>S111450</t>
  </si>
  <si>
    <t>BDI INDIA PRIVATE LIMITED</t>
  </si>
  <si>
    <t>URANIUM CORPORATION OF INDIA LIMITED</t>
  </si>
  <si>
    <t>SC99238</t>
  </si>
  <si>
    <t>SB68855</t>
  </si>
  <si>
    <t>SM33864</t>
  </si>
  <si>
    <t>S118629</t>
  </si>
  <si>
    <t>WIPRO ENTERPRISES PVT LTD (WIPRO WATER)</t>
  </si>
  <si>
    <t>SC110444</t>
  </si>
  <si>
    <t>K K TRASNPORT</t>
  </si>
  <si>
    <t>SB69053</t>
  </si>
  <si>
    <t>S118628</t>
  </si>
  <si>
    <t>RAGAVENDRA BLUE METAL</t>
  </si>
  <si>
    <t>SC110431</t>
  </si>
  <si>
    <t>SB69020</t>
  </si>
  <si>
    <t>SM33924</t>
  </si>
  <si>
    <t>NEFT CR SCBL 0036001 MR DINESH S</t>
  </si>
  <si>
    <t>S118617</t>
  </si>
  <si>
    <t>SAKTHI AUTO COMPONENT LIMITED</t>
  </si>
  <si>
    <t>SC110432</t>
  </si>
  <si>
    <t>SB69047</t>
  </si>
  <si>
    <t>S118613</t>
  </si>
  <si>
    <t>PICSON CONSTRUCTION EQUIPMENTS PRIVATE LIMITED</t>
  </si>
  <si>
    <t>SC110425</t>
  </si>
  <si>
    <t>SB69027</t>
  </si>
  <si>
    <t>S75668</t>
  </si>
  <si>
    <t>BEST HEAT TREATMENT SERVICES</t>
  </si>
  <si>
    <t>S. C. SARAVANAN</t>
  </si>
  <si>
    <t>SC56060</t>
  </si>
  <si>
    <t>SRI BALAJI TPT</t>
  </si>
  <si>
    <t>SM16713</t>
  </si>
  <si>
    <t>S88725</t>
  </si>
  <si>
    <t>BEST HEAT TREATMENT SERVICES C/O BHEL</t>
  </si>
  <si>
    <t>SC88767</t>
  </si>
  <si>
    <t>SB52713</t>
  </si>
  <si>
    <t>SM16886</t>
  </si>
  <si>
    <t>S94321</t>
  </si>
  <si>
    <t>BHARAT HEAVY ELECTRICALS LIMITED</t>
  </si>
  <si>
    <t>SC88953</t>
  </si>
  <si>
    <t>P MEIVEL</t>
  </si>
  <si>
    <t>SB59052</t>
  </si>
  <si>
    <t>S94325</t>
  </si>
  <si>
    <t>SC88954</t>
  </si>
  <si>
    <t>SM30215</t>
  </si>
  <si>
    <t>A/C NO 50100133670933 -TPT BEST HEAT TREATMENT</t>
  </si>
  <si>
    <t>S94329</t>
  </si>
  <si>
    <t>SC88978</t>
  </si>
  <si>
    <t>S94367</t>
  </si>
  <si>
    <t>BHEL</t>
  </si>
  <si>
    <t>SC94009</t>
  </si>
  <si>
    <t>SB59101</t>
  </si>
  <si>
    <t>SM30200</t>
  </si>
  <si>
    <t>CB STONE CRUSHER ( C/O CHARLESBHASKAR PONNAPATY )</t>
  </si>
  <si>
    <t>S118572</t>
  </si>
  <si>
    <t>CB STONE CRUSHER</t>
  </si>
  <si>
    <t>SC110388</t>
  </si>
  <si>
    <t>MAHAVEER DHARKAR</t>
  </si>
  <si>
    <t>SB69035</t>
  </si>
  <si>
    <t>S118591</t>
  </si>
  <si>
    <t>COIMBATORE MURUGAN MILLS (CBE)</t>
  </si>
  <si>
    <t>VISAKHAPATNAM STEEL PLANT.</t>
  </si>
  <si>
    <t>SC110408</t>
  </si>
  <si>
    <t>CHERRAN TRANSPORT</t>
  </si>
  <si>
    <t>CHERRAN TRASNPORT</t>
  </si>
  <si>
    <t>SB69004</t>
  </si>
  <si>
    <t>SM33881</t>
  </si>
  <si>
    <t>S118608</t>
  </si>
  <si>
    <t>NATIONAL TEXTILE CORPORATION LIMITED(CBE)</t>
  </si>
  <si>
    <t>SC110417</t>
  </si>
  <si>
    <t>SB69031</t>
  </si>
  <si>
    <t>SM33900</t>
  </si>
  <si>
    <t>S118626</t>
  </si>
  <si>
    <t>VAAMAN TEXPRINT PRIVATE LIMITED</t>
  </si>
  <si>
    <t>SC110446</t>
  </si>
  <si>
    <t>SB69034</t>
  </si>
  <si>
    <t>S118661</t>
  </si>
  <si>
    <t>SC110464</t>
  </si>
  <si>
    <t>SB69110</t>
  </si>
  <si>
    <t>S118517</t>
  </si>
  <si>
    <t>SC110494</t>
  </si>
  <si>
    <t>SB69109</t>
  </si>
  <si>
    <t>S118701</t>
  </si>
  <si>
    <t>SC110501</t>
  </si>
  <si>
    <t>SB69066</t>
  </si>
  <si>
    <t>SM33917</t>
  </si>
  <si>
    <t>S118711</t>
  </si>
  <si>
    <t>SC110503</t>
  </si>
  <si>
    <t>S118703</t>
  </si>
  <si>
    <t>SC110506</t>
  </si>
  <si>
    <t>SB69095</t>
  </si>
  <si>
    <t>SB68780</t>
  </si>
  <si>
    <t>S102503</t>
  </si>
  <si>
    <t>D P JAIN &amp; CO INFRASTRUCTURE PRIVATE LIMITED</t>
  </si>
  <si>
    <t>SC94475</t>
  </si>
  <si>
    <t>SB59225</t>
  </si>
  <si>
    <t>SM32155</t>
  </si>
  <si>
    <t>S102524</t>
  </si>
  <si>
    <t>SC94491</t>
  </si>
  <si>
    <t>SB59226</t>
  </si>
  <si>
    <t>SM32164</t>
  </si>
  <si>
    <t>A/C NO 50100133670933 -TPT  D P JAIN INFRA PVT L</t>
  </si>
  <si>
    <t>S102548</t>
  </si>
  <si>
    <t>SC98052</t>
  </si>
  <si>
    <t>SB59227</t>
  </si>
  <si>
    <t>SM32168</t>
  </si>
  <si>
    <t>A/C NO 50100133670933 -TPT D P JAIN INFRA RS.31000/- ON A/C 37000/-ADJ</t>
  </si>
  <si>
    <t>S104153</t>
  </si>
  <si>
    <t>SC94646</t>
  </si>
  <si>
    <t>SB65029</t>
  </si>
  <si>
    <t>S104155</t>
  </si>
  <si>
    <t>SC94647</t>
  </si>
  <si>
    <t>SB65030</t>
  </si>
  <si>
    <t>SB68861</t>
  </si>
  <si>
    <t>SM32691</t>
  </si>
  <si>
    <t>S104163</t>
  </si>
  <si>
    <t>SC94655</t>
  </si>
  <si>
    <t>SB65033</t>
  </si>
  <si>
    <t>S104161</t>
  </si>
  <si>
    <t>SC94656</t>
  </si>
  <si>
    <t>SB65032</t>
  </si>
  <si>
    <t>SM32700</t>
  </si>
  <si>
    <t>S110358</t>
  </si>
  <si>
    <t>SC98048</t>
  </si>
  <si>
    <t>OM GANPATHI TRANSPORT</t>
  </si>
  <si>
    <t>OM GANAPATHI TRANSPORT</t>
  </si>
  <si>
    <t>OM GANAPTHI TRANSPORT</t>
  </si>
  <si>
    <t>OM GANAPATHI  TPT</t>
  </si>
  <si>
    <t>SB68755</t>
  </si>
  <si>
    <t>S117201</t>
  </si>
  <si>
    <t>SC105897</t>
  </si>
  <si>
    <t>KACITHA C</t>
  </si>
  <si>
    <t>KAVITH C</t>
  </si>
  <si>
    <t>SB68908</t>
  </si>
  <si>
    <t>S114347</t>
  </si>
  <si>
    <t>SC105898</t>
  </si>
  <si>
    <t>SB68907</t>
  </si>
  <si>
    <t>S117216</t>
  </si>
  <si>
    <t>SC108654</t>
  </si>
  <si>
    <t>SB68913</t>
  </si>
  <si>
    <t>S117215</t>
  </si>
  <si>
    <t>SC108658</t>
  </si>
  <si>
    <t>SB68912</t>
  </si>
  <si>
    <t>S117291</t>
  </si>
  <si>
    <t>ROSSI GEARMOTERS (INDIA) PVT LTD</t>
  </si>
  <si>
    <t>EXCEL CRAFT PRIVATE LIMITED</t>
  </si>
  <si>
    <t>SC108729</t>
  </si>
  <si>
    <t>SMR TRANSPORT</t>
  </si>
  <si>
    <t>S SARATH  KUMAR</t>
  </si>
  <si>
    <t>SARATH KUMAR</t>
  </si>
  <si>
    <t>SB68958</t>
  </si>
  <si>
    <t>SM33859</t>
  </si>
  <si>
    <t>CHQ DEP -MICR CLG-SERVICE BRANCH CHQ NO78363 DT 20/11/18 RS.32000/-</t>
  </si>
  <si>
    <t>S118492</t>
  </si>
  <si>
    <t>SC110321</t>
  </si>
  <si>
    <t>R</t>
  </si>
  <si>
    <t>SB68979</t>
  </si>
  <si>
    <t>SM33877</t>
  </si>
  <si>
    <t>CHQ DEP -MICR CLG-SERVICE BRANCH CHQ NO 81792 DT.04/01/19 RS.26000/-</t>
  </si>
  <si>
    <t>S118496</t>
  </si>
  <si>
    <t>SC110339</t>
  </si>
  <si>
    <t>SB68983</t>
  </si>
  <si>
    <t>S118504</t>
  </si>
  <si>
    <t>SC110336</t>
  </si>
  <si>
    <t>SB68984</t>
  </si>
  <si>
    <t>S118475</t>
  </si>
  <si>
    <t>SC110348</t>
  </si>
  <si>
    <t>SB69024</t>
  </si>
  <si>
    <t>S118593</t>
  </si>
  <si>
    <t>SC110443</t>
  </si>
  <si>
    <t>SB69051</t>
  </si>
  <si>
    <t>S114348</t>
  </si>
  <si>
    <t>KRISHNA ENTERPRISES</t>
  </si>
  <si>
    <t>HINDUSTAN PRODUCTS</t>
  </si>
  <si>
    <t>SC105891</t>
  </si>
  <si>
    <t>SB68930</t>
  </si>
  <si>
    <t>SM32699</t>
  </si>
  <si>
    <t>S117220</t>
  </si>
  <si>
    <t>SC108653</t>
  </si>
  <si>
    <t>SB68905</t>
  </si>
  <si>
    <t>S117221</t>
  </si>
  <si>
    <t>SC108659</t>
  </si>
  <si>
    <t>SB68906</t>
  </si>
  <si>
    <t>S99047</t>
  </si>
  <si>
    <t>HLE ENGINEERS PVT LTD</t>
  </si>
  <si>
    <t>HLE ENGINEERS PRIVATE LIMITED</t>
  </si>
  <si>
    <t>SC94272</t>
  </si>
  <si>
    <t>MANI BROTHERS AVINASHI ROAD ASASUR</t>
  </si>
  <si>
    <t>PALANI SAMY</t>
  </si>
  <si>
    <t>M AURUNA</t>
  </si>
  <si>
    <t>S SUGUDEVAN</t>
  </si>
  <si>
    <t>SB59107</t>
  </si>
  <si>
    <t>S99048</t>
  </si>
  <si>
    <t>SC94273</t>
  </si>
  <si>
    <t>NALLI TRANSPORT CARRIER</t>
  </si>
  <si>
    <t>SELLAPPAN</t>
  </si>
  <si>
    <t>SM30164</t>
  </si>
  <si>
    <t>NEFT CR H L E</t>
  </si>
  <si>
    <t>S104039</t>
  </si>
  <si>
    <t>HLE ENGINEERING PVT LTD</t>
  </si>
  <si>
    <t>SC94587</t>
  </si>
  <si>
    <t>SB64987</t>
  </si>
  <si>
    <t>SM32208</t>
  </si>
  <si>
    <t>H L E</t>
  </si>
  <si>
    <t>S111401</t>
  </si>
  <si>
    <t>SC99189</t>
  </si>
  <si>
    <t>SB68783</t>
  </si>
  <si>
    <t>SM31303</t>
  </si>
  <si>
    <t>HLE ENGINEERS - HLE TO MAXWELL LOGIS REF 000808243693869 DT 24/08/18 RS.60760/-</t>
  </si>
  <si>
    <t>S111445</t>
  </si>
  <si>
    <t>SC99223</t>
  </si>
  <si>
    <t>SB68782</t>
  </si>
  <si>
    <t>S117278</t>
  </si>
  <si>
    <t>SC108721</t>
  </si>
  <si>
    <t>SB68969</t>
  </si>
  <si>
    <t>S118672</t>
  </si>
  <si>
    <t>SC110475</t>
  </si>
  <si>
    <t>SB69113</t>
  </si>
  <si>
    <t>S84940</t>
  </si>
  <si>
    <t>HYDAC INDIA PRIVATE LIMITED (CBE)</t>
  </si>
  <si>
    <t>ZF WIND POWER COMBATORE PVT LTD</t>
  </si>
  <si>
    <t>SC56195</t>
  </si>
  <si>
    <t>SB50705</t>
  </si>
  <si>
    <t>SM16751</t>
  </si>
  <si>
    <t>FT-CR-00312320005399-HYDAC (INDIA)</t>
  </si>
  <si>
    <t>S84946</t>
  </si>
  <si>
    <t>SUZLON GLOBAL SERVICES LTD</t>
  </si>
  <si>
    <t>SC56216</t>
  </si>
  <si>
    <t>DURGA TRANSPORT CO.</t>
  </si>
  <si>
    <t>SB50738</t>
  </si>
  <si>
    <t>SM16794</t>
  </si>
  <si>
    <t>CHQ 10269 -RS.67620/-</t>
  </si>
  <si>
    <t>S84956</t>
  </si>
  <si>
    <t>Apc india pvt ltd</t>
  </si>
  <si>
    <t>SC56232</t>
  </si>
  <si>
    <t>NEW SOUTH GOLDEN TRANSPORTS</t>
  </si>
  <si>
    <t>SB50764</t>
  </si>
  <si>
    <t>SM16812</t>
  </si>
  <si>
    <t>CASH</t>
  </si>
  <si>
    <t>S84954</t>
  </si>
  <si>
    <t>SC56230</t>
  </si>
  <si>
    <t>SB50724</t>
  </si>
  <si>
    <t>S84994</t>
  </si>
  <si>
    <t xml:space="preserve">RajASHTHAN RAJYA VIDYUT </t>
  </si>
  <si>
    <t>SC56262</t>
  </si>
  <si>
    <t>SB50765</t>
  </si>
  <si>
    <t>S84995</t>
  </si>
  <si>
    <t>SC56263</t>
  </si>
  <si>
    <t>SB50766</t>
  </si>
  <si>
    <t>SM16836</t>
  </si>
  <si>
    <t>SM16844</t>
  </si>
  <si>
    <t>SM16861</t>
  </si>
  <si>
    <t>IMPS 632312142838 C KANITH HDFC 18/11/16</t>
  </si>
  <si>
    <t>50100153203375-TPT HYDAC INDIA PRIVATE DT 28/11/16</t>
  </si>
  <si>
    <t>FTCR00312320005399 HYDAC( INDIA) 29/12/16 RS 99000 ON A/C 75000</t>
  </si>
  <si>
    <t>S84754</t>
  </si>
  <si>
    <t>SC56271</t>
  </si>
  <si>
    <t>DURGA ROAD LINES</t>
  </si>
  <si>
    <t>SB50760</t>
  </si>
  <si>
    <t>S84769</t>
  </si>
  <si>
    <t>ANDRITZ HYDRO PVT LTD</t>
  </si>
  <si>
    <t>SC56289</t>
  </si>
  <si>
    <t>SB50789</t>
  </si>
  <si>
    <t>SM16818</t>
  </si>
  <si>
    <t>CHQ NO.11468 RS.83300/- SERVICE BRANCH</t>
  </si>
  <si>
    <t>S84784</t>
  </si>
  <si>
    <t>HANNU SANCKS PRIVATE LIMITED</t>
  </si>
  <si>
    <t>JINDAL STEEL POWER PROJECT LTD</t>
  </si>
  <si>
    <t>SC56305</t>
  </si>
  <si>
    <t>SB50798</t>
  </si>
  <si>
    <t>S84783</t>
  </si>
  <si>
    <t>JINDAL STEEL &amp; POWAR LTD</t>
  </si>
  <si>
    <t>SC56306</t>
  </si>
  <si>
    <t>SB50799</t>
  </si>
  <si>
    <t>SM16811</t>
  </si>
  <si>
    <t>SM16816</t>
  </si>
  <si>
    <t>BRANCH</t>
  </si>
  <si>
    <t>HO SCA-8157 08/09/16</t>
  </si>
  <si>
    <t>CHQ NO. 11297 &amp; 11298</t>
  </si>
  <si>
    <t>S88554</t>
  </si>
  <si>
    <t>SC56358</t>
  </si>
  <si>
    <t>SB52559</t>
  </si>
  <si>
    <t>CHQ NO.11468 RS.8820/- SERVICE BRANCH</t>
  </si>
  <si>
    <t>S88643</t>
  </si>
  <si>
    <t>SC56440</t>
  </si>
  <si>
    <t>SB52603</t>
  </si>
  <si>
    <t>SM16854</t>
  </si>
  <si>
    <t>A/C NO 50100153203375-TPT HYDAC INDIA PRIVATE DT 16/12/16</t>
  </si>
  <si>
    <t>S88635</t>
  </si>
  <si>
    <t>SC56441</t>
  </si>
  <si>
    <t>S88647</t>
  </si>
  <si>
    <t>SC56442</t>
  </si>
  <si>
    <t>SB52681</t>
  </si>
  <si>
    <t>SM30156</t>
  </si>
  <si>
    <t>A/C NO. 50100133670933 - TPT-APC INDIA PVT LIMI</t>
  </si>
  <si>
    <t>S88681</t>
  </si>
  <si>
    <t>M steel india ltd</t>
  </si>
  <si>
    <t>SC56487</t>
  </si>
  <si>
    <t>SB52668</t>
  </si>
  <si>
    <t>FTCR00312320005399 HYDAC INDIA</t>
  </si>
  <si>
    <t>S88689</t>
  </si>
  <si>
    <t>SC56489</t>
  </si>
  <si>
    <t>ATHMA TRANS CARRIER</t>
  </si>
  <si>
    <t>SB52669</t>
  </si>
  <si>
    <t>SM16867</t>
  </si>
  <si>
    <t>SM16868</t>
  </si>
  <si>
    <t>RS.75000/-</t>
  </si>
  <si>
    <t>CHQ NO.12448 RS.99000/-</t>
  </si>
  <si>
    <t>CHQ NO. 12666 RS.78360/-</t>
  </si>
  <si>
    <t>A/C NO. 50100153203375 -TPT HYDAC INDIA PVT LIMITED</t>
  </si>
  <si>
    <t>S88701</t>
  </si>
  <si>
    <t>REGEN POWERTECH PVT LTD</t>
  </si>
  <si>
    <t>SC88751</t>
  </si>
  <si>
    <t>SB52692</t>
  </si>
  <si>
    <t>SM16899</t>
  </si>
  <si>
    <t>CHQ NO. 13008</t>
  </si>
  <si>
    <t>S88714</t>
  </si>
  <si>
    <t>SUZLON ENERGY LTD PCY</t>
  </si>
  <si>
    <t>SC88758</t>
  </si>
  <si>
    <t>SB52693</t>
  </si>
  <si>
    <t>CHQ NO.13008</t>
  </si>
  <si>
    <t>S88727</t>
  </si>
  <si>
    <t>ROURKELA STEEL PLANT</t>
  </si>
  <si>
    <t>SC88772</t>
  </si>
  <si>
    <t>SB52714</t>
  </si>
  <si>
    <t>S88724</t>
  </si>
  <si>
    <t>SUZLON ENGERY LIMITED</t>
  </si>
  <si>
    <t>SC88773</t>
  </si>
  <si>
    <t>OM SAI CARGO CARRIERS</t>
  </si>
  <si>
    <t>SB52708</t>
  </si>
  <si>
    <t>SM30158</t>
  </si>
  <si>
    <t>A/C NO. 5010053203375-TPT-HYDAC INDIA PRIVATE</t>
  </si>
  <si>
    <t>S88749</t>
  </si>
  <si>
    <t>SC88796</t>
  </si>
  <si>
    <t>AATHMA TRANS CARRIER</t>
  </si>
  <si>
    <t>SB52738</t>
  </si>
  <si>
    <t>SM16920</t>
  </si>
  <si>
    <t>CHQ NO 13261 SERVICE BRANCH</t>
  </si>
  <si>
    <t>S94154</t>
  </si>
  <si>
    <t>NAKODA HYDRAULIC MACHINERY PVT LTD</t>
  </si>
  <si>
    <t>SC88800</t>
  </si>
  <si>
    <t>SB58976</t>
  </si>
  <si>
    <t>SM16936</t>
  </si>
  <si>
    <t>CHQ NO 4642</t>
  </si>
  <si>
    <t>S94161</t>
  </si>
  <si>
    <t>GAMESHA RENEWERS LTD</t>
  </si>
  <si>
    <t>SC88805</t>
  </si>
  <si>
    <t>MADHU ROADLINSE</t>
  </si>
  <si>
    <t>SB52740</t>
  </si>
  <si>
    <t>S94158</t>
  </si>
  <si>
    <t>SC88807</t>
  </si>
  <si>
    <t>SB52739</t>
  </si>
  <si>
    <t>S94219</t>
  </si>
  <si>
    <t>SC88859</t>
  </si>
  <si>
    <t>SB58958</t>
  </si>
  <si>
    <t>S94273</t>
  </si>
  <si>
    <t>SUZLON ENERGY LIMITED-DAMAN</t>
  </si>
  <si>
    <t>SC88909</t>
  </si>
  <si>
    <t>SB58996</t>
  </si>
  <si>
    <t>S94274</t>
  </si>
  <si>
    <t xml:space="preserve">SUZLON ENERGY LIMITED </t>
  </si>
  <si>
    <t>SM16942</t>
  </si>
  <si>
    <t>CHQ NO 13587 SERVICE BRANCH RS.50960/-</t>
  </si>
  <si>
    <t>S94285</t>
  </si>
  <si>
    <t>SC88925</t>
  </si>
  <si>
    <t>SNMR TPT</t>
  </si>
  <si>
    <t>SB58999</t>
  </si>
  <si>
    <t>S94297</t>
  </si>
  <si>
    <t>SC88938</t>
  </si>
  <si>
    <t>SB58998</t>
  </si>
  <si>
    <t>S94323</t>
  </si>
  <si>
    <t>ALSTON BHARAT FORGE POWER PVT LTD</t>
  </si>
  <si>
    <t>SC88966</t>
  </si>
  <si>
    <t>GANESH TRAILOR SERVICE</t>
  </si>
  <si>
    <t>SB59067</t>
  </si>
  <si>
    <t>SM30184</t>
  </si>
  <si>
    <t>CHQ NO 14341 SERVICE BRANCH RS.194040</t>
  </si>
  <si>
    <t>S94344</t>
  </si>
  <si>
    <t>SC88988</t>
  </si>
  <si>
    <t>SB59053</t>
  </si>
  <si>
    <t>S94335</t>
  </si>
  <si>
    <t>SC88972</t>
  </si>
  <si>
    <t>S94407</t>
  </si>
  <si>
    <t>SC94047</t>
  </si>
  <si>
    <t>P SANKAR</t>
  </si>
  <si>
    <t>P. SANKAR</t>
  </si>
  <si>
    <t>NAMAKKAL TRAILER ASSOCIATION</t>
  </si>
  <si>
    <t>SB59098</t>
  </si>
  <si>
    <t>SM30221</t>
  </si>
  <si>
    <t>CHQ NO 15169</t>
  </si>
  <si>
    <t>S94422</t>
  </si>
  <si>
    <t>SC94059</t>
  </si>
  <si>
    <t>OM  GANAPATHI</t>
  </si>
  <si>
    <t>SB59080</t>
  </si>
  <si>
    <t>S94418</t>
  </si>
  <si>
    <t>SM30199</t>
  </si>
  <si>
    <t>CHQ NO 14695 SERVICE BRANCH</t>
  </si>
  <si>
    <t>S94428</t>
  </si>
  <si>
    <t>SC94067</t>
  </si>
  <si>
    <t>MADHU ROAD LINCE</t>
  </si>
  <si>
    <t>SB59068</t>
  </si>
  <si>
    <t>S94431</t>
  </si>
  <si>
    <t>SC94068</t>
  </si>
  <si>
    <t>SB59084</t>
  </si>
  <si>
    <t>SM30191</t>
  </si>
  <si>
    <t>CHQ NO 14555 SERVICE BRANCH RS.100000/- RS.90200/- ON A/C</t>
  </si>
  <si>
    <t>S94557</t>
  </si>
  <si>
    <t>ZF  WIND  POWER COIMBATORE  PVT  LTD</t>
  </si>
  <si>
    <t>SC94429</t>
  </si>
  <si>
    <t>MADESWARAN</t>
  </si>
  <si>
    <t>KOVI  SURJEET  ROADLINES</t>
  </si>
  <si>
    <t>SB59175</t>
  </si>
  <si>
    <t>SM30237</t>
  </si>
  <si>
    <t>S102571</t>
  </si>
  <si>
    <t>SC94510</t>
  </si>
  <si>
    <t>SNMR  TPT</t>
  </si>
  <si>
    <t>SB59245</t>
  </si>
  <si>
    <t>S102572</t>
  </si>
  <si>
    <t>SC94511</t>
  </si>
  <si>
    <t>SB59246</t>
  </si>
  <si>
    <t>SM32205</t>
  </si>
  <si>
    <t>SM32219</t>
  </si>
  <si>
    <t>A/C NO. 50100133670933 - TPT-HYDAC INDIA PVT LIMI</t>
  </si>
  <si>
    <t>S104077</t>
  </si>
  <si>
    <t>WC &amp; C  ENGINEERING PVT  LTD</t>
  </si>
  <si>
    <t>SC94620</t>
  </si>
  <si>
    <t>ASHOK  (MAXWELL CO  DRIVER)</t>
  </si>
  <si>
    <t>SB64975</t>
  </si>
  <si>
    <t>SM32238</t>
  </si>
  <si>
    <t xml:space="preserve">BANK </t>
  </si>
  <si>
    <t>CHQ NO. 16819 SERVICE BRANCH</t>
  </si>
  <si>
    <t>S104173</t>
  </si>
  <si>
    <t>HYDAC INDIA PRIVATE LIMITED.</t>
  </si>
  <si>
    <t>SC94663</t>
  </si>
  <si>
    <t>KOVAI SURAJIT RAODLINES</t>
  </si>
  <si>
    <t>SB65008</t>
  </si>
  <si>
    <t>S104180</t>
  </si>
  <si>
    <t>SC94666</t>
  </si>
  <si>
    <t>SB65027</t>
  </si>
  <si>
    <t>S104182</t>
  </si>
  <si>
    <t>HINDUSTAN AERONATICS LIMITED</t>
  </si>
  <si>
    <t>SC94657</t>
  </si>
  <si>
    <t>OM GANAPATHI TRASNPORT</t>
  </si>
  <si>
    <t>SB65010</t>
  </si>
  <si>
    <t>S104183</t>
  </si>
  <si>
    <t>SM32662</t>
  </si>
  <si>
    <t xml:space="preserve">CHQ NO.17117 SERVICE BRANCH </t>
  </si>
  <si>
    <t>S104184</t>
  </si>
  <si>
    <t>SC94668</t>
  </si>
  <si>
    <t>SB65026</t>
  </si>
  <si>
    <t>S104185</t>
  </si>
  <si>
    <t>SUZLON GLOBAL SERVICES LIMITED</t>
  </si>
  <si>
    <t>SC94670</t>
  </si>
  <si>
    <t>SUGUDEVAN</t>
  </si>
  <si>
    <t>BADUSA.B</t>
  </si>
  <si>
    <t>SB65038</t>
  </si>
  <si>
    <t>S109456</t>
  </si>
  <si>
    <t>ALSTOM BHARAT FORGE POWER PVT LTD</t>
  </si>
  <si>
    <t>SC94683</t>
  </si>
  <si>
    <t>SB65035</t>
  </si>
  <si>
    <t>SM32688</t>
  </si>
  <si>
    <t>CHQ NO 17284 SERVICE BRANCH BILL NO SB65035,65047,68722</t>
  </si>
  <si>
    <t>S110438</t>
  </si>
  <si>
    <t>SC98034</t>
  </si>
  <si>
    <t>P .NATARAJAN</t>
  </si>
  <si>
    <t>P .NATAEAJAN</t>
  </si>
  <si>
    <t>SB68745</t>
  </si>
  <si>
    <t>S110353</t>
  </si>
  <si>
    <t>SC98039</t>
  </si>
  <si>
    <t>SB68740</t>
  </si>
  <si>
    <t>S110444</t>
  </si>
  <si>
    <t>THE CHIEF ENGINEER WANAKABORI, THERMAL POWER STATION</t>
  </si>
  <si>
    <t>SC98041</t>
  </si>
  <si>
    <t>SB68747</t>
  </si>
  <si>
    <t>SM31313</t>
  </si>
  <si>
    <t>SM31323</t>
  </si>
  <si>
    <t>ON A/C ADJ 74030 CHQ NO 17502</t>
  </si>
  <si>
    <t>CHQ NO 17652 RS.115796 BILL NO SB68747,68763,68769,68775</t>
  </si>
  <si>
    <t>S110446</t>
  </si>
  <si>
    <t>ENERGY PROCESSING INC</t>
  </si>
  <si>
    <t>SC98047</t>
  </si>
  <si>
    <t>SB68739</t>
  </si>
  <si>
    <t>SM32694</t>
  </si>
  <si>
    <t>CHQ NO 17362 SERVICE BRANCH BILL SB68725,68739,68741 RS.72100/- BILL 71050/- ON A/C 1050/-</t>
  </si>
  <si>
    <t>S110433</t>
  </si>
  <si>
    <t>SC98046</t>
  </si>
  <si>
    <t>MASHU ROADLINES</t>
  </si>
  <si>
    <t>SB68741</t>
  </si>
  <si>
    <t>S110445</t>
  </si>
  <si>
    <t>SIEMENS LIMITED</t>
  </si>
  <si>
    <t>SC98049</t>
  </si>
  <si>
    <t>SNMR  TRANSPORT</t>
  </si>
  <si>
    <t>SB68775</t>
  </si>
  <si>
    <t>S110369</t>
  </si>
  <si>
    <t>SC99128</t>
  </si>
  <si>
    <t>SB68722</t>
  </si>
  <si>
    <t>S110371</t>
  </si>
  <si>
    <t>SC99130</t>
  </si>
  <si>
    <t>SB68742</t>
  </si>
  <si>
    <t>SM31301</t>
  </si>
  <si>
    <t>CHQ NO. 17502 RS. 100000/- SERVICE BRANCH RS.74030/- ON A/C</t>
  </si>
  <si>
    <t>S110370</t>
  </si>
  <si>
    <t>PUTZMEISTER CONCRETE MACHINES PVT LTD..</t>
  </si>
  <si>
    <t>SC99143</t>
  </si>
  <si>
    <t>SERR MAHAA ROADLINES</t>
  </si>
  <si>
    <t>SB68763</t>
  </si>
  <si>
    <t>S111391</t>
  </si>
  <si>
    <t>ZF WIND POWER COIMBATORE PRIVATE LIMITED</t>
  </si>
  <si>
    <t>SC99182</t>
  </si>
  <si>
    <t>MADHU  ROADLINES</t>
  </si>
  <si>
    <t>S111392</t>
  </si>
  <si>
    <t>SC99181</t>
  </si>
  <si>
    <t>S111383</t>
  </si>
  <si>
    <t>SC99180</t>
  </si>
  <si>
    <t>KOVAI SUTRAJIT  ROADLINES</t>
  </si>
  <si>
    <t>SB68769</t>
  </si>
  <si>
    <t>S111388</t>
  </si>
  <si>
    <t>PUNJ LLOYD LTD...</t>
  </si>
  <si>
    <t>SC99198</t>
  </si>
  <si>
    <t>SB68787</t>
  </si>
  <si>
    <t>S111390</t>
  </si>
  <si>
    <t>SC99199</t>
  </si>
  <si>
    <t>SM31350</t>
  </si>
  <si>
    <t>CHQ NO. 18124 SERVICE BRANCH RS.166600/-</t>
  </si>
  <si>
    <t>S111417</t>
  </si>
  <si>
    <t>SC99206</t>
  </si>
  <si>
    <t>MADHU ROADLINES</t>
  </si>
  <si>
    <t>SB68799</t>
  </si>
  <si>
    <t>SM33862</t>
  </si>
  <si>
    <t>CHQ NO. 18319 SERVICE BRANCH RS.67060/-</t>
  </si>
  <si>
    <t>S111442</t>
  </si>
  <si>
    <t>SC99230</t>
  </si>
  <si>
    <t>SB68814</t>
  </si>
  <si>
    <t>S111446</t>
  </si>
  <si>
    <t>SC99231</t>
  </si>
  <si>
    <t>S114331</t>
  </si>
  <si>
    <t>SUZLON ENERGY LTD</t>
  </si>
  <si>
    <t>SC105868</t>
  </si>
  <si>
    <t>KOVAI SRAJIT  ROADLINES</t>
  </si>
  <si>
    <t>SB68851</t>
  </si>
  <si>
    <t>S118463</t>
  </si>
  <si>
    <t>SC110304</t>
  </si>
  <si>
    <t>SB68964</t>
  </si>
  <si>
    <t>SM33903</t>
  </si>
  <si>
    <t>CHQ NO. 19057 SERVICE BRANCH RS.22050/-</t>
  </si>
  <si>
    <t>S118493</t>
  </si>
  <si>
    <t>TENOVA INDIA PRIVATE LIMITED</t>
  </si>
  <si>
    <t>SC110333</t>
  </si>
  <si>
    <t>SB68957</t>
  </si>
  <si>
    <t>S118494</t>
  </si>
  <si>
    <t>S117298</t>
  </si>
  <si>
    <t>SC108742</t>
  </si>
  <si>
    <t>S118509</t>
  </si>
  <si>
    <t>SC110345</t>
  </si>
  <si>
    <t>SB69083</t>
  </si>
  <si>
    <t>SM33906</t>
  </si>
  <si>
    <t>CHQ NO. 19670 SERVICE BRANCH RS.30380/-</t>
  </si>
  <si>
    <t>S118545</t>
  </si>
  <si>
    <t>SC110372</t>
  </si>
  <si>
    <t>SB68977</t>
  </si>
  <si>
    <t>S118538</t>
  </si>
  <si>
    <t>S118539</t>
  </si>
  <si>
    <t>S118540</t>
  </si>
  <si>
    <t>S118514</t>
  </si>
  <si>
    <t>JSW STEEL LIMITED..</t>
  </si>
  <si>
    <t>SC110393</t>
  </si>
  <si>
    <t>SB69015</t>
  </si>
  <si>
    <t>S118569</t>
  </si>
  <si>
    <t>SC110396</t>
  </si>
  <si>
    <t>SB68986</t>
  </si>
  <si>
    <t>S118570</t>
  </si>
  <si>
    <t>SM33921</t>
  </si>
  <si>
    <t>CHQ NO. 19262 SERVICE BRANCH RS.31850/-</t>
  </si>
  <si>
    <t>S118555</t>
  </si>
  <si>
    <t>T D POWER SYSTEMS LIMITED</t>
  </si>
  <si>
    <t>SC110386</t>
  </si>
  <si>
    <t>S118554</t>
  </si>
  <si>
    <t>SB69048</t>
  </si>
  <si>
    <t>S118583</t>
  </si>
  <si>
    <t>SC110405</t>
  </si>
  <si>
    <t>SB68995</t>
  </si>
  <si>
    <t>S118584</t>
  </si>
  <si>
    <t>S118576</t>
  </si>
  <si>
    <t>COCHIN SHIPYARD LIMITED.</t>
  </si>
  <si>
    <t>SC110415</t>
  </si>
  <si>
    <t>S118624</t>
  </si>
  <si>
    <t>SC110449</t>
  </si>
  <si>
    <t>SB69049</t>
  </si>
  <si>
    <t>S118585</t>
  </si>
  <si>
    <t>SC110418</t>
  </si>
  <si>
    <t>S118651</t>
  </si>
  <si>
    <t>SC110452</t>
  </si>
  <si>
    <t>SB69059</t>
  </si>
  <si>
    <t>S118657</t>
  </si>
  <si>
    <t>SC110457</t>
  </si>
  <si>
    <t>S118646</t>
  </si>
  <si>
    <t>SC110458</t>
  </si>
  <si>
    <t>SB69112</t>
  </si>
  <si>
    <t>S118656</t>
  </si>
  <si>
    <t>SC110456</t>
  </si>
  <si>
    <t>S118641</t>
  </si>
  <si>
    <t>GODREJ AND BOYCE MFG CO LIMITED</t>
  </si>
  <si>
    <t>SC110467</t>
  </si>
  <si>
    <t>SHREE MAHA ROADLINES</t>
  </si>
  <si>
    <t>SB69111</t>
  </si>
  <si>
    <t>S118756</t>
  </si>
  <si>
    <t>SC110549</t>
  </si>
  <si>
    <t>SB69124</t>
  </si>
  <si>
    <t>S118755</t>
  </si>
  <si>
    <t>S118758</t>
  </si>
  <si>
    <t>SC110551</t>
  </si>
  <si>
    <t>S111423</t>
  </si>
  <si>
    <t>JAY STONE CRUSHER</t>
  </si>
  <si>
    <t>SC99219</t>
  </si>
  <si>
    <t>SMR TPT</t>
  </si>
  <si>
    <t>SARATHKUMAR</t>
  </si>
  <si>
    <t>SB68785</t>
  </si>
  <si>
    <t>SM32663</t>
  </si>
  <si>
    <t>CHQ NO 987 RAJKOT SERVICE RS.73000/-</t>
  </si>
  <si>
    <t>S75603</t>
  </si>
  <si>
    <t>JAYACHANRAN ALLOYS PVT. LTD</t>
  </si>
  <si>
    <t>LAUSYS INDIA BATTERIES P LTD.</t>
  </si>
  <si>
    <t>JAYACHANDRAN ALLOYS P LTD</t>
  </si>
  <si>
    <t>SC56028</t>
  </si>
  <si>
    <t>SB40201</t>
  </si>
  <si>
    <t>SM16704</t>
  </si>
  <si>
    <t>MDS SCA-1975</t>
  </si>
  <si>
    <t>S75610</t>
  </si>
  <si>
    <t>JAISONS POWER TECHNOLOGY P LTD</t>
  </si>
  <si>
    <t>SC44557</t>
  </si>
  <si>
    <t>SANKARI DHANALAKSHMI TRANSPORT</t>
  </si>
  <si>
    <t>SB40207</t>
  </si>
  <si>
    <t>SM21997</t>
  </si>
  <si>
    <t>MDS MAKE MR ENTRY</t>
  </si>
  <si>
    <t>S75611</t>
  </si>
  <si>
    <t>S84969</t>
  </si>
  <si>
    <t>SLY BOTTIR</t>
  </si>
  <si>
    <t>SC56227</t>
  </si>
  <si>
    <t>SB50748</t>
  </si>
  <si>
    <t>SM16799</t>
  </si>
  <si>
    <t>NEFT CR-TMBL0000016 RS.58979/-</t>
  </si>
  <si>
    <t>S84970</t>
  </si>
  <si>
    <t>S84960</t>
  </si>
  <si>
    <t>S84988</t>
  </si>
  <si>
    <t>JAYACHANRAN ALLOYS PVT LTD</t>
  </si>
  <si>
    <t>SC56266</t>
  </si>
  <si>
    <t>RK SAMY TRANSPROT</t>
  </si>
  <si>
    <t>SB50754</t>
  </si>
  <si>
    <t>S84996</t>
  </si>
  <si>
    <t>JAYACHANDRAN ALLOYS PVT LTD</t>
  </si>
  <si>
    <t>S85000</t>
  </si>
  <si>
    <t>ENSHORY INDIA PVT LTD</t>
  </si>
  <si>
    <t>SC56272</t>
  </si>
  <si>
    <t>PANTHARAL TRANSPORT</t>
  </si>
  <si>
    <t>SB50775</t>
  </si>
  <si>
    <t>SM16824</t>
  </si>
  <si>
    <t>NEFT CR-TMBL0000016 RS.100685/-</t>
  </si>
  <si>
    <t>S84766</t>
  </si>
  <si>
    <t>MOOGAMIGAL METAL TREDING</t>
  </si>
  <si>
    <t>SC56280</t>
  </si>
  <si>
    <t>SB50776</t>
  </si>
  <si>
    <t>S84776</t>
  </si>
  <si>
    <t>SC56294</t>
  </si>
  <si>
    <t>MRC LOGISTICS PVT.LTD.</t>
  </si>
  <si>
    <t>SB50777</t>
  </si>
  <si>
    <t>SM16808</t>
  </si>
  <si>
    <t>NEFT CR-TMBL0000016 RS.66424/-</t>
  </si>
  <si>
    <t>S84777</t>
  </si>
  <si>
    <t>S88524</t>
  </si>
  <si>
    <t>EXIDE INDUSTRIES</t>
  </si>
  <si>
    <t>SC56329</t>
  </si>
  <si>
    <t>SB52555</t>
  </si>
  <si>
    <t>S88525</t>
  </si>
  <si>
    <t>SC56332</t>
  </si>
  <si>
    <t>SB52556</t>
  </si>
  <si>
    <t>SM16828</t>
  </si>
  <si>
    <t>MDS SCA-4148</t>
  </si>
  <si>
    <t>S88526</t>
  </si>
  <si>
    <t>SC56335</t>
  </si>
  <si>
    <t>SB52566</t>
  </si>
  <si>
    <t>S88533</t>
  </si>
  <si>
    <t>S88584</t>
  </si>
  <si>
    <t>SC56389</t>
  </si>
  <si>
    <t>SB52587</t>
  </si>
  <si>
    <t>S88616</t>
  </si>
  <si>
    <t>SC56423</t>
  </si>
  <si>
    <t>SB52645</t>
  </si>
  <si>
    <t>SM16914</t>
  </si>
  <si>
    <t>CHQ DEP-TRANSFER OW 1-SERVICE BRANCHCHQ NO 484 RS.33500/-</t>
  </si>
  <si>
    <t>S88631</t>
  </si>
  <si>
    <t>ENERGSY INDIA BATTERIES PVT LTD</t>
  </si>
  <si>
    <t>SC56435</t>
  </si>
  <si>
    <t>SB52623</t>
  </si>
  <si>
    <t>S88634</t>
  </si>
  <si>
    <t>SC56433</t>
  </si>
  <si>
    <t>SB52628</t>
  </si>
  <si>
    <t>S88649</t>
  </si>
  <si>
    <t>SC56448</t>
  </si>
  <si>
    <t>SB52627</t>
  </si>
  <si>
    <t>S88650</t>
  </si>
  <si>
    <t>S88662</t>
  </si>
  <si>
    <t>SC56463</t>
  </si>
  <si>
    <t>SB52660</t>
  </si>
  <si>
    <t>SM16840</t>
  </si>
  <si>
    <t>NEFT CR-TMBL0000016 RS.63478/-</t>
  </si>
  <si>
    <t>S88663</t>
  </si>
  <si>
    <t>S88664</t>
  </si>
  <si>
    <t>SC56462</t>
  </si>
  <si>
    <t>KOLLAM TRANSPORTS</t>
  </si>
  <si>
    <t>SB52649</t>
  </si>
  <si>
    <t>S88671</t>
  </si>
  <si>
    <t>SC56466</t>
  </si>
  <si>
    <t>SB52661</t>
  </si>
  <si>
    <t>S88697</t>
  </si>
  <si>
    <t>SC56490</t>
  </si>
  <si>
    <t>SB52682</t>
  </si>
  <si>
    <t>SM16896</t>
  </si>
  <si>
    <t>IMPS 707211552787/2794/2805 2000+5000+5000 DT 13/03/17</t>
  </si>
  <si>
    <t>S88698</t>
  </si>
  <si>
    <t>SC56495</t>
  </si>
  <si>
    <t>SB52715</t>
  </si>
  <si>
    <t>S88700</t>
  </si>
  <si>
    <t>SC88752</t>
  </si>
  <si>
    <t>SB52694</t>
  </si>
  <si>
    <t>SM16880</t>
  </si>
  <si>
    <t>NEFT CR-TMBL0000016 RS.21207/-</t>
  </si>
  <si>
    <t>S94211</t>
  </si>
  <si>
    <t>SC88853</t>
  </si>
  <si>
    <t>MM TRANSPORT</t>
  </si>
  <si>
    <t>SB58992</t>
  </si>
  <si>
    <t>SM16940</t>
  </si>
  <si>
    <t>NEFT CR-TMBL0000016 RS.75263/-</t>
  </si>
  <si>
    <t>S94217</t>
  </si>
  <si>
    <t>SC88861</t>
  </si>
  <si>
    <t>SB59009</t>
  </si>
  <si>
    <t>S94212</t>
  </si>
  <si>
    <t>SC88862</t>
  </si>
  <si>
    <t>SB59008</t>
  </si>
  <si>
    <t>S94404</t>
  </si>
  <si>
    <t>SC94060</t>
  </si>
  <si>
    <t>SB59099</t>
  </si>
  <si>
    <t>SM30189</t>
  </si>
  <si>
    <t>A/C NO 50100133670933-TPT-JAYACHANDRA ALLOYS P</t>
  </si>
  <si>
    <t>S94424</t>
  </si>
  <si>
    <t>SC94062</t>
  </si>
  <si>
    <t>SB59100</t>
  </si>
  <si>
    <t>S94560</t>
  </si>
  <si>
    <t>ESWARI GLOBAL METAL INDUSTRIES PVT  LTD</t>
  </si>
  <si>
    <t>SC94431</t>
  </si>
  <si>
    <t>SNMR  TPT H</t>
  </si>
  <si>
    <t>T PRAVEEN</t>
  </si>
  <si>
    <t>SB59187</t>
  </si>
  <si>
    <t>SM30225</t>
  </si>
  <si>
    <t>NEFT CR-TMBL0000016 RS.21560/-</t>
  </si>
  <si>
    <t>S102539</t>
  </si>
  <si>
    <t>SC94494</t>
  </si>
  <si>
    <t>SB59228</t>
  </si>
  <si>
    <t>SM32184</t>
  </si>
  <si>
    <t>S102540</t>
  </si>
  <si>
    <t>SC94498</t>
  </si>
  <si>
    <t>SB59229</t>
  </si>
  <si>
    <t>SM32200</t>
  </si>
  <si>
    <t>S110449</t>
  </si>
  <si>
    <t>BHARAT HEAVY ELECTRICALS LIMITED.</t>
  </si>
  <si>
    <t>THE DIVISIONAL ENGINEERING-STAGE-II</t>
  </si>
  <si>
    <t>KANNAPIRAN ENGINEER INDUSTRIES</t>
  </si>
  <si>
    <t>SC99104</t>
  </si>
  <si>
    <t>CHERAN TEANSPORT</t>
  </si>
  <si>
    <t>SB68729</t>
  </si>
  <si>
    <t>SM32233</t>
  </si>
  <si>
    <t>CHQ DEP-MICR CLG-SERVICE BRANCH CHQ NO 557068 RS.29500/-</t>
  </si>
  <si>
    <t>S111409</t>
  </si>
  <si>
    <t>TAMILNADU GENERATION AND DISTRIBUTION CORPORATION LIMITED</t>
  </si>
  <si>
    <t>SB68813</t>
  </si>
  <si>
    <t>SM32692</t>
  </si>
  <si>
    <t>CHQ DEP-MICR CLG-SERVICE BRANCH CHQ NO 769911 RS.11000/-</t>
  </si>
  <si>
    <t>S114321</t>
  </si>
  <si>
    <t>SC105864</t>
  </si>
  <si>
    <t>SB68841</t>
  </si>
  <si>
    <t>SM31339</t>
  </si>
  <si>
    <t>CHQ DEP-MICR CLG-SERVICE BRANCH CHQ NO 769964 RS.12000/-</t>
  </si>
  <si>
    <t>S117213</t>
  </si>
  <si>
    <t>A.P. POWER DEVP CO LIMITED</t>
  </si>
  <si>
    <t>SC108669</t>
  </si>
  <si>
    <t>SB68878</t>
  </si>
  <si>
    <t>SM31330</t>
  </si>
  <si>
    <t>CHQ DEP-MICR CLG-SERVICE BRANCH CHQ NO 770019 RS.33500/-</t>
  </si>
  <si>
    <t>S117211</t>
  </si>
  <si>
    <t>SC108656</t>
  </si>
  <si>
    <t>S118529</t>
  </si>
  <si>
    <t>SB68994</t>
  </si>
  <si>
    <t>SM33873</t>
  </si>
  <si>
    <t>CHQ DEP-MICR CLG-SERVICE BRANCH CHQ NO 980068 RS.9800/-</t>
  </si>
  <si>
    <t>S118675</t>
  </si>
  <si>
    <t>SC110478</t>
  </si>
  <si>
    <t>SB69060</t>
  </si>
  <si>
    <t>Bill No 3</t>
  </si>
  <si>
    <t>Bill Date 3</t>
  </si>
  <si>
    <t>Bill Amt 3</t>
  </si>
  <si>
    <t>Bill OS 3</t>
  </si>
  <si>
    <t>MR Date 2</t>
  </si>
  <si>
    <t>Recd Amt 2</t>
  </si>
  <si>
    <t>Ded 2</t>
  </si>
  <si>
    <t>TDS 2</t>
  </si>
  <si>
    <t>Recble 2</t>
  </si>
  <si>
    <t>MR No 3</t>
  </si>
  <si>
    <t>MR Date 3</t>
  </si>
  <si>
    <t>Recd Amt 3</t>
  </si>
  <si>
    <t>Ded 3</t>
  </si>
  <si>
    <t>TDS 3</t>
  </si>
  <si>
    <t>Recble 3</t>
  </si>
  <si>
    <t>MR No 4</t>
  </si>
  <si>
    <t>MR Date 4</t>
  </si>
  <si>
    <t>Recd Amt 4</t>
  </si>
  <si>
    <t>Ded 4</t>
  </si>
  <si>
    <t>TDS 4</t>
  </si>
  <si>
    <t>Recble 4</t>
  </si>
  <si>
    <t>S84973</t>
  </si>
  <si>
    <t>BALMER LAWRIE AND COMPANY LIMITED</t>
  </si>
  <si>
    <t>SC56237</t>
  </si>
  <si>
    <t>SB50741</t>
  </si>
  <si>
    <t>SM16787</t>
  </si>
  <si>
    <t>S84964</t>
  </si>
  <si>
    <t>SC56241</t>
  </si>
  <si>
    <t>SB50739</t>
  </si>
  <si>
    <t>S84986</t>
  </si>
  <si>
    <t>BALMER LAWRIES CO LIMITED</t>
  </si>
  <si>
    <t>SC56260</t>
  </si>
  <si>
    <t>SUPREME ROAD LINES KOCHIN</t>
  </si>
  <si>
    <t>SB50740</t>
  </si>
  <si>
    <t>S118678</t>
  </si>
  <si>
    <t>SC110488</t>
  </si>
  <si>
    <t>S94336</t>
  </si>
  <si>
    <t>VAAMAN TEXPRINT PVT LIMITED</t>
  </si>
  <si>
    <t>SC88981</t>
  </si>
  <si>
    <t>CHERAN TRANSPORT</t>
  </si>
  <si>
    <t>SB59036</t>
  </si>
  <si>
    <t>SM16923</t>
  </si>
  <si>
    <t>S94365</t>
  </si>
  <si>
    <t>SC94007</t>
  </si>
  <si>
    <t>S94403</t>
  </si>
  <si>
    <t>SC94044</t>
  </si>
  <si>
    <t>S94374</t>
  </si>
  <si>
    <t>NANTIONAL TEXTILES CORPORATION  LTD</t>
  </si>
  <si>
    <t>SC94017</t>
  </si>
  <si>
    <t>SRI BHAGVATHI TRANSPORT</t>
  </si>
  <si>
    <t>SB59038</t>
  </si>
  <si>
    <t>S94463</t>
  </si>
  <si>
    <t>SC94097</t>
  </si>
  <si>
    <t>SB59081</t>
  </si>
  <si>
    <t>SM30151</t>
  </si>
  <si>
    <t>S94495</t>
  </si>
  <si>
    <t>SC94231</t>
  </si>
  <si>
    <t>SB59127</t>
  </si>
  <si>
    <t>SM30169</t>
  </si>
  <si>
    <t>S99083</t>
  </si>
  <si>
    <t>SC94309</t>
  </si>
  <si>
    <t>CHERRAN TPT</t>
  </si>
  <si>
    <t>SB59157</t>
  </si>
  <si>
    <t>SM30212</t>
  </si>
  <si>
    <t>S94502</t>
  </si>
  <si>
    <t>SC94383</t>
  </si>
  <si>
    <t>S99139</t>
  </si>
  <si>
    <t>SC94348</t>
  </si>
  <si>
    <t>S94537</t>
  </si>
  <si>
    <t>SC94411</t>
  </si>
  <si>
    <t>SB59178</t>
  </si>
  <si>
    <t>SM30196</t>
  </si>
  <si>
    <t>S94542</t>
  </si>
  <si>
    <t>SC94424</t>
  </si>
  <si>
    <t>CHERAN  TRANSPORT</t>
  </si>
  <si>
    <t>THURAIYUR  NAMAKKAL  TRANSPORT</t>
  </si>
  <si>
    <t>SB59188</t>
  </si>
  <si>
    <t>S94561</t>
  </si>
  <si>
    <t>SC94436</t>
  </si>
  <si>
    <t>OM SAI TRANSPORT</t>
  </si>
  <si>
    <t>N.UNNIKRISHNAN</t>
  </si>
  <si>
    <t>SB59215</t>
  </si>
  <si>
    <t>SM30211</t>
  </si>
  <si>
    <t>S94563</t>
  </si>
  <si>
    <t>SC94438</t>
  </si>
  <si>
    <t>UNNIKRISHNAN N</t>
  </si>
  <si>
    <t>SB59185</t>
  </si>
  <si>
    <t>S94573</t>
  </si>
  <si>
    <t>SC94445</t>
  </si>
  <si>
    <t>SB59205</t>
  </si>
  <si>
    <t>SM32163</t>
  </si>
  <si>
    <t>S94597</t>
  </si>
  <si>
    <t>SC94465</t>
  </si>
  <si>
    <t>THURAIYUR  NAMAKKAL TRANSPORT</t>
  </si>
  <si>
    <t>SB59210</t>
  </si>
  <si>
    <t>SM30213</t>
  </si>
  <si>
    <t>S102594</t>
  </si>
  <si>
    <t>SC94529</t>
  </si>
  <si>
    <t>CHERRAN  REANSPORT</t>
  </si>
  <si>
    <t>CHERRAN  TRANSPORT</t>
  </si>
  <si>
    <t>SB59234</t>
  </si>
  <si>
    <t>SM30240</t>
  </si>
  <si>
    <t>S104030</t>
  </si>
  <si>
    <t>SC94569</t>
  </si>
  <si>
    <t>SB64970</t>
  </si>
  <si>
    <t>SM32161</t>
  </si>
  <si>
    <t>S104045</t>
  </si>
  <si>
    <t>SC94586</t>
  </si>
  <si>
    <t>S104160</t>
  </si>
  <si>
    <t>SC94648</t>
  </si>
  <si>
    <t>SB65024</t>
  </si>
  <si>
    <t>SM32196</t>
  </si>
  <si>
    <t>S109458</t>
  </si>
  <si>
    <t>SC94688</t>
  </si>
  <si>
    <t>P VJRAM</t>
  </si>
  <si>
    <t>P VAJAM</t>
  </si>
  <si>
    <t>NAMAKKAL TRAILER OWNERS ASSOCIATION</t>
  </si>
  <si>
    <t>SB65036</t>
  </si>
  <si>
    <t>SM32216</t>
  </si>
  <si>
    <t>S109478</t>
  </si>
  <si>
    <t>SC94696</t>
  </si>
  <si>
    <t>SB65067</t>
  </si>
  <si>
    <t>SM32220</t>
  </si>
  <si>
    <t>S110409</t>
  </si>
  <si>
    <t>SC98006</t>
  </si>
  <si>
    <t>S110393</t>
  </si>
  <si>
    <t>SC99137</t>
  </si>
  <si>
    <t>CHERRAN  TRABSPORT</t>
  </si>
  <si>
    <t>SB68798</t>
  </si>
  <si>
    <t>SM32689</t>
  </si>
  <si>
    <t>S111384</t>
  </si>
  <si>
    <t>SC99170</t>
  </si>
  <si>
    <t>SB68789</t>
  </si>
  <si>
    <t>S111422</t>
  </si>
  <si>
    <t>SC99209</t>
  </si>
  <si>
    <t>SENTHURAR TRANSPORT</t>
  </si>
  <si>
    <t>SENTHUR TRANSPORT</t>
  </si>
  <si>
    <t>S114333</t>
  </si>
  <si>
    <t>SC105870</t>
  </si>
  <si>
    <t>SB68869</t>
  </si>
  <si>
    <t>SB68899</t>
  </si>
  <si>
    <t>SM31332</t>
  </si>
  <si>
    <t>S117265</t>
  </si>
  <si>
    <t>SC108709</t>
  </si>
  <si>
    <t>SB68922</t>
  </si>
  <si>
    <t>SM31342</t>
  </si>
  <si>
    <t>S118482</t>
  </si>
  <si>
    <t>SC110313</t>
  </si>
  <si>
    <t>SMR TRASNPORT</t>
  </si>
  <si>
    <t>SB68943</t>
  </si>
  <si>
    <t>SM33867</t>
  </si>
  <si>
    <t>SM16885</t>
  </si>
  <si>
    <t>SM30238</t>
  </si>
  <si>
    <t>S117217</t>
  </si>
  <si>
    <t>KRISHNA ENTERPRISES ( C/O HINDUSTAN PROJECT )</t>
  </si>
  <si>
    <t>SC108665</t>
  </si>
  <si>
    <t>SB68914</t>
  </si>
  <si>
    <t>S117218</t>
  </si>
  <si>
    <t>SC108686</t>
  </si>
  <si>
    <t>SB68915</t>
  </si>
  <si>
    <t>S75626</t>
  </si>
  <si>
    <t>LARSEN &amp; TOUBRO LIMITED (CBE).</t>
  </si>
  <si>
    <t>LARSEN &amp; TOUBRO LIMITED</t>
  </si>
  <si>
    <t>SC44571</t>
  </si>
  <si>
    <t>OM SHAKTI TRANSPORT CARRIER</t>
  </si>
  <si>
    <t>SB40215</t>
  </si>
  <si>
    <t>SM22084</t>
  </si>
  <si>
    <t>S75632</t>
  </si>
  <si>
    <t>SC44577</t>
  </si>
  <si>
    <t>SB40217</t>
  </si>
  <si>
    <t>SM16733</t>
  </si>
  <si>
    <t>S75666</t>
  </si>
  <si>
    <t>SC56057</t>
  </si>
  <si>
    <t>SRI TIRUPATHI TRAILER SERVICE</t>
  </si>
  <si>
    <t>SB40241</t>
  </si>
  <si>
    <t>SM16740</t>
  </si>
  <si>
    <t>S75689</t>
  </si>
  <si>
    <t>SC56078</t>
  </si>
  <si>
    <t>SB40265</t>
  </si>
  <si>
    <t>SM16742</t>
  </si>
  <si>
    <t>S75696</t>
  </si>
  <si>
    <t>MIL CONTROL LTD</t>
  </si>
  <si>
    <t>SC56086</t>
  </si>
  <si>
    <t>THULASIMANI TRANSPORT</t>
  </si>
  <si>
    <t>WB41379</t>
  </si>
  <si>
    <t>WM10432</t>
  </si>
  <si>
    <t>S75697</t>
  </si>
  <si>
    <t>SC56087</t>
  </si>
  <si>
    <t>WB41382</t>
  </si>
  <si>
    <t>S84834</t>
  </si>
  <si>
    <t>SC56117</t>
  </si>
  <si>
    <t>SB40278</t>
  </si>
  <si>
    <t>SM32177</t>
  </si>
  <si>
    <t>SM32177A</t>
  </si>
  <si>
    <t>SM32177B</t>
  </si>
  <si>
    <t>S84835</t>
  </si>
  <si>
    <t>SC56118</t>
  </si>
  <si>
    <t>S84838</t>
  </si>
  <si>
    <t>SC56123</t>
  </si>
  <si>
    <t>SB40295</t>
  </si>
  <si>
    <t>SM16759</t>
  </si>
  <si>
    <t>S84839</t>
  </si>
  <si>
    <t>SC56124</t>
  </si>
  <si>
    <t>S84840</t>
  </si>
  <si>
    <t>SC56125</t>
  </si>
  <si>
    <t>SB40286</t>
  </si>
  <si>
    <t>SM16746</t>
  </si>
  <si>
    <t>S84841</t>
  </si>
  <si>
    <t>L &amp; T VALVES LIMITED</t>
  </si>
  <si>
    <t>SC56130</t>
  </si>
  <si>
    <t>WB41456</t>
  </si>
  <si>
    <t>WM10435</t>
  </si>
  <si>
    <t>S84847</t>
  </si>
  <si>
    <t>SC56127</t>
  </si>
  <si>
    <t>WB41458</t>
  </si>
  <si>
    <t>S84843</t>
  </si>
  <si>
    <t>SC56132</t>
  </si>
  <si>
    <t>WB41457</t>
  </si>
  <si>
    <t>S84852</t>
  </si>
  <si>
    <t>SC56134</t>
  </si>
  <si>
    <t>WB41459</t>
  </si>
  <si>
    <t>S84853</t>
  </si>
  <si>
    <t>SC56137</t>
  </si>
  <si>
    <t>S N K T</t>
  </si>
  <si>
    <t>WB41460</t>
  </si>
  <si>
    <t>S84854</t>
  </si>
  <si>
    <t>SC56138</t>
  </si>
  <si>
    <t>SUPREME CARGO MOVERS</t>
  </si>
  <si>
    <t>SB50715</t>
  </si>
  <si>
    <t>SM16761</t>
  </si>
  <si>
    <t>S84856</t>
  </si>
  <si>
    <t>SC56139</t>
  </si>
  <si>
    <t>S S ROAD LINES</t>
  </si>
  <si>
    <t>WB41462</t>
  </si>
  <si>
    <t>WM10437</t>
  </si>
  <si>
    <t>S84855</t>
  </si>
  <si>
    <t>SC56140</t>
  </si>
  <si>
    <t>WB41461</t>
  </si>
  <si>
    <t>S84861</t>
  </si>
  <si>
    <t>SC56143</t>
  </si>
  <si>
    <t>SB40292</t>
  </si>
  <si>
    <t>S84864</t>
  </si>
  <si>
    <t>SC56150</t>
  </si>
  <si>
    <t>S84869</t>
  </si>
  <si>
    <t>SC56153</t>
  </si>
  <si>
    <t>S84874</t>
  </si>
  <si>
    <t>SC56156</t>
  </si>
  <si>
    <t>S84821</t>
  </si>
  <si>
    <t>SC56157</t>
  </si>
  <si>
    <t>SB50707</t>
  </si>
  <si>
    <t>SM16760</t>
  </si>
  <si>
    <t>S84875</t>
  </si>
  <si>
    <t>SC56158</t>
  </si>
  <si>
    <t>S84876</t>
  </si>
  <si>
    <t>SC56159</t>
  </si>
  <si>
    <t>S84877</t>
  </si>
  <si>
    <t>SC56160</t>
  </si>
  <si>
    <t>S84880</t>
  </si>
  <si>
    <t>SC56166</t>
  </si>
  <si>
    <t>SB50722</t>
  </si>
  <si>
    <t>SM16837</t>
  </si>
  <si>
    <t>S84879</t>
  </si>
  <si>
    <t>SC56167</t>
  </si>
  <si>
    <t>S84878</t>
  </si>
  <si>
    <t>SC56168</t>
  </si>
  <si>
    <t>S84882</t>
  </si>
  <si>
    <t>SC56169</t>
  </si>
  <si>
    <t>S84889</t>
  </si>
  <si>
    <t>SC56161</t>
  </si>
  <si>
    <t>S84888</t>
  </si>
  <si>
    <t>SC56162</t>
  </si>
  <si>
    <t>SB50723</t>
  </si>
  <si>
    <t>S84887</t>
  </si>
  <si>
    <t>SC56163</t>
  </si>
  <si>
    <t>S84891</t>
  </si>
  <si>
    <t>SC56171</t>
  </si>
  <si>
    <t>S84893</t>
  </si>
  <si>
    <t>SC56172</t>
  </si>
  <si>
    <t>S84892</t>
  </si>
  <si>
    <t>SC56175</t>
  </si>
  <si>
    <t>S84912</t>
  </si>
  <si>
    <t>SC56187</t>
  </si>
  <si>
    <t>WB41486</t>
  </si>
  <si>
    <t>WM10445</t>
  </si>
  <si>
    <t>S84900</t>
  </si>
  <si>
    <t>RajASTHAN RAJYA VIDYUT</t>
  </si>
  <si>
    <t>S84898</t>
  </si>
  <si>
    <t>S84899</t>
  </si>
  <si>
    <t>S84895</t>
  </si>
  <si>
    <t>SC56173</t>
  </si>
  <si>
    <t>S84894</t>
  </si>
  <si>
    <t>SC56174</t>
  </si>
  <si>
    <t>S84896</t>
  </si>
  <si>
    <t>SC56177</t>
  </si>
  <si>
    <t>S84901</t>
  </si>
  <si>
    <t>SC56178</t>
  </si>
  <si>
    <t>S84903</t>
  </si>
  <si>
    <t>SC56179</t>
  </si>
  <si>
    <t>S84902</t>
  </si>
  <si>
    <t>SC56180</t>
  </si>
  <si>
    <t>S84904</t>
  </si>
  <si>
    <t>SC56181</t>
  </si>
  <si>
    <t>S84914</t>
  </si>
  <si>
    <t xml:space="preserve">RAJASTHAN RAJAYA VIDYUT NIGAM LIMITED </t>
  </si>
  <si>
    <t>SC56183</t>
  </si>
  <si>
    <t>WB41487</t>
  </si>
  <si>
    <t>WM10489</t>
  </si>
  <si>
    <t>S84920</t>
  </si>
  <si>
    <t>S84918</t>
  </si>
  <si>
    <t>S84916</t>
  </si>
  <si>
    <t>S84917</t>
  </si>
  <si>
    <t>S84919</t>
  </si>
  <si>
    <t>S84915</t>
  </si>
  <si>
    <t>S84908</t>
  </si>
  <si>
    <t>SC56201</t>
  </si>
  <si>
    <t>S84907</t>
  </si>
  <si>
    <t>SC56202</t>
  </si>
  <si>
    <t>S84906</t>
  </si>
  <si>
    <t>SC56203</t>
  </si>
  <si>
    <t>S84909</t>
  </si>
  <si>
    <t>SC56204</t>
  </si>
  <si>
    <t>S84910</t>
  </si>
  <si>
    <t>SC56205</t>
  </si>
  <si>
    <t>S84936</t>
  </si>
  <si>
    <t>SC56188</t>
  </si>
  <si>
    <t>WB41485</t>
  </si>
  <si>
    <t>WM10458</t>
  </si>
  <si>
    <t>S84937</t>
  </si>
  <si>
    <t>SC56189</t>
  </si>
  <si>
    <t>WB41484</t>
  </si>
  <si>
    <t>WM10477</t>
  </si>
  <si>
    <t>S84938</t>
  </si>
  <si>
    <t>S84941</t>
  </si>
  <si>
    <t>SC56194</t>
  </si>
  <si>
    <t>WB41488</t>
  </si>
  <si>
    <t>WM10443</t>
  </si>
  <si>
    <t>S84942</t>
  </si>
  <si>
    <t>SC56196</t>
  </si>
  <si>
    <t>WB41483</t>
  </si>
  <si>
    <t>S84926</t>
  </si>
  <si>
    <t>SC56206</t>
  </si>
  <si>
    <t>S84927</t>
  </si>
  <si>
    <t>SC56207</t>
  </si>
  <si>
    <t>S84928</t>
  </si>
  <si>
    <t>SC56208</t>
  </si>
  <si>
    <t>S84929</t>
  </si>
  <si>
    <t>SC56209</t>
  </si>
  <si>
    <t>S84930</t>
  </si>
  <si>
    <t>SC56210</t>
  </si>
  <si>
    <t>S84943</t>
  </si>
  <si>
    <t>SC56199</t>
  </si>
  <si>
    <t>WB41524</t>
  </si>
  <si>
    <t>S84944</t>
  </si>
  <si>
    <t>SC56200</t>
  </si>
  <si>
    <t>WB41525</t>
  </si>
  <si>
    <t>S84923</t>
  </si>
  <si>
    <t>SC56212</t>
  </si>
  <si>
    <t>S84924</t>
  </si>
  <si>
    <t>SC56213</t>
  </si>
  <si>
    <t>SB50726</t>
  </si>
  <si>
    <t>SM30161</t>
  </si>
  <si>
    <t>S84933</t>
  </si>
  <si>
    <t>SC56214</t>
  </si>
  <si>
    <t>S84934</t>
  </si>
  <si>
    <t>SC56215</t>
  </si>
  <si>
    <t>S84949</t>
  </si>
  <si>
    <t>SC56219</t>
  </si>
  <si>
    <t>S84948</t>
  </si>
  <si>
    <t>SC56220</t>
  </si>
  <si>
    <t>S84935</t>
  </si>
  <si>
    <t>SC56218</t>
  </si>
  <si>
    <t>S84952</t>
  </si>
  <si>
    <t>SC56234</t>
  </si>
  <si>
    <t>SB50770</t>
  </si>
  <si>
    <t>SM16839</t>
  </si>
  <si>
    <t>S84983</t>
  </si>
  <si>
    <t>SC56257</t>
  </si>
  <si>
    <t>SB50759</t>
  </si>
  <si>
    <t>SM16793</t>
  </si>
  <si>
    <t>S84985</t>
  </si>
  <si>
    <t>SC56258</t>
  </si>
  <si>
    <t>S84984</t>
  </si>
  <si>
    <t>SC56259</t>
  </si>
  <si>
    <t>S84762</t>
  </si>
  <si>
    <t>SC56283</t>
  </si>
  <si>
    <t>SB50786</t>
  </si>
  <si>
    <t>S84768</t>
  </si>
  <si>
    <t>SC56284</t>
  </si>
  <si>
    <t>SB52607</t>
  </si>
  <si>
    <t>S84764</t>
  </si>
  <si>
    <t>SC56285</t>
  </si>
  <si>
    <t>SB52557</t>
  </si>
  <si>
    <t>SB68862</t>
  </si>
  <si>
    <t>SM31328</t>
  </si>
  <si>
    <t>SM32693</t>
  </si>
  <si>
    <t>S84779</t>
  </si>
  <si>
    <t>SC56298</t>
  </si>
  <si>
    <t>S84780</t>
  </si>
  <si>
    <t>SC56299</t>
  </si>
  <si>
    <t>SB52613</t>
  </si>
  <si>
    <t>SM30219</t>
  </si>
  <si>
    <t>S84792</t>
  </si>
  <si>
    <t>SC56296</t>
  </si>
  <si>
    <t>SB50794</t>
  </si>
  <si>
    <t>SM22304</t>
  </si>
  <si>
    <t>S84791</t>
  </si>
  <si>
    <t>SC56295</t>
  </si>
  <si>
    <t>S88502</t>
  </si>
  <si>
    <t>SC56302</t>
  </si>
  <si>
    <t>S84788</t>
  </si>
  <si>
    <t>SC56308</t>
  </si>
  <si>
    <t>SB50793</t>
  </si>
  <si>
    <t>S88503</t>
  </si>
  <si>
    <t>SC56307</t>
  </si>
  <si>
    <t>JUPITER CARRIER</t>
  </si>
  <si>
    <t>S84787</t>
  </si>
  <si>
    <t>SC56309</t>
  </si>
  <si>
    <t>S84793</t>
  </si>
  <si>
    <t>SC56315</t>
  </si>
  <si>
    <t>S88527</t>
  </si>
  <si>
    <t>SC56330</t>
  </si>
  <si>
    <t>SB50800</t>
  </si>
  <si>
    <t>S88530</t>
  </si>
  <si>
    <t>SC56344</t>
  </si>
  <si>
    <t>SB52563</t>
  </si>
  <si>
    <t>S88531</t>
  </si>
  <si>
    <t>SC56345</t>
  </si>
  <si>
    <t>SB52564</t>
  </si>
  <si>
    <t>S88552</t>
  </si>
  <si>
    <t>SC56351</t>
  </si>
  <si>
    <t>SB52565</t>
  </si>
  <si>
    <t>SM30162</t>
  </si>
  <si>
    <t>S88556</t>
  </si>
  <si>
    <t>SC56367</t>
  </si>
  <si>
    <t>SB52585</t>
  </si>
  <si>
    <t>SM16909</t>
  </si>
  <si>
    <t>S88592</t>
  </si>
  <si>
    <t>SC56385</t>
  </si>
  <si>
    <t>SB52586</t>
  </si>
  <si>
    <t>SB59035</t>
  </si>
  <si>
    <t>SM16910</t>
  </si>
  <si>
    <t>S88580</t>
  </si>
  <si>
    <t>SC56387</t>
  </si>
  <si>
    <t>SB52591</t>
  </si>
  <si>
    <t>SM16879</t>
  </si>
  <si>
    <t>S88588</t>
  </si>
  <si>
    <t>SC56395</t>
  </si>
  <si>
    <t>SB52592</t>
  </si>
  <si>
    <t>SM16821</t>
  </si>
  <si>
    <t>S88604</t>
  </si>
  <si>
    <t>SC56399</t>
  </si>
  <si>
    <t>SB52637</t>
  </si>
  <si>
    <t>S88608</t>
  </si>
  <si>
    <t>SC56411</t>
  </si>
  <si>
    <t>SB52622</t>
  </si>
  <si>
    <t>S88612</t>
  </si>
  <si>
    <t>SC56420</t>
  </si>
  <si>
    <t>NAMAKKAL TRAILOR TRANSPORT SERVICE</t>
  </si>
  <si>
    <t>SB52633</t>
  </si>
  <si>
    <t>S88613</t>
  </si>
  <si>
    <t>SC56419</t>
  </si>
  <si>
    <t>SB52632</t>
  </si>
  <si>
    <t>S88583</t>
  </si>
  <si>
    <t>SC56424</t>
  </si>
  <si>
    <t>SB52634</t>
  </si>
  <si>
    <t>S88622</t>
  </si>
  <si>
    <t>SC56425</t>
  </si>
  <si>
    <t>EON LOGISTICS</t>
  </si>
  <si>
    <t>SB52621</t>
  </si>
  <si>
    <t>SM22318</t>
  </si>
  <si>
    <t>S88667</t>
  </si>
  <si>
    <t>SC56469</t>
  </si>
  <si>
    <t>SB52673</t>
  </si>
  <si>
    <t>SM16848</t>
  </si>
  <si>
    <t>S88677</t>
  </si>
  <si>
    <t>SC56472</t>
  </si>
  <si>
    <t>S88673</t>
  </si>
  <si>
    <t>SC56474</t>
  </si>
  <si>
    <t>S99084</t>
  </si>
  <si>
    <t>SC94313</t>
  </si>
  <si>
    <t>JAYAM TRANSPORT</t>
  </si>
  <si>
    <t>JAYAKUMAR</t>
  </si>
  <si>
    <t>RAJENDIRAN P K</t>
  </si>
  <si>
    <t>SB59135</t>
  </si>
  <si>
    <t>SM30204</t>
  </si>
  <si>
    <t>S94514</t>
  </si>
  <si>
    <t>LARSEN &amp; TOUBRO LIMITED (CBE)..</t>
  </si>
  <si>
    <t>SC94395</t>
  </si>
  <si>
    <t>MOOKAMBIKA TRANSPORT</t>
  </si>
  <si>
    <t>MAHENDRAN A</t>
  </si>
  <si>
    <t>DHANDHAYUDHAPANI</t>
  </si>
  <si>
    <t>SB59170</t>
  </si>
  <si>
    <t>S102532</t>
  </si>
  <si>
    <t>SC94495</t>
  </si>
  <si>
    <t>SAKTHI TRANSPORT</t>
  </si>
  <si>
    <t>MARIAPPAN S</t>
  </si>
  <si>
    <t>MARIYAPPAN   S</t>
  </si>
  <si>
    <t>SB63679</t>
  </si>
  <si>
    <t>S102533</t>
  </si>
  <si>
    <t>SC94500</t>
  </si>
  <si>
    <t>MANOHARAN K</t>
  </si>
  <si>
    <t>R  JAYA KUMAR</t>
  </si>
  <si>
    <t>SB63752</t>
  </si>
  <si>
    <t>SM34269</t>
  </si>
  <si>
    <t>S102534</t>
  </si>
  <si>
    <t>SC98059</t>
  </si>
  <si>
    <t>K SAMPATH</t>
  </si>
  <si>
    <t>K  SAMPATH</t>
  </si>
  <si>
    <t>SB63721</t>
  </si>
  <si>
    <t>S102536</t>
  </si>
  <si>
    <t>SC98062</t>
  </si>
  <si>
    <t>P  MEVEIL</t>
  </si>
  <si>
    <t>SB63781</t>
  </si>
  <si>
    <t>S102553</t>
  </si>
  <si>
    <t>SC98063</t>
  </si>
  <si>
    <t>SB63782</t>
  </si>
  <si>
    <t>S102554</t>
  </si>
  <si>
    <t>SC98064</t>
  </si>
  <si>
    <t>P  MEIVEL</t>
  </si>
  <si>
    <t>SB63783</t>
  </si>
  <si>
    <t>S102556</t>
  </si>
  <si>
    <t>SC94502</t>
  </si>
  <si>
    <t>THURAIYUR NAMAKKAL TRANSPORT.</t>
  </si>
  <si>
    <t>THURAIYUR   NAMAKKAL  TRANSPORT</t>
  </si>
  <si>
    <t>SB63780</t>
  </si>
  <si>
    <t>S102555</t>
  </si>
  <si>
    <t>SC98068</t>
  </si>
  <si>
    <t>SB63779</t>
  </si>
  <si>
    <t>S104152</t>
  </si>
  <si>
    <t>CG POWER AND INDUSTRIA  SOLUTIONS LIMITED</t>
  </si>
  <si>
    <t>SC94637</t>
  </si>
  <si>
    <t>SB64989</t>
  </si>
  <si>
    <t>SM33566</t>
  </si>
  <si>
    <t>S111363</t>
  </si>
  <si>
    <t>KEROMIYONS INTECH PRIVATE LIMITED.</t>
  </si>
  <si>
    <t>MADHYA PRADESH POWER GENERATING COMPANY LIMITED</t>
  </si>
  <si>
    <t>SC99153</t>
  </si>
  <si>
    <t>SINGH LOGISTICS</t>
  </si>
  <si>
    <t>VIJAY SINGH TOMAR</t>
  </si>
  <si>
    <t>WB53192</t>
  </si>
  <si>
    <t>WM16685</t>
  </si>
  <si>
    <t>S118577</t>
  </si>
  <si>
    <t>ADORA DE GOA PROVIDENT</t>
  </si>
  <si>
    <t>SC110403</t>
  </si>
  <si>
    <t>MOHAMMED ASHIK M.K</t>
  </si>
  <si>
    <t>MOHAMMAD ASHIK M K</t>
  </si>
  <si>
    <t>SB75962</t>
  </si>
  <si>
    <t>S118456</t>
  </si>
  <si>
    <t>LINNHOFF INDIA PRIVATE LIMITED</t>
  </si>
  <si>
    <t>SC108737</t>
  </si>
  <si>
    <t>SB68918</t>
  </si>
  <si>
    <t>S118495</t>
  </si>
  <si>
    <t>SC110334</t>
  </si>
  <si>
    <t>SB68978</t>
  </si>
  <si>
    <t>S110424</t>
  </si>
  <si>
    <t>MARINI INDIA PRIVATE LIMITED</t>
  </si>
  <si>
    <t>SC98015</t>
  </si>
  <si>
    <t>SB65062</t>
  </si>
  <si>
    <t>S118500</t>
  </si>
  <si>
    <t>MOHD JAVED STONE CRUSHER</t>
  </si>
  <si>
    <t>MOHAMMED JAVED STONE CRUSHER</t>
  </si>
  <si>
    <t>SC110331</t>
  </si>
  <si>
    <t>SB68934</t>
  </si>
  <si>
    <t>SM33853</t>
  </si>
  <si>
    <t>NEFT CR-SBIN0000401 RS.52000/-</t>
  </si>
  <si>
    <t>S118571</t>
  </si>
  <si>
    <t>SC110387</t>
  </si>
  <si>
    <t>SB69018</t>
  </si>
  <si>
    <t>S109459</t>
  </si>
  <si>
    <t>N G PROJECTS LTD</t>
  </si>
  <si>
    <t>N G PROJECTS LID</t>
  </si>
  <si>
    <t>SC98070</t>
  </si>
  <si>
    <t>SB65065</t>
  </si>
  <si>
    <t>SM32217</t>
  </si>
  <si>
    <t>NEFT CR-ORBC0100803 N G PROJECTS LTD RS.50000/- 23/02/18</t>
  </si>
  <si>
    <t>S110356</t>
  </si>
  <si>
    <t>SC98044</t>
  </si>
  <si>
    <t>SB68761</t>
  </si>
  <si>
    <t>S110357</t>
  </si>
  <si>
    <t>SC98045</t>
  </si>
  <si>
    <t>SB68757</t>
  </si>
  <si>
    <t xml:space="preserve"> </t>
  </si>
  <si>
    <t>S110386</t>
  </si>
  <si>
    <t>SC99121</t>
  </si>
  <si>
    <t>SB68762</t>
  </si>
  <si>
    <t>S102525</t>
  </si>
  <si>
    <t>NARENDRA SHARMA.</t>
  </si>
  <si>
    <t>NARENDRA SHARMA ( CBE )</t>
  </si>
  <si>
    <t>SC94485</t>
  </si>
  <si>
    <t>NALLI  TRANSPORT</t>
  </si>
  <si>
    <t>SNMR</t>
  </si>
  <si>
    <t>SB59240</t>
  </si>
  <si>
    <t>SM33855</t>
  </si>
  <si>
    <t>SBD SCA-13883</t>
  </si>
  <si>
    <t>S111351</t>
  </si>
  <si>
    <t>NEELAM STONE CRUSHER</t>
  </si>
  <si>
    <t>SC99145</t>
  </si>
  <si>
    <t>VIJAYARAJ</t>
  </si>
  <si>
    <t>P. SAKTHIVEL</t>
  </si>
  <si>
    <t>SB68796</t>
  </si>
  <si>
    <t>SM32246</t>
  </si>
  <si>
    <t>FT-CR-50200029136951 - NEELAM STONE CRUSHER RS.60000/-</t>
  </si>
  <si>
    <t>S88702</t>
  </si>
  <si>
    <t>ONSHORE CONSTRUCTION COMPANY PVT LTD</t>
  </si>
  <si>
    <t>ONSHORE CONSTRUCTION CO PVT LTD</t>
  </si>
  <si>
    <t>SC88754</t>
  </si>
  <si>
    <t>SB52690</t>
  </si>
  <si>
    <t>SM16851</t>
  </si>
  <si>
    <t>NEFT CR-UTIB0000029 ONSHORE RS.84000/-</t>
  </si>
  <si>
    <t>S88708</t>
  </si>
  <si>
    <t>SC88759</t>
  </si>
  <si>
    <t>SB52704</t>
  </si>
  <si>
    <t>SM16876</t>
  </si>
  <si>
    <t>NEFT CR-UTIB0000029 ONSHORE RS.223000/- DT 05/01/17</t>
  </si>
  <si>
    <t>S88718</t>
  </si>
  <si>
    <t>SC88769</t>
  </si>
  <si>
    <t>SB52703</t>
  </si>
  <si>
    <t>SB58988</t>
  </si>
  <si>
    <t>SM16882</t>
  </si>
  <si>
    <t>S88717</t>
  </si>
  <si>
    <t>SC88770</t>
  </si>
  <si>
    <t>SB52705</t>
  </si>
  <si>
    <t>S88728</t>
  </si>
  <si>
    <t>SC88776</t>
  </si>
  <si>
    <t>SB52729</t>
  </si>
  <si>
    <t>SM16895</t>
  </si>
  <si>
    <t>NEFT CR-UTIB0000029 ONSHORE RS.328000/- DT 16/02/17</t>
  </si>
  <si>
    <t>S88734</t>
  </si>
  <si>
    <t>SC88784</t>
  </si>
  <si>
    <t>SB52728</t>
  </si>
  <si>
    <t>SB59151</t>
  </si>
  <si>
    <t>S88739</t>
  </si>
  <si>
    <t>SC88786</t>
  </si>
  <si>
    <t>SB52731</t>
  </si>
  <si>
    <t>SM16904</t>
  </si>
  <si>
    <t>NEFT CR-UTIB0000029 ONSHORE RS.97000/- DT 29/03/17</t>
  </si>
  <si>
    <t>S88740</t>
  </si>
  <si>
    <t>SC88792</t>
  </si>
  <si>
    <t>SB52730</t>
  </si>
  <si>
    <t>S94155</t>
  </si>
  <si>
    <t>SC88801</t>
  </si>
  <si>
    <t>SB52732</t>
  </si>
  <si>
    <t>S94156</t>
  </si>
  <si>
    <t>SC88803</t>
  </si>
  <si>
    <t>SB52733</t>
  </si>
  <si>
    <t>S94164</t>
  </si>
  <si>
    <t>SC88811</t>
  </si>
  <si>
    <t>SB58956</t>
  </si>
  <si>
    <t>SM16921</t>
  </si>
  <si>
    <t>NEFT CR-UTIB0000029 ONSHORE RS.73000/- DT 15/04/17 +N23394 30000/-</t>
  </si>
  <si>
    <t>S94233</t>
  </si>
  <si>
    <t>SC88869</t>
  </si>
  <si>
    <t>SB58991</t>
  </si>
  <si>
    <t>SB59078</t>
  </si>
  <si>
    <t>SM16932</t>
  </si>
  <si>
    <t>SM30168</t>
  </si>
  <si>
    <t>NEFT CR-UTIB0000029 ONSHORE RS.234000/- DT 08/05/17</t>
  </si>
  <si>
    <t>S94248</t>
  </si>
  <si>
    <t>SC88887</t>
  </si>
  <si>
    <t>S94237</t>
  </si>
  <si>
    <t>SC88902</t>
  </si>
  <si>
    <t>S94266</t>
  </si>
  <si>
    <t>SC88911</t>
  </si>
  <si>
    <t>SUPREME TRANSPORT</t>
  </si>
  <si>
    <t>SB59064</t>
  </si>
  <si>
    <t>SM32157</t>
  </si>
  <si>
    <t>NEFT CR-UTIB0000029 ONSHORE RS.78000/- DT 08/01/18</t>
  </si>
  <si>
    <t>S94290</t>
  </si>
  <si>
    <t>SC88931</t>
  </si>
  <si>
    <t>SB59018</t>
  </si>
  <si>
    <t>SB59152</t>
  </si>
  <si>
    <t>SM16945</t>
  </si>
  <si>
    <t>NEFT CR-UTIB0000029 ONSHORE RS.198000/- DT 31/05/17</t>
  </si>
  <si>
    <t>S94296</t>
  </si>
  <si>
    <t>SC88942</t>
  </si>
  <si>
    <t>SB59050</t>
  </si>
  <si>
    <t>SM30175</t>
  </si>
  <si>
    <t>NEFT CR-UTIB0000029 ONSHORE RS.189000/- DT 28/07/17</t>
  </si>
  <si>
    <t>S94298</t>
  </si>
  <si>
    <t>SC88943</t>
  </si>
  <si>
    <t>SB59015</t>
  </si>
  <si>
    <t>SB59155</t>
  </si>
  <si>
    <t>SM30155</t>
  </si>
  <si>
    <t>NEFT CR-UTIB0000029 ONSHORE RS.84000/- DT 19/06/17</t>
  </si>
  <si>
    <t>S94310</t>
  </si>
  <si>
    <t>SC88958</t>
  </si>
  <si>
    <t>SB59017</t>
  </si>
  <si>
    <t>S94313</t>
  </si>
  <si>
    <t>SC88959</t>
  </si>
  <si>
    <t>SB59016</t>
  </si>
  <si>
    <t>S94330</t>
  </si>
  <si>
    <t>SC88971</t>
  </si>
  <si>
    <t>SB59014</t>
  </si>
  <si>
    <t>S94381</t>
  </si>
  <si>
    <t>SC94027</t>
  </si>
  <si>
    <t>MOHAMED ASHIK MK</t>
  </si>
  <si>
    <t>S99014</t>
  </si>
  <si>
    <t>SC94248</t>
  </si>
  <si>
    <t>SB59147</t>
  </si>
  <si>
    <t>SM30188</t>
  </si>
  <si>
    <t>NEFT CR-UTIB0000029 ONSHORE RS.220000/- DT 28/08/17</t>
  </si>
  <si>
    <t>S99023</t>
  </si>
  <si>
    <t>SC94257</t>
  </si>
  <si>
    <t>MOHAMED ASHAIK MK</t>
  </si>
  <si>
    <t>SB59132</t>
  </si>
  <si>
    <t>S99051</t>
  </si>
  <si>
    <t>SC94281</t>
  </si>
  <si>
    <t>OM  GANAPATHI  TRANSPORT</t>
  </si>
  <si>
    <t>SB59148</t>
  </si>
  <si>
    <t>S99135</t>
  </si>
  <si>
    <t>SC94364</t>
  </si>
  <si>
    <t>SULFI KAR ALI</t>
  </si>
  <si>
    <t>SB59149</t>
  </si>
  <si>
    <t>SB64980</t>
  </si>
  <si>
    <t>SM32171</t>
  </si>
  <si>
    <t>NEFT CR-UTIB0000029 ONSHORE RS.42000/- DT 08/01/18</t>
  </si>
  <si>
    <t>S94512</t>
  </si>
  <si>
    <t>SC94375</t>
  </si>
  <si>
    <t>SB59167</t>
  </si>
  <si>
    <t>SM30207</t>
  </si>
  <si>
    <t>NEFT CR-UTIB0000029 ONSHORE RS.146000/- DT 09/10/17</t>
  </si>
  <si>
    <t>S94513</t>
  </si>
  <si>
    <t>ONSHORE CONSTRUCTION COMPANY PVT LTD..</t>
  </si>
  <si>
    <t>SC94392</t>
  </si>
  <si>
    <t>SB59173</t>
  </si>
  <si>
    <t>S104100</t>
  </si>
  <si>
    <t>METAL SCAFFOLDINGS AND SYSTEMS</t>
  </si>
  <si>
    <t>SC94638</t>
  </si>
  <si>
    <t>MOHAMED ASHIK  MK</t>
  </si>
  <si>
    <t>SB65071</t>
  </si>
  <si>
    <t>SM31308</t>
  </si>
  <si>
    <t>NEFT CR-UTIB0000029 ONSHORE RS.128400/- DT 28/08/18 RS.92400/-ON A/C</t>
  </si>
  <si>
    <t>S114330</t>
  </si>
  <si>
    <t>ONSHORE CONSTRUCTION COMPANY PVT  LTD ( VIZAG)</t>
  </si>
  <si>
    <t>SC105875</t>
  </si>
  <si>
    <t>NAMAKKAL ROAD CRRIERS</t>
  </si>
  <si>
    <t>NAMAKKAL ROAD CARRIER</t>
  </si>
  <si>
    <t>SB68890</t>
  </si>
  <si>
    <t>SM33887</t>
  </si>
  <si>
    <t>NEFT CR-UTIB0000029 ONSHORE RS.156800/- DT 25/01/19</t>
  </si>
  <si>
    <t>S114339</t>
  </si>
  <si>
    <t>SC105880</t>
  </si>
  <si>
    <t>S114340</t>
  </si>
  <si>
    <t>SC105874</t>
  </si>
  <si>
    <t>P.  NATARAJAN</t>
  </si>
  <si>
    <t>P. NATRAJAN</t>
  </si>
  <si>
    <t>SB68904</t>
  </si>
  <si>
    <t>S94388</t>
  </si>
  <si>
    <t>TEEMAGE BULIDER PVT LTD</t>
  </si>
  <si>
    <t>SC94032</t>
  </si>
  <si>
    <t>SB59088</t>
  </si>
  <si>
    <t>SM30194</t>
  </si>
  <si>
    <t>A/C NO. 50100133670933 -TPT-ORIENTAL</t>
  </si>
  <si>
    <t>S94399</t>
  </si>
  <si>
    <t>SC94045</t>
  </si>
  <si>
    <t>SB59089</t>
  </si>
  <si>
    <t>SM30186</t>
  </si>
  <si>
    <t>S94578</t>
  </si>
  <si>
    <t>NECC ROADWAYS</t>
  </si>
  <si>
    <t>SC94444</t>
  </si>
  <si>
    <t>NALLI TRANSPORT CARRIERS</t>
  </si>
  <si>
    <t>OM  GANAPATHI  TRANSPOR</t>
  </si>
  <si>
    <t>SB59211</t>
  </si>
  <si>
    <t>SM32169</t>
  </si>
  <si>
    <t>A/C NO.50100153203375-TPT-ORIENTAL</t>
  </si>
  <si>
    <t>S94565</t>
  </si>
  <si>
    <t>SC94450</t>
  </si>
  <si>
    <t>K.K. TRANSPORT</t>
  </si>
  <si>
    <t>SB59212</t>
  </si>
  <si>
    <t>SM32159</t>
  </si>
  <si>
    <t>A/C NO. 50100133670933 -TPT-ORIENTAL RS.199000+2880</t>
  </si>
  <si>
    <t>S102523</t>
  </si>
  <si>
    <t>SC94490</t>
  </si>
  <si>
    <t>SB59222</t>
  </si>
  <si>
    <t>S102562</t>
  </si>
  <si>
    <t>SC94504</t>
  </si>
  <si>
    <t>SB59237</t>
  </si>
  <si>
    <t>SM32186</t>
  </si>
  <si>
    <t>S102580</t>
  </si>
  <si>
    <t>SC94515</t>
  </si>
  <si>
    <t>SB64954</t>
  </si>
  <si>
    <t>SM32189</t>
  </si>
  <si>
    <t>S102564</t>
  </si>
  <si>
    <t>SOLANKI GRANITES</t>
  </si>
  <si>
    <t>SC94512</t>
  </si>
  <si>
    <t>SB64972</t>
  </si>
  <si>
    <t>SM32213</t>
  </si>
  <si>
    <t>S102599</t>
  </si>
  <si>
    <t>SC94542</t>
  </si>
  <si>
    <t>SB64973</t>
  </si>
  <si>
    <t>SM32225</t>
  </si>
  <si>
    <t>S104013</t>
  </si>
  <si>
    <t>SC94556</t>
  </si>
  <si>
    <t>SB64983</t>
  </si>
  <si>
    <t>SM32230</t>
  </si>
  <si>
    <t>A/C NO. 50100133670933 -TPT-ORIENTAL RS.150000/- ON A/C RS.37000/-</t>
  </si>
  <si>
    <t>S104010</t>
  </si>
  <si>
    <t>SHRI MAA NANDA STONE CRUSHERS</t>
  </si>
  <si>
    <t>SC94557</t>
  </si>
  <si>
    <t>SB64974</t>
  </si>
  <si>
    <t>SM32201</t>
  </si>
  <si>
    <t>S104014</t>
  </si>
  <si>
    <t>SC94558</t>
  </si>
  <si>
    <t>SB64981</t>
  </si>
  <si>
    <t>SM32228</t>
  </si>
  <si>
    <t>S104050</t>
  </si>
  <si>
    <t>SC94599</t>
  </si>
  <si>
    <t>SB64990</t>
  </si>
  <si>
    <t>SM32231</t>
  </si>
  <si>
    <t>A/C NO. 50100133670933 -TPT-ORIENTAL RS.130000/- ON A/C RS.47000/-</t>
  </si>
  <si>
    <t>S104054</t>
  </si>
  <si>
    <t>SC94603</t>
  </si>
  <si>
    <t>SB64991</t>
  </si>
  <si>
    <t>SM32232</t>
  </si>
  <si>
    <t>A/C NO. 50100133670933 -TPT-ORIENTAL RS.73000/- ON A/C ADJ RS.47000/-</t>
  </si>
  <si>
    <t>S104067</t>
  </si>
  <si>
    <t>SC94640</t>
  </si>
  <si>
    <t>SB65023</t>
  </si>
  <si>
    <t>SM32248</t>
  </si>
  <si>
    <t>S104089</t>
  </si>
  <si>
    <t>SC94641</t>
  </si>
  <si>
    <t>SB65034</t>
  </si>
  <si>
    <t>SM32654</t>
  </si>
  <si>
    <t>A/C NO. 50100133670933 -TPT-ORIENTAL RS.110000/- 09/06/18 RS.15000/- 20/06/18</t>
  </si>
  <si>
    <t>S109468</t>
  </si>
  <si>
    <t>SC98078</t>
  </si>
  <si>
    <t>SB68731</t>
  </si>
  <si>
    <t>SM31317</t>
  </si>
  <si>
    <t>A/C NO. 50100133670933 -TPT-ORIENTAL 10/09/18 RS.100000/-</t>
  </si>
  <si>
    <t>S109473</t>
  </si>
  <si>
    <t>SC94699</t>
  </si>
  <si>
    <t>SB68732</t>
  </si>
  <si>
    <t>SM31311</t>
  </si>
  <si>
    <t>S109493</t>
  </si>
  <si>
    <t>SHREE RAM STONE CRUSHER</t>
  </si>
  <si>
    <t>SC98093</t>
  </si>
  <si>
    <t>SB68723</t>
  </si>
  <si>
    <t>SM32656</t>
  </si>
  <si>
    <t>S109495</t>
  </si>
  <si>
    <t>BEHARI LAL ISPAT PVT LTD</t>
  </si>
  <si>
    <t>SC98086</t>
  </si>
  <si>
    <t>SB68733</t>
  </si>
  <si>
    <t>S110385</t>
  </si>
  <si>
    <t>TRIVENI STONE CRUSHER</t>
  </si>
  <si>
    <t>SC99132</t>
  </si>
  <si>
    <t>SB68793</t>
  </si>
  <si>
    <t>S110390</t>
  </si>
  <si>
    <t>SC99133</t>
  </si>
  <si>
    <t>SB68794</t>
  </si>
  <si>
    <t>S110391</t>
  </si>
  <si>
    <t>SC99134</t>
  </si>
  <si>
    <t>SB68806</t>
  </si>
  <si>
    <t>S111387</t>
  </si>
  <si>
    <t>SC99183</t>
  </si>
  <si>
    <t>SB68826</t>
  </si>
  <si>
    <t>S111396</t>
  </si>
  <si>
    <t>SC99193</t>
  </si>
  <si>
    <t>SB68827</t>
  </si>
  <si>
    <t>S111411</t>
  </si>
  <si>
    <t>SC99204</t>
  </si>
  <si>
    <t>SB68836</t>
  </si>
  <si>
    <t>S111424</t>
  </si>
  <si>
    <t>BINDAL DEVELOPERS</t>
  </si>
  <si>
    <t>SC99234</t>
  </si>
  <si>
    <t>KAVITHA   C</t>
  </si>
  <si>
    <t>SB68842</t>
  </si>
  <si>
    <t>S111418</t>
  </si>
  <si>
    <t>SC99235</t>
  </si>
  <si>
    <t>SB68845</t>
  </si>
  <si>
    <t>S111419</t>
  </si>
  <si>
    <t>SC99236</t>
  </si>
  <si>
    <t>SB68843</t>
  </si>
  <si>
    <t>S114301</t>
  </si>
  <si>
    <t>SC99249</t>
  </si>
  <si>
    <t>SB68885</t>
  </si>
  <si>
    <t>S111447</t>
  </si>
  <si>
    <t>SC99250</t>
  </si>
  <si>
    <t>SB68828</t>
  </si>
  <si>
    <t>S114307</t>
  </si>
  <si>
    <t>SC105851</t>
  </si>
  <si>
    <t>SB68860</t>
  </si>
  <si>
    <t>S114310</t>
  </si>
  <si>
    <t>SC105883</t>
  </si>
  <si>
    <t>SB68886</t>
  </si>
  <si>
    <t>S114336</t>
  </si>
  <si>
    <t>SC105884</t>
  </si>
  <si>
    <t>SB68889</t>
  </si>
  <si>
    <t>S114318</t>
  </si>
  <si>
    <t>SC105878</t>
  </si>
  <si>
    <t>SB68917</t>
  </si>
  <si>
    <t>S114317</t>
  </si>
  <si>
    <t>SC105879</t>
  </si>
  <si>
    <t>SB68916</t>
  </si>
  <si>
    <t>S117262</t>
  </si>
  <si>
    <t>STONE WORLD CORPORATION</t>
  </si>
  <si>
    <t>SC108698</t>
  </si>
  <si>
    <t>SB68962</t>
  </si>
  <si>
    <t>S117260</t>
  </si>
  <si>
    <t>SC108696</t>
  </si>
  <si>
    <t>SB68960</t>
  </si>
  <si>
    <t>S117261</t>
  </si>
  <si>
    <t>SC108697</t>
  </si>
  <si>
    <t>SB68961</t>
  </si>
  <si>
    <t>S110405</t>
  </si>
  <si>
    <t>PENTAFLO HYDRO PVT LTD</t>
  </si>
  <si>
    <t>SC98001</t>
  </si>
  <si>
    <t>SB65070</t>
  </si>
  <si>
    <t>SM32224</t>
  </si>
  <si>
    <t>FT CHQ NO 75878 A/C NO-16622560000121 PENTAFLO HYDRO PVT LTD</t>
  </si>
  <si>
    <t>S110406</t>
  </si>
  <si>
    <t>S110450</t>
  </si>
  <si>
    <t>SC99101</t>
  </si>
  <si>
    <t>K K TRANSPORTH</t>
  </si>
  <si>
    <t>SB68766</t>
  </si>
  <si>
    <t>S110448</t>
  </si>
  <si>
    <t>SC99102</t>
  </si>
  <si>
    <t>SB68756</t>
  </si>
  <si>
    <t>S104151</t>
  </si>
  <si>
    <t>PRASHANT WEST POINT MACHINERY PVT LTD</t>
  </si>
  <si>
    <t>SC94634</t>
  </si>
  <si>
    <t>SB65006</t>
  </si>
  <si>
    <t>S75631</t>
  </si>
  <si>
    <t>JAYAMANI BLUE METELS</t>
  </si>
  <si>
    <t>PROPEL INDUSTRIES PVT. LTD.</t>
  </si>
  <si>
    <t>SC44576</t>
  </si>
  <si>
    <t>SM16706</t>
  </si>
  <si>
    <t>CHQ DEP CHQ NO 105430 RS.15190/- TO PAY</t>
  </si>
  <si>
    <t>S75634</t>
  </si>
  <si>
    <t>G V V STONE CRUSHER</t>
  </si>
  <si>
    <t>SC44579</t>
  </si>
  <si>
    <t>SB40219</t>
  </si>
  <si>
    <t>SM16712</t>
  </si>
  <si>
    <t>FT-CR-50200008273820-PROPEL INDUSTRIES RS.35280</t>
  </si>
  <si>
    <t>S75635</t>
  </si>
  <si>
    <t>JAYAMANI BLUE METAL</t>
  </si>
  <si>
    <t>SC44580</t>
  </si>
  <si>
    <t>BALAJI TRAILOR SERVICES</t>
  </si>
  <si>
    <t>SB40214</t>
  </si>
  <si>
    <t>S75637</t>
  </si>
  <si>
    <t>ARAVIND STONE CRUSHERS</t>
  </si>
  <si>
    <t>SC44582</t>
  </si>
  <si>
    <t>SB40220</t>
  </si>
  <si>
    <t>SM16743</t>
  </si>
  <si>
    <t>CHQ DEP CHQ NO 4003 SERVICE BRANCH</t>
  </si>
  <si>
    <t>S75639</t>
  </si>
  <si>
    <t xml:space="preserve">BASAVESHWARA STONE CRUSHER </t>
  </si>
  <si>
    <t>SC44584</t>
  </si>
  <si>
    <t>OM SHAKTHI LORRY TRANSPORT</t>
  </si>
  <si>
    <t>SB40221</t>
  </si>
  <si>
    <t>SM16721</t>
  </si>
  <si>
    <t>CHQ DEP CHQ NO 106278 SERVICE BRANCH</t>
  </si>
  <si>
    <t>S75640</t>
  </si>
  <si>
    <t>SC44585</t>
  </si>
  <si>
    <t>RAMANA LORRY SUPPLIER</t>
  </si>
  <si>
    <t>SB40222</t>
  </si>
  <si>
    <t>SM16718</t>
  </si>
  <si>
    <t>SBD SCA-6451</t>
  </si>
  <si>
    <t>S75641</t>
  </si>
  <si>
    <t>SC44586</t>
  </si>
  <si>
    <t>SB40223</t>
  </si>
  <si>
    <t>S75642</t>
  </si>
  <si>
    <t>SC44587</t>
  </si>
  <si>
    <t>SB40224</t>
  </si>
  <si>
    <t>S75643</t>
  </si>
  <si>
    <t>MAHARISHI STONE CRUSHER</t>
  </si>
  <si>
    <t>SC44588</t>
  </si>
  <si>
    <t>SB40234</t>
  </si>
  <si>
    <t>SM16750</t>
  </si>
  <si>
    <t>IMPS-P2A-610911159074-919952809149 RS.76000/-</t>
  </si>
  <si>
    <t>S75645</t>
  </si>
  <si>
    <t>V N ASSOCIATES</t>
  </si>
  <si>
    <t>SC44590</t>
  </si>
  <si>
    <t>KRISHNA TRANSPORT CO.</t>
  </si>
  <si>
    <t>SB40225</t>
  </si>
  <si>
    <t>S75646</t>
  </si>
  <si>
    <t>SC44591</t>
  </si>
  <si>
    <t>SB40226</t>
  </si>
  <si>
    <t>S75650</t>
  </si>
  <si>
    <t>SRI BALAJI STONE CRUSHERS</t>
  </si>
  <si>
    <t>SC44594</t>
  </si>
  <si>
    <t>RAMAN TRANSPORTS CBE</t>
  </si>
  <si>
    <t>SB40227</t>
  </si>
  <si>
    <t>S75651</t>
  </si>
  <si>
    <t>SC44595</t>
  </si>
  <si>
    <t>SB40233</t>
  </si>
  <si>
    <t>SM16728</t>
  </si>
  <si>
    <t>CHQ NO 106365 RS.37730/- DB40233 SB40237</t>
  </si>
  <si>
    <t>S75652</t>
  </si>
  <si>
    <t>J.K.R. STONE CRUSHER</t>
  </si>
  <si>
    <t>SC44596</t>
  </si>
  <si>
    <t>GLOBAL ECOLOGISTICS PVT. LTD.</t>
  </si>
  <si>
    <t>SB40228</t>
  </si>
  <si>
    <t>S75653</t>
  </si>
  <si>
    <t>SC44597</t>
  </si>
  <si>
    <t>SB40229</t>
  </si>
  <si>
    <t>S75654</t>
  </si>
  <si>
    <t>SC44598</t>
  </si>
  <si>
    <t>SB40230</t>
  </si>
  <si>
    <t>S75655</t>
  </si>
  <si>
    <t>SC44599</t>
  </si>
  <si>
    <t>SB40257</t>
  </si>
  <si>
    <t>SM16734</t>
  </si>
  <si>
    <t>CHQ NO 106790 RS.451114/- SERVICE BRANCH ON A/C 02/01/16 NOW ADJ</t>
  </si>
  <si>
    <t>S75657</t>
  </si>
  <si>
    <t>SC44600</t>
  </si>
  <si>
    <t>S75658</t>
  </si>
  <si>
    <t>BHANU BHADORIYA CONTRACTOR</t>
  </si>
  <si>
    <t>SC56051</t>
  </si>
  <si>
    <t>SB40243</t>
  </si>
  <si>
    <t>SB40291</t>
  </si>
  <si>
    <t>S75659</t>
  </si>
  <si>
    <t>SC56052</t>
  </si>
  <si>
    <t>SATNAAM ROADLINES CBE</t>
  </si>
  <si>
    <t>SB40235</t>
  </si>
  <si>
    <t>SB40289</t>
  </si>
  <si>
    <t>S75660</t>
  </si>
  <si>
    <t>SC56053</t>
  </si>
  <si>
    <t>SB40239</t>
  </si>
  <si>
    <t>SB40290</t>
  </si>
  <si>
    <t>SM16798</t>
  </si>
  <si>
    <t>CASH DEPOSIT MOHAN CO-OPERATE</t>
  </si>
  <si>
    <t>S75663</t>
  </si>
  <si>
    <t>ARUN PRATAP BHADORIYA CONTRACTOR</t>
  </si>
  <si>
    <t>SC56055</t>
  </si>
  <si>
    <t>GANAPATHY TRANSPORT</t>
  </si>
  <si>
    <t>SB40236</t>
  </si>
  <si>
    <t>SM16877</t>
  </si>
  <si>
    <t>CHQ NO 4545 SERVICE BRANCH RS.302741/- BILLS RS.317704/- RS.14963 ON A/C ADJ</t>
  </si>
  <si>
    <t>S75662</t>
  </si>
  <si>
    <t>S75664</t>
  </si>
  <si>
    <t>SC56056</t>
  </si>
  <si>
    <t>SB40237</t>
  </si>
  <si>
    <t>SM16729</t>
  </si>
  <si>
    <t>S75674</t>
  </si>
  <si>
    <t>SC56065</t>
  </si>
  <si>
    <t>AGRA MATHURA ROAD LINES</t>
  </si>
  <si>
    <t>SB40244</t>
  </si>
  <si>
    <t>SM16720</t>
  </si>
  <si>
    <t>S75675</t>
  </si>
  <si>
    <t>JKR STONE CRUSHER</t>
  </si>
  <si>
    <t>SC56066</t>
  </si>
  <si>
    <t>SB40242</t>
  </si>
  <si>
    <t>S75676</t>
  </si>
  <si>
    <t>SC56067</t>
  </si>
  <si>
    <t>SB40246</t>
  </si>
  <si>
    <t>S75677</t>
  </si>
  <si>
    <t>SC56068</t>
  </si>
  <si>
    <t>SB40247</t>
  </si>
  <si>
    <t>S75678</t>
  </si>
  <si>
    <t>SC56069</t>
  </si>
  <si>
    <t>SB40276</t>
  </si>
  <si>
    <t>S75679</t>
  </si>
  <si>
    <t>SC56070</t>
  </si>
  <si>
    <t>BALAJI TRANSPORT</t>
  </si>
  <si>
    <t>SB40248</t>
  </si>
  <si>
    <t>S75680</t>
  </si>
  <si>
    <t>SMP ROCK SOLUTION</t>
  </si>
  <si>
    <t>SC56071</t>
  </si>
  <si>
    <t>SB40245</t>
  </si>
  <si>
    <t>S75681</t>
  </si>
  <si>
    <t>S.S STONE CRUSHER</t>
  </si>
  <si>
    <t>SC56072</t>
  </si>
  <si>
    <t>SB40269</t>
  </si>
  <si>
    <t>SM16763</t>
  </si>
  <si>
    <t>NEFT 50100153203375 RS.80000/- BILLS RS.72000/- ON A/C RS.8000/-</t>
  </si>
  <si>
    <t>S75682</t>
  </si>
  <si>
    <t>SC56073</t>
  </si>
  <si>
    <t>SB40270</t>
  </si>
  <si>
    <t>S75685</t>
  </si>
  <si>
    <t>SVT MAHIMA STONE CRUSHER</t>
  </si>
  <si>
    <t>SC56077</t>
  </si>
  <si>
    <t>SB40271</t>
  </si>
  <si>
    <t>SM16768</t>
  </si>
  <si>
    <t>CHQ DEP CHQ NO 4092 RS.50774/- ON A/C ADJ RS.8000/- ON A/C RS.2774/-</t>
  </si>
  <si>
    <t>S75686</t>
  </si>
  <si>
    <t xml:space="preserve">BANGALORE INTERNATIONAL </t>
  </si>
  <si>
    <t>SC56076</t>
  </si>
  <si>
    <t>SB40250</t>
  </si>
  <si>
    <t>SM16738</t>
  </si>
  <si>
    <t>SBD SCA-7067 RS.331926/-</t>
  </si>
  <si>
    <t>S75688</t>
  </si>
  <si>
    <t>SC56079</t>
  </si>
  <si>
    <t>SB40260</t>
  </si>
  <si>
    <t>S75687</t>
  </si>
  <si>
    <t>SC56081</t>
  </si>
  <si>
    <t>SB40262</t>
  </si>
  <si>
    <t>S75690</t>
  </si>
  <si>
    <t>SC56084</t>
  </si>
  <si>
    <t>SB40258</t>
  </si>
  <si>
    <t>S75693</t>
  </si>
  <si>
    <t>SC56080</t>
  </si>
  <si>
    <t>SB40259</t>
  </si>
  <si>
    <t>S75692</t>
  </si>
  <si>
    <t>SC56083</t>
  </si>
  <si>
    <t>SB40251</t>
  </si>
  <si>
    <t>S75694</t>
  </si>
  <si>
    <t>SC56082</t>
  </si>
  <si>
    <t>SB40249</t>
  </si>
  <si>
    <t>S75695</t>
  </si>
  <si>
    <t>SC56085</t>
  </si>
  <si>
    <t>SATNAM ROADWAYS</t>
  </si>
  <si>
    <t>SB40261</t>
  </si>
  <si>
    <t>S84803</t>
  </si>
  <si>
    <t>Rajendra singh kiledar construction p ltd</t>
  </si>
  <si>
    <t>SC56093</t>
  </si>
  <si>
    <t>ASSOCIATED AUTOMOBILES</t>
  </si>
  <si>
    <t>SB40282</t>
  </si>
  <si>
    <t>SM16758</t>
  </si>
  <si>
    <t>CHQ  NO 5874 FT CR-50200008273820 PROPEL INDUSTRIES RS.144550/-</t>
  </si>
  <si>
    <t>S84808</t>
  </si>
  <si>
    <t>SNV CRUSHERS</t>
  </si>
  <si>
    <t>SC56096</t>
  </si>
  <si>
    <t>SB40298</t>
  </si>
  <si>
    <t>SM16790</t>
  </si>
  <si>
    <t>IMPS-P2A-618613161789-919952809149 RS.50960/-</t>
  </si>
  <si>
    <t>S84807</t>
  </si>
  <si>
    <t>Ranganatha Engineering  Works</t>
  </si>
  <si>
    <t>SC56097</t>
  </si>
  <si>
    <t>SB40280</t>
  </si>
  <si>
    <t>SM16739</t>
  </si>
  <si>
    <t>CHQ NO 107444 FT CR-50200008273820 PROPEL RS.20580</t>
  </si>
  <si>
    <t>S84809</t>
  </si>
  <si>
    <t>SC56098</t>
  </si>
  <si>
    <t>SB40281</t>
  </si>
  <si>
    <t>S84810</t>
  </si>
  <si>
    <t>SANJEEVINI BLUE METALS</t>
  </si>
  <si>
    <t>SC56099</t>
  </si>
  <si>
    <t>MRC ROAD CARRIERS</t>
  </si>
  <si>
    <t>SB40266</t>
  </si>
  <si>
    <t>SM16727</t>
  </si>
  <si>
    <t>CHQ NO 566129 RS.16000/- DT 15/01/16</t>
  </si>
  <si>
    <t>S84815</t>
  </si>
  <si>
    <t>SRI RANGANATHA ENGINEERING WORKS</t>
  </si>
  <si>
    <t>SC56100</t>
  </si>
  <si>
    <t>SB40285</t>
  </si>
  <si>
    <t>S84814</t>
  </si>
  <si>
    <t>S84813</t>
  </si>
  <si>
    <t>R R M BLUE METALS</t>
  </si>
  <si>
    <t>SC56103</t>
  </si>
  <si>
    <t>IDEAL ROADWAYS</t>
  </si>
  <si>
    <t>SB40268</t>
  </si>
  <si>
    <t>SM16724</t>
  </si>
  <si>
    <t>CHQ NO 205 CHQ DEP-SERVICE BRANCH RS.26500/-</t>
  </si>
  <si>
    <t>S84820</t>
  </si>
  <si>
    <t>SC56105</t>
  </si>
  <si>
    <t>SALEM ROADLINES</t>
  </si>
  <si>
    <t>SB40274</t>
  </si>
  <si>
    <t>S84818</t>
  </si>
  <si>
    <t>DRF INFRA BUILDERS P LTD</t>
  </si>
  <si>
    <t>SC56108</t>
  </si>
  <si>
    <t>SB50704</t>
  </si>
  <si>
    <t>SM16784</t>
  </si>
  <si>
    <t>CHQ  NO 1374 FT CR-50200008273820 PROPEL INDUSTRIES RS.792450/-</t>
  </si>
  <si>
    <t>S84819</t>
  </si>
  <si>
    <t>SC56109</t>
  </si>
  <si>
    <t>SB40299</t>
  </si>
  <si>
    <t>S84824</t>
  </si>
  <si>
    <t>SC56110</t>
  </si>
  <si>
    <t>SB50701</t>
  </si>
  <si>
    <t>SM16773</t>
  </si>
  <si>
    <t>CHQ  NO 13025 FT CR-50200008273820 PROPEL INDUSTRIES RS.693103/- BILLS RS. 677700/- ON A/C RS.15403/-</t>
  </si>
  <si>
    <t>S84825</t>
  </si>
  <si>
    <t>SC56111</t>
  </si>
  <si>
    <t>SB40300</t>
  </si>
  <si>
    <t>SB52598</t>
  </si>
  <si>
    <t>S84826</t>
  </si>
  <si>
    <t>SC56112</t>
  </si>
  <si>
    <t>SB50703</t>
  </si>
  <si>
    <t>S84831</t>
  </si>
  <si>
    <t>SC56113</t>
  </si>
  <si>
    <t>SB50702</t>
  </si>
  <si>
    <t>S84859</t>
  </si>
  <si>
    <t>SC56135</t>
  </si>
  <si>
    <t>SB50711</t>
  </si>
  <si>
    <t>SM16779</t>
  </si>
  <si>
    <t>CHQ DEP TRF CHQ NO 411 SERVICE BRANCH RS.63226/- ON A/C ADJ RS.2774</t>
  </si>
  <si>
    <t>S84860</t>
  </si>
  <si>
    <t>SC56136</t>
  </si>
  <si>
    <t>SB50712</t>
  </si>
  <si>
    <t>S84857</t>
  </si>
  <si>
    <t>SC56141</t>
  </si>
  <si>
    <t>SB40275</t>
  </si>
  <si>
    <t>S84858</t>
  </si>
  <si>
    <t>SC56142</t>
  </si>
  <si>
    <t>SB40279</t>
  </si>
  <si>
    <t>S84866</t>
  </si>
  <si>
    <t>RaMDEV CRUSHER P. LTD</t>
  </si>
  <si>
    <t>SC56145</t>
  </si>
  <si>
    <t>SB50713</t>
  </si>
  <si>
    <t>SM16797</t>
  </si>
  <si>
    <t>IMPS-P2A-620011188195-91995809149 RS.64680/-</t>
  </si>
  <si>
    <t>S84873</t>
  </si>
  <si>
    <t>BAHNU BHADURIYA CONTRACTOR</t>
  </si>
  <si>
    <t>SC56151</t>
  </si>
  <si>
    <t>SB50714</t>
  </si>
  <si>
    <t>SM16807</t>
  </si>
  <si>
    <t>SBD SCA-7898 RS.763974/- BILLS RS.660422/-ON A/C RS.103552/-</t>
  </si>
  <si>
    <t>S84871</t>
  </si>
  <si>
    <t>K Y NANJEGOWDA PROPREITOR</t>
  </si>
  <si>
    <t>SC56154</t>
  </si>
  <si>
    <t>SB40296</t>
  </si>
  <si>
    <t>SM16754</t>
  </si>
  <si>
    <t>CHQ  NO 107575 FT CR-50200008273820 PROPEL INDUSTRIES RS.11907/-</t>
  </si>
  <si>
    <t>S84872</t>
  </si>
  <si>
    <t>SC56155</t>
  </si>
  <si>
    <t>SB40297</t>
  </si>
  <si>
    <t>SM16786</t>
  </si>
  <si>
    <t>BILL RS.21403/- RS.6000/- ON A/C ADJ RS.15403</t>
  </si>
  <si>
    <t>S84897</t>
  </si>
  <si>
    <t>NANJUNDESWARA STONE CRUSHER</t>
  </si>
  <si>
    <t>SC56186</t>
  </si>
  <si>
    <t>OM ROAD LINES</t>
  </si>
  <si>
    <t>SB50720</t>
  </si>
  <si>
    <t>S84921</t>
  </si>
  <si>
    <t>SC56192</t>
  </si>
  <si>
    <t>SB50731</t>
  </si>
  <si>
    <t>SM16801</t>
  </si>
  <si>
    <t>IMPS-P2A-623017125141-919952809149-SB50731 RAMDEV CRUSHER</t>
  </si>
  <si>
    <t>S84922</t>
  </si>
  <si>
    <t>SRI MUTUARVASAMY</t>
  </si>
  <si>
    <t>SC56190</t>
  </si>
  <si>
    <t>SB50732</t>
  </si>
  <si>
    <t>SM16775</t>
  </si>
  <si>
    <t>IMPS-P2A-615212551820-919843612143 RS.21000/- BILL 20000/- ON A/C RS.1000/-</t>
  </si>
  <si>
    <t>S84939</t>
  </si>
  <si>
    <t>SRI MUTHURAVASAMY</t>
  </si>
  <si>
    <t>SC56193</t>
  </si>
  <si>
    <t>SB50728</t>
  </si>
  <si>
    <t>SM16789</t>
  </si>
  <si>
    <t>IMPS-P2A-617610050170-919843612143 RS.11000/- ON A/C ADJ RS.1000/- BILL RS.12000/-</t>
  </si>
  <si>
    <t>S84932</t>
  </si>
  <si>
    <t>G RAMESH BALU</t>
  </si>
  <si>
    <t>SC56197</t>
  </si>
  <si>
    <t>CHAVAN TRANSPORT SERVICE</t>
  </si>
  <si>
    <t>SB50734</t>
  </si>
  <si>
    <t>SM30163</t>
  </si>
  <si>
    <t>BILL RS.15000/- ON A/C ADJ AGST SM16862 RS.10037/- SM16869 RS4963</t>
  </si>
  <si>
    <t>S84931</t>
  </si>
  <si>
    <t>SC56198</t>
  </si>
  <si>
    <t>SB50733</t>
  </si>
  <si>
    <t>SM30190</t>
  </si>
  <si>
    <t>A/C NO 50100153203375-TPT-PROPEL INDUSTRIES RS.126000/-</t>
  </si>
  <si>
    <t>S84968</t>
  </si>
  <si>
    <t>SC56221</t>
  </si>
  <si>
    <t>SB50735</t>
  </si>
  <si>
    <t>S84957</t>
  </si>
  <si>
    <t>SC56233</t>
  </si>
  <si>
    <t>SB50729</t>
  </si>
  <si>
    <t>S84950</t>
  </si>
  <si>
    <t>PONOOR POYIL GRANTESH</t>
  </si>
  <si>
    <t>SC56223</t>
  </si>
  <si>
    <t>ALL INDIA TPT</t>
  </si>
  <si>
    <t>SB50719</t>
  </si>
  <si>
    <t>S84849</t>
  </si>
  <si>
    <t>VIKKAM OTAN</t>
  </si>
  <si>
    <t>SC56224</t>
  </si>
  <si>
    <t>SB50767</t>
  </si>
  <si>
    <t>SM30241</t>
  </si>
  <si>
    <t>CHQ  NO 330087  MICR CLG SERVICE BRANCH RS.485590/- BILLS 436000/- ON A/C 49590/-</t>
  </si>
  <si>
    <t>S84971</t>
  </si>
  <si>
    <t>VENKETSHWRA STONE</t>
  </si>
  <si>
    <t>SC56226</t>
  </si>
  <si>
    <t>SB50746</t>
  </si>
  <si>
    <t>SM16772</t>
  </si>
  <si>
    <t>S84972</t>
  </si>
  <si>
    <t>NATIONAL GRANTE</t>
  </si>
  <si>
    <t>SC56238</t>
  </si>
  <si>
    <t>SB50750</t>
  </si>
  <si>
    <t>S84963</t>
  </si>
  <si>
    <t>SC56240</t>
  </si>
  <si>
    <t>SB50727</t>
  </si>
  <si>
    <t>SM30209</t>
  </si>
  <si>
    <t>S84965</t>
  </si>
  <si>
    <t>S V AGGREGATES AND MSAND</t>
  </si>
  <si>
    <t>SC56242</t>
  </si>
  <si>
    <t>SB50756</t>
  </si>
  <si>
    <t>S84981</t>
  </si>
  <si>
    <t>SC56246</t>
  </si>
  <si>
    <t>SB50768</t>
  </si>
  <si>
    <t>SM30232</t>
  </si>
  <si>
    <t>S84967</t>
  </si>
  <si>
    <t>SC56244</t>
  </si>
  <si>
    <t>SB50743</t>
  </si>
  <si>
    <t>S84982</t>
  </si>
  <si>
    <t>SC56245</t>
  </si>
  <si>
    <t>SB50745</t>
  </si>
  <si>
    <t>S84975</t>
  </si>
  <si>
    <t>SC56247</t>
  </si>
  <si>
    <t>SB50747</t>
  </si>
  <si>
    <t>S84974</t>
  </si>
  <si>
    <t>SC56248</t>
  </si>
  <si>
    <t>SB50744</t>
  </si>
  <si>
    <t>S84977</t>
  </si>
  <si>
    <t>SC56250</t>
  </si>
  <si>
    <t>S84978</t>
  </si>
  <si>
    <t>S84976</t>
  </si>
  <si>
    <t>SB50742</t>
  </si>
  <si>
    <t>S84989</t>
  </si>
  <si>
    <t>SC56252</t>
  </si>
  <si>
    <t>SB50751</t>
  </si>
  <si>
    <t>S84990</t>
  </si>
  <si>
    <t>SUNITHA STON GRAWELS</t>
  </si>
  <si>
    <t>SC56254</t>
  </si>
  <si>
    <t>SB50755</t>
  </si>
  <si>
    <t>SM16753</t>
  </si>
  <si>
    <t>S84991</t>
  </si>
  <si>
    <t>CFS CHENNAI</t>
  </si>
  <si>
    <t>SC56253</t>
  </si>
  <si>
    <t>SB50752</t>
  </si>
  <si>
    <t>S84992</t>
  </si>
  <si>
    <t>SC56255</t>
  </si>
  <si>
    <t>SB50753</t>
  </si>
  <si>
    <t>S84987</t>
  </si>
  <si>
    <t>SC56264</t>
  </si>
  <si>
    <t>SB50780</t>
  </si>
  <si>
    <t>S84753</t>
  </si>
  <si>
    <t>SK BALU</t>
  </si>
  <si>
    <t>SC56268</t>
  </si>
  <si>
    <t>SM16755</t>
  </si>
  <si>
    <t>S84997</t>
  </si>
  <si>
    <t>SV AGGREGET</t>
  </si>
  <si>
    <t>SC56269</t>
  </si>
  <si>
    <t>SB50762</t>
  </si>
  <si>
    <t>S84998</t>
  </si>
  <si>
    <t>AGRAWAL ENTERPRIES</t>
  </si>
  <si>
    <t>SC56270</t>
  </si>
  <si>
    <t>SB50772</t>
  </si>
  <si>
    <t>S84759</t>
  </si>
  <si>
    <t>SC56274</t>
  </si>
  <si>
    <t>SB50763</t>
  </si>
  <si>
    <t>S84756</t>
  </si>
  <si>
    <t>RaDHEY INFRA SOLITIONS PVT LTD</t>
  </si>
  <si>
    <t>SC56276</t>
  </si>
  <si>
    <t>GANAPATI TRANSPORT</t>
  </si>
  <si>
    <t>SB50785</t>
  </si>
  <si>
    <t>SM16791</t>
  </si>
  <si>
    <t xml:space="preserve">BILL RS.15000/- ON A/C ADJ RS10037/- RS4963/- </t>
  </si>
  <si>
    <t>S84757</t>
  </si>
  <si>
    <t xml:space="preserve">ORINTEL PLANTS &amp; EQUEPMENT (P) LIMITED </t>
  </si>
  <si>
    <t>SC56277</t>
  </si>
  <si>
    <t>SB50757</t>
  </si>
  <si>
    <t>S84758</t>
  </si>
  <si>
    <t>ORINTAL PLANTS &amp; EQUIPMENT(P)LIMITED</t>
  </si>
  <si>
    <t>S84761</t>
  </si>
  <si>
    <t>SC56279</t>
  </si>
  <si>
    <t>SB50784</t>
  </si>
  <si>
    <t>S84782</t>
  </si>
  <si>
    <t>SRI NANDESHWAR STONE</t>
  </si>
  <si>
    <t>SC56282</t>
  </si>
  <si>
    <t>SB52572</t>
  </si>
  <si>
    <t>S84763</t>
  </si>
  <si>
    <t xml:space="preserve">JAGDAMBA STON </t>
  </si>
  <si>
    <t>SC56288</t>
  </si>
  <si>
    <t>SB52551</t>
  </si>
  <si>
    <t>SM16869</t>
  </si>
  <si>
    <t>S84770</t>
  </si>
  <si>
    <t>SC56290</t>
  </si>
  <si>
    <t>NEW KARTHIK TRAILOR SERVICE (P)</t>
  </si>
  <si>
    <t>SB50787</t>
  </si>
  <si>
    <t>S84772</t>
  </si>
  <si>
    <t>SC56291</t>
  </si>
  <si>
    <t>SB50788</t>
  </si>
  <si>
    <t>SM16845</t>
  </si>
  <si>
    <t>SM16846</t>
  </si>
  <si>
    <t>S84771</t>
  </si>
  <si>
    <t>S84778</t>
  </si>
  <si>
    <t>SC56292</t>
  </si>
  <si>
    <t>SB50773</t>
  </si>
  <si>
    <t>S84789</t>
  </si>
  <si>
    <t>SC56293</t>
  </si>
  <si>
    <t>SB50774</t>
  </si>
  <si>
    <t>S88506</t>
  </si>
  <si>
    <t>SC56304</t>
  </si>
  <si>
    <t>SB52600</t>
  </si>
  <si>
    <t>S88507</t>
  </si>
  <si>
    <t>SNP SACINING</t>
  </si>
  <si>
    <t>SC56311</t>
  </si>
  <si>
    <t>SHREE BAGNATH ROADWAYS,</t>
  </si>
  <si>
    <t>SM16765</t>
  </si>
  <si>
    <t>S88512</t>
  </si>
  <si>
    <t>PUS STONE</t>
  </si>
  <si>
    <t>SC56312</t>
  </si>
  <si>
    <t>SB52558</t>
  </si>
  <si>
    <t>SM16781</t>
  </si>
  <si>
    <t>S88510</t>
  </si>
  <si>
    <t>S TRADERS PAND</t>
  </si>
  <si>
    <t>SC56313</t>
  </si>
  <si>
    <t>SB50779</t>
  </si>
  <si>
    <t>S88508</t>
  </si>
  <si>
    <t>SAMY ENGINEERING</t>
  </si>
  <si>
    <t>SC56317</t>
  </si>
  <si>
    <t>SB50782</t>
  </si>
  <si>
    <t>S88509</t>
  </si>
  <si>
    <t>SAMY ENGINREENG</t>
  </si>
  <si>
    <t>SB50781</t>
  </si>
  <si>
    <t>S84794</t>
  </si>
  <si>
    <t>SC56316</t>
  </si>
  <si>
    <t>AGRA AHMEDABAD ROADLINES</t>
  </si>
  <si>
    <t>SB52553</t>
  </si>
  <si>
    <t>SM30176</t>
  </si>
  <si>
    <t>S88513</t>
  </si>
  <si>
    <t>R.R.M BLUE METALS</t>
  </si>
  <si>
    <t>SC56325</t>
  </si>
  <si>
    <t>SB50791</t>
  </si>
  <si>
    <t>S88515</t>
  </si>
  <si>
    <t>R. k. rojan</t>
  </si>
  <si>
    <t>SC56326</t>
  </si>
  <si>
    <t>SB50797</t>
  </si>
  <si>
    <t>S88516</t>
  </si>
  <si>
    <t>LSC INTRATECH LTD</t>
  </si>
  <si>
    <t>SC56327</t>
  </si>
  <si>
    <t>SB52571</t>
  </si>
  <si>
    <t>SM16838</t>
  </si>
  <si>
    <t>S88521</t>
  </si>
  <si>
    <t>Rk INFRA</t>
  </si>
  <si>
    <t>SC56334</t>
  </si>
  <si>
    <t>SB52552</t>
  </si>
  <si>
    <t>S88542</t>
  </si>
  <si>
    <t>SC56337</t>
  </si>
  <si>
    <t>SB52573</t>
  </si>
  <si>
    <t>S88540</t>
  </si>
  <si>
    <t>SC56341</t>
  </si>
  <si>
    <t>SB52568</t>
  </si>
  <si>
    <t>S88541</t>
  </si>
  <si>
    <t>SC56347</t>
  </si>
  <si>
    <t>RCI LOGISTICS</t>
  </si>
  <si>
    <t>SB52569</t>
  </si>
  <si>
    <t>S88545</t>
  </si>
  <si>
    <t>M.S.CRUSHER DAHARRA</t>
  </si>
  <si>
    <t>SC56348</t>
  </si>
  <si>
    <t>SB52579</t>
  </si>
  <si>
    <t>S88553</t>
  </si>
  <si>
    <t>SC56352</t>
  </si>
  <si>
    <t>SB52570</t>
  </si>
  <si>
    <t>S88558</t>
  </si>
  <si>
    <t>BSR STON CRUSHER</t>
  </si>
  <si>
    <t>SC56353</t>
  </si>
  <si>
    <t>SB52601</t>
  </si>
  <si>
    <t>SM30228</t>
  </si>
  <si>
    <t>S88559</t>
  </si>
  <si>
    <t>SC56357</t>
  </si>
  <si>
    <t>SB52567</t>
  </si>
  <si>
    <t>S88560</t>
  </si>
  <si>
    <t>DRK M SOND</t>
  </si>
  <si>
    <t>S88538</t>
  </si>
  <si>
    <t>SAND STON CRUSHER</t>
  </si>
  <si>
    <t>SC56359</t>
  </si>
  <si>
    <t>SB52614</t>
  </si>
  <si>
    <t>S88546</t>
  </si>
  <si>
    <t>S88569</t>
  </si>
  <si>
    <t>SC56363</t>
  </si>
  <si>
    <t>SB52577</t>
  </si>
  <si>
    <t>S88570</t>
  </si>
  <si>
    <t>SC56368</t>
  </si>
  <si>
    <t>SB52583</t>
  </si>
  <si>
    <t>S88565</t>
  </si>
  <si>
    <t>SC56374</t>
  </si>
  <si>
    <t>SB52580</t>
  </si>
  <si>
    <t>SM16870</t>
  </si>
  <si>
    <t>S88564</t>
  </si>
  <si>
    <t>S88593</t>
  </si>
  <si>
    <t>SC56388</t>
  </si>
  <si>
    <t>SB52578</t>
  </si>
  <si>
    <t>SM16792</t>
  </si>
  <si>
    <t>S88585</t>
  </si>
  <si>
    <t>SC56390</t>
  </si>
  <si>
    <t>BANNARI AMMAN TRANSPORT</t>
  </si>
  <si>
    <t>SB52584</t>
  </si>
  <si>
    <t>S88586</t>
  </si>
  <si>
    <t>SC56392</t>
  </si>
  <si>
    <t>SB52582</t>
  </si>
  <si>
    <t>S88589</t>
  </si>
  <si>
    <t>SC56396</t>
  </si>
  <si>
    <t>SB52581</t>
  </si>
  <si>
    <t>S88606</t>
  </si>
  <si>
    <t>SIDHBALI STON CRUSHER</t>
  </si>
  <si>
    <t>SC56400</t>
  </si>
  <si>
    <t>SB52604</t>
  </si>
  <si>
    <t>S88603</t>
  </si>
  <si>
    <t>SC56409</t>
  </si>
  <si>
    <t>SB52597</t>
  </si>
  <si>
    <t>S88610</t>
  </si>
  <si>
    <t>SC56413</t>
  </si>
  <si>
    <t>SB52608</t>
  </si>
  <si>
    <t>SM16864</t>
  </si>
  <si>
    <t>S88617</t>
  </si>
  <si>
    <t>Rk SAND CR</t>
  </si>
  <si>
    <t>SC56415</t>
  </si>
  <si>
    <t>SB52610</t>
  </si>
  <si>
    <t>S88618</t>
  </si>
  <si>
    <t>SAKTHI BLU MATEL</t>
  </si>
  <si>
    <t>S88619</t>
  </si>
  <si>
    <t>TEEMAGE INDIA PVT LTD</t>
  </si>
  <si>
    <t>SC56416</t>
  </si>
  <si>
    <t>SB52639</t>
  </si>
  <si>
    <t>SM16903</t>
  </si>
  <si>
    <t>S88626</t>
  </si>
  <si>
    <t>SC56418</t>
  </si>
  <si>
    <t>SB52640</t>
  </si>
  <si>
    <t>S88614</t>
  </si>
  <si>
    <t>AVTAR AND COMPANY</t>
  </si>
  <si>
    <t>SC56421</t>
  </si>
  <si>
    <t>SB52619</t>
  </si>
  <si>
    <t>S88629</t>
  </si>
  <si>
    <t>SC56431</t>
  </si>
  <si>
    <t>SB52609</t>
  </si>
  <si>
    <t>S88628</t>
  </si>
  <si>
    <t>S88633</t>
  </si>
  <si>
    <t>NCC &amp;MASHIN</t>
  </si>
  <si>
    <t>SC56443</t>
  </si>
  <si>
    <t>SB52685</t>
  </si>
  <si>
    <t>S88644</t>
  </si>
  <si>
    <t>TAvara mins</t>
  </si>
  <si>
    <t>SC56445</t>
  </si>
  <si>
    <t>SB52618</t>
  </si>
  <si>
    <t>S88648</t>
  </si>
  <si>
    <t>MBR ENTERPRISES AND CO</t>
  </si>
  <si>
    <t>MAA NARMADA AGROTECH AND INFRASTRUCTRES LTD</t>
  </si>
  <si>
    <t>SC56446</t>
  </si>
  <si>
    <t>SB52688</t>
  </si>
  <si>
    <t>SM32221</t>
  </si>
  <si>
    <t>S88651</t>
  </si>
  <si>
    <t>SRI Nivas h</t>
  </si>
  <si>
    <t>SC56454</t>
  </si>
  <si>
    <t>SB52651</t>
  </si>
  <si>
    <t>S88654</t>
  </si>
  <si>
    <t>KKM BLUE METALS</t>
  </si>
  <si>
    <t>SC56457</t>
  </si>
  <si>
    <t>SB52631</t>
  </si>
  <si>
    <t>SM16804</t>
  </si>
  <si>
    <t>S88661</t>
  </si>
  <si>
    <t>SAI ENTERPRIES</t>
  </si>
  <si>
    <t>SC56461</t>
  </si>
  <si>
    <t>SB52696</t>
  </si>
  <si>
    <t>SM16862</t>
  </si>
  <si>
    <t>S88675</t>
  </si>
  <si>
    <t>SC56465</t>
  </si>
  <si>
    <t>SB52680</t>
  </si>
  <si>
    <t>S88676</t>
  </si>
  <si>
    <t>SC56471</t>
  </si>
  <si>
    <t>SB52638</t>
  </si>
  <si>
    <t>S88685</t>
  </si>
  <si>
    <t>ARCON INDUSTRIES</t>
  </si>
  <si>
    <t>SC56482</t>
  </si>
  <si>
    <t>SB52686</t>
  </si>
  <si>
    <t>S88687</t>
  </si>
  <si>
    <t>SC56486</t>
  </si>
  <si>
    <t>SB52650</t>
  </si>
  <si>
    <t>S88694</t>
  </si>
  <si>
    <t xml:space="preserve">MAA  narmda </t>
  </si>
  <si>
    <t>SC56488</t>
  </si>
  <si>
    <t>SB52689</t>
  </si>
  <si>
    <t>SM32222</t>
  </si>
  <si>
    <t>S88699</t>
  </si>
  <si>
    <t>SHREE BALAJI ENTERPRIES</t>
  </si>
  <si>
    <t>SC56493</t>
  </si>
  <si>
    <t>SB52672</t>
  </si>
  <si>
    <t>SM16822</t>
  </si>
  <si>
    <t>S88691</t>
  </si>
  <si>
    <t>SHRI ram stone crushier</t>
  </si>
  <si>
    <t>SC56494</t>
  </si>
  <si>
    <t>SUKHLAL CHOUDHARY &amp; BROTHERS</t>
  </si>
  <si>
    <t>SB52670</t>
  </si>
  <si>
    <t>SM16823</t>
  </si>
  <si>
    <t>S88692</t>
  </si>
  <si>
    <t>SC56496</t>
  </si>
  <si>
    <t>SB52671</t>
  </si>
  <si>
    <t>S88712</t>
  </si>
  <si>
    <t>SRI MANJUNATHAN</t>
  </si>
  <si>
    <t>SC88756</t>
  </si>
  <si>
    <t>SB52675</t>
  </si>
  <si>
    <t>S88729</t>
  </si>
  <si>
    <t>PARTH METAL WORKS</t>
  </si>
  <si>
    <t>SC88779</t>
  </si>
  <si>
    <t>SB52718</t>
  </si>
  <si>
    <t>SB59011</t>
  </si>
  <si>
    <t>SM16832A</t>
  </si>
  <si>
    <t>SM16841</t>
  </si>
  <si>
    <t>SM16894</t>
  </si>
  <si>
    <t>S88733</t>
  </si>
  <si>
    <t>SC88781</t>
  </si>
  <si>
    <t>SB59012</t>
  </si>
  <si>
    <t>S88730</t>
  </si>
  <si>
    <t>SC88780</t>
  </si>
  <si>
    <t>S88747</t>
  </si>
  <si>
    <t>SHREE SHANTADURGA ENTERPRISES</t>
  </si>
  <si>
    <t>SC88794</t>
  </si>
  <si>
    <t>SB52722</t>
  </si>
  <si>
    <t>S94157</t>
  </si>
  <si>
    <t>V.ARUN KUMAR</t>
  </si>
  <si>
    <t>SC88806</t>
  </si>
  <si>
    <t>KUMAR ROADWASE</t>
  </si>
  <si>
    <t>SB52721</t>
  </si>
  <si>
    <t>SM16855</t>
  </si>
  <si>
    <t>S94159</t>
  </si>
  <si>
    <t>New aruganai</t>
  </si>
  <si>
    <t>SC88808</t>
  </si>
  <si>
    <t>SB52717</t>
  </si>
  <si>
    <t>SM16853</t>
  </si>
  <si>
    <t>S94198</t>
  </si>
  <si>
    <t>MAA KELA DEVI STONE</t>
  </si>
  <si>
    <t>SC88845</t>
  </si>
  <si>
    <t>SB58955</t>
  </si>
  <si>
    <t>SM16859</t>
  </si>
  <si>
    <t>SM16875</t>
  </si>
  <si>
    <t>S94255</t>
  </si>
  <si>
    <t>SC88895</t>
  </si>
  <si>
    <t>SB59054</t>
  </si>
  <si>
    <t>SM32175</t>
  </si>
  <si>
    <t>S94272</t>
  </si>
  <si>
    <t>SC88908</t>
  </si>
  <si>
    <t>SM16873</t>
  </si>
  <si>
    <t>SM16884</t>
  </si>
  <si>
    <t>S94287</t>
  </si>
  <si>
    <t>TRINITY INFRASTRUCTURES</t>
  </si>
  <si>
    <t>SC88928</t>
  </si>
  <si>
    <t>SINGH ROAD CARRIER</t>
  </si>
  <si>
    <t>SB59030</t>
  </si>
  <si>
    <t>SM16930</t>
  </si>
  <si>
    <t>S94320</t>
  </si>
  <si>
    <t>JB STONE CRUSHER</t>
  </si>
  <si>
    <t>SC88955</t>
  </si>
  <si>
    <t>OM GANAPATHI TPT</t>
  </si>
  <si>
    <t>SB59031</t>
  </si>
  <si>
    <t>S94350</t>
  </si>
  <si>
    <t>KIRAN STONE</t>
  </si>
  <si>
    <t>SC88997</t>
  </si>
  <si>
    <t>SB59083</t>
  </si>
  <si>
    <t>SM16948</t>
  </si>
  <si>
    <t>S94538</t>
  </si>
  <si>
    <t>SC94404</t>
  </si>
  <si>
    <t>SENTHIL KUMAR K</t>
  </si>
  <si>
    <t>SB59189</t>
  </si>
  <si>
    <t>SM30203</t>
  </si>
  <si>
    <t>S94583</t>
  </si>
  <si>
    <t>UDAY SHIVA KUMAR</t>
  </si>
  <si>
    <t>SC94457</t>
  </si>
  <si>
    <t>SRI BANNARI AMMAN LORRY TPT</t>
  </si>
  <si>
    <t>K ANKARAJ</t>
  </si>
  <si>
    <t>SB59202</t>
  </si>
  <si>
    <t>SM30220</t>
  </si>
  <si>
    <t>S94584</t>
  </si>
  <si>
    <t>SC94458</t>
  </si>
  <si>
    <t>UNNI KRISANAN</t>
  </si>
  <si>
    <t>DEEPAK   GLOOB  PATIL</t>
  </si>
  <si>
    <t>SB59214</t>
  </si>
  <si>
    <t>S94585</t>
  </si>
  <si>
    <t>SUN BLUES</t>
  </si>
  <si>
    <t>SC94459</t>
  </si>
  <si>
    <t>SB59201</t>
  </si>
  <si>
    <t>S94599</t>
  </si>
  <si>
    <t>SC94471</t>
  </si>
  <si>
    <t>SB59241</t>
  </si>
  <si>
    <t>SM32154</t>
  </si>
  <si>
    <t>S94600</t>
  </si>
  <si>
    <t>SC94472</t>
  </si>
  <si>
    <t>SNMR TRASNPORT</t>
  </si>
  <si>
    <t>SB59242</t>
  </si>
  <si>
    <t>S102508</t>
  </si>
  <si>
    <t>SC94480</t>
  </si>
  <si>
    <t>MOHAN RAJ R</t>
  </si>
  <si>
    <t>SB59243</t>
  </si>
  <si>
    <t>S102579</t>
  </si>
  <si>
    <t>SLV STONE CRUSHER</t>
  </si>
  <si>
    <t>SC94519</t>
  </si>
  <si>
    <t>NALLI  TRANSPORT  CARRIERS</t>
  </si>
  <si>
    <t>SB64962</t>
  </si>
  <si>
    <t>SM32162</t>
  </si>
  <si>
    <t>S104062</t>
  </si>
  <si>
    <t>GPLD INFRA  PROJECTS  PRIVATE  LIMITED</t>
  </si>
  <si>
    <t>SC94604</t>
  </si>
  <si>
    <t>OM  GANAPATHI TRANSPORT</t>
  </si>
  <si>
    <t>SB64999</t>
  </si>
  <si>
    <t>SM32190</t>
  </si>
  <si>
    <t>S104063</t>
  </si>
  <si>
    <t>SC94605</t>
  </si>
  <si>
    <t>OM  GANAPATHI   TRANSPORT</t>
  </si>
  <si>
    <t>S104064</t>
  </si>
  <si>
    <t>SC94606</t>
  </si>
  <si>
    <t>S104073</t>
  </si>
  <si>
    <t>SC94608</t>
  </si>
  <si>
    <t>OM GANAPATHI  TRANSPORT</t>
  </si>
  <si>
    <t>S104083</t>
  </si>
  <si>
    <t>SAPTHAGIRI M. SAND &amp; STONE CRUSHER</t>
  </si>
  <si>
    <t>SC94618</t>
  </si>
  <si>
    <t>SB65000</t>
  </si>
  <si>
    <t>SM32226</t>
  </si>
  <si>
    <t>S104084</t>
  </si>
  <si>
    <t>SHREE  BALAJI  ENTERPRISES</t>
  </si>
  <si>
    <t>SC94619</t>
  </si>
  <si>
    <t>SB64998</t>
  </si>
  <si>
    <t>S104174</t>
  </si>
  <si>
    <t>CRIS INDUSTRIES</t>
  </si>
  <si>
    <t>SC94664</t>
  </si>
  <si>
    <t>SB65005</t>
  </si>
  <si>
    <t>S109457</t>
  </si>
  <si>
    <t>SC94687</t>
  </si>
  <si>
    <t>SB68703</t>
  </si>
  <si>
    <t>SM32695</t>
  </si>
  <si>
    <t>S109474</t>
  </si>
  <si>
    <t>SC94694</t>
  </si>
  <si>
    <t>SB68705</t>
  </si>
  <si>
    <t>SM31320</t>
  </si>
  <si>
    <t>S109455</t>
  </si>
  <si>
    <t>PRABHAKAR REDDY PAMUDURITHY</t>
  </si>
  <si>
    <t>SB68704</t>
  </si>
  <si>
    <t>SM32657</t>
  </si>
  <si>
    <t>S110418</t>
  </si>
  <si>
    <t>NARSINGH STONE CRUSHER</t>
  </si>
  <si>
    <t>SC98018</t>
  </si>
  <si>
    <t>GANESH R</t>
  </si>
  <si>
    <t>SAKTHIVEL P</t>
  </si>
  <si>
    <t>SB68719</t>
  </si>
  <si>
    <t>S110447</t>
  </si>
  <si>
    <t>SC98026</t>
  </si>
  <si>
    <t>JAGATHEESH P</t>
  </si>
  <si>
    <t>S110383</t>
  </si>
  <si>
    <t>SOMNATH STONE INDUSTRIES</t>
  </si>
  <si>
    <t>SC99119</t>
  </si>
  <si>
    <t>NATARJAN  P</t>
  </si>
  <si>
    <t>NATAEAJAN P</t>
  </si>
  <si>
    <t>P NATERAJAN</t>
  </si>
  <si>
    <t>SB68751</t>
  </si>
  <si>
    <t>SM32687</t>
  </si>
  <si>
    <t>S111358</t>
  </si>
  <si>
    <t>CHETNA STONE CRUSHER</t>
  </si>
  <si>
    <t>SC99155</t>
  </si>
  <si>
    <t>MAYURI</t>
  </si>
  <si>
    <t>SB68778</t>
  </si>
  <si>
    <t>SM32698</t>
  </si>
  <si>
    <t>S111371</t>
  </si>
  <si>
    <t>VINFRA MINERALS</t>
  </si>
  <si>
    <t>SC99168</t>
  </si>
  <si>
    <t>SB68791</t>
  </si>
  <si>
    <t>SM31318</t>
  </si>
  <si>
    <t>S111370</t>
  </si>
  <si>
    <t>SC99169</t>
  </si>
  <si>
    <t>SB68790</t>
  </si>
  <si>
    <t>S111386</t>
  </si>
  <si>
    <t>SHREE ANGARESHWAR MAHADEV STONE CRUSHER</t>
  </si>
  <si>
    <t>SC99172</t>
  </si>
  <si>
    <t>B .ABDULLA</t>
  </si>
  <si>
    <t>BADUSA .B</t>
  </si>
  <si>
    <t>SB68803</t>
  </si>
  <si>
    <t>S111397</t>
  </si>
  <si>
    <t>JN STONE PRODUCTS</t>
  </si>
  <si>
    <t>SC99185</t>
  </si>
  <si>
    <t>SB68830</t>
  </si>
  <si>
    <t>SM31337</t>
  </si>
  <si>
    <t>S111400</t>
  </si>
  <si>
    <t>SC99186</t>
  </si>
  <si>
    <t>SB68853</t>
  </si>
  <si>
    <t>S111399</t>
  </si>
  <si>
    <t>KSG BLUE METALS</t>
  </si>
  <si>
    <t>SC99188</t>
  </si>
  <si>
    <t>SB68824</t>
  </si>
  <si>
    <t>S111403</t>
  </si>
  <si>
    <t>SC99195</t>
  </si>
  <si>
    <t>SB68792</t>
  </si>
  <si>
    <t>S111404</t>
  </si>
  <si>
    <t>SC99196</t>
  </si>
  <si>
    <t>SB68825</t>
  </si>
  <si>
    <t>S111416</t>
  </si>
  <si>
    <t>AG ENTERPRISES</t>
  </si>
  <si>
    <t>SC99202</t>
  </si>
  <si>
    <t>SB68811</t>
  </si>
  <si>
    <t>S111428</t>
  </si>
  <si>
    <t>KSY BUILDCON</t>
  </si>
  <si>
    <t>SC99214</t>
  </si>
  <si>
    <t>SARVANAN</t>
  </si>
  <si>
    <t>SAKTI  TPT</t>
  </si>
  <si>
    <t>SB68820</t>
  </si>
  <si>
    <t>S111444</t>
  </si>
  <si>
    <t>SC99240</t>
  </si>
  <si>
    <t>SB68832</t>
  </si>
  <si>
    <t>S114304</t>
  </si>
  <si>
    <t>SC99241</t>
  </si>
  <si>
    <t>SB68829</t>
  </si>
  <si>
    <t>S114315</t>
  </si>
  <si>
    <t>SC105853</t>
  </si>
  <si>
    <t>SB68870</t>
  </si>
  <si>
    <t>SM33865</t>
  </si>
  <si>
    <t>S114313</t>
  </si>
  <si>
    <t>PVR INFRAS</t>
  </si>
  <si>
    <t>SC105856</t>
  </si>
  <si>
    <t>NAMAKKAL TRAILER OWNERS ASSPCIATION</t>
  </si>
  <si>
    <t>V  BALAMURGAN</t>
  </si>
  <si>
    <t>SB68875</t>
  </si>
  <si>
    <t>S114323</t>
  </si>
  <si>
    <t>SC105858</t>
  </si>
  <si>
    <t>N . GUNASEKARAN</t>
  </si>
  <si>
    <t>SB68873</t>
  </si>
  <si>
    <t>S114322</t>
  </si>
  <si>
    <t>SC105859</t>
  </si>
  <si>
    <t>SB68880</t>
  </si>
  <si>
    <t>SM33889</t>
  </si>
  <si>
    <t>S114324</t>
  </si>
  <si>
    <t>SC105860</t>
  </si>
  <si>
    <t>SB68881</t>
  </si>
  <si>
    <t>S114325</t>
  </si>
  <si>
    <t>SHIVSHAKTI CONSTRUCTION COMPANY</t>
  </si>
  <si>
    <t>SC105861</t>
  </si>
  <si>
    <t>SB68854</t>
  </si>
  <si>
    <t>S114329</t>
  </si>
  <si>
    <t>SHREE JALARAM  STONE  QUARRY WORKS</t>
  </si>
  <si>
    <t>SC105862</t>
  </si>
  <si>
    <t>KOVAI SURAJIT  ROAD LINES</t>
  </si>
  <si>
    <t>SB68852</t>
  </si>
  <si>
    <t>S114332</t>
  </si>
  <si>
    <t>GOLDEN SANDS</t>
  </si>
  <si>
    <t>SC105869</t>
  </si>
  <si>
    <t>VEERAPANDIYAN</t>
  </si>
  <si>
    <t>SB68876</t>
  </si>
  <si>
    <t>S114335</t>
  </si>
  <si>
    <t>PROMAN INFRASTRUCTURE SERVICES PVT LTD</t>
  </si>
  <si>
    <t>KHIIMJI RAMDAS LLC</t>
  </si>
  <si>
    <t>SC105871</t>
  </si>
  <si>
    <t>PONNUSANY.R</t>
  </si>
  <si>
    <t>SB68874</t>
  </si>
  <si>
    <t>S114337</t>
  </si>
  <si>
    <t>SC105881</t>
  </si>
  <si>
    <t>MV KANNAN</t>
  </si>
  <si>
    <t>NAMAKKAL TRAILER  ASSOCIATIION</t>
  </si>
  <si>
    <t>SB68871</t>
  </si>
  <si>
    <t>S114338</t>
  </si>
  <si>
    <t>SC105885</t>
  </si>
  <si>
    <t>SREE MAHAA ROAD LINES</t>
  </si>
  <si>
    <t>SREE MAHAA  ROADLINES</t>
  </si>
  <si>
    <t>SB68865</t>
  </si>
  <si>
    <t>S114341</t>
  </si>
  <si>
    <t>MAA MAHAMAYA STONE CRUSHER</t>
  </si>
  <si>
    <t>SC105886</t>
  </si>
  <si>
    <t>SREE HAHAA ROAD LINES</t>
  </si>
  <si>
    <t>SB68866</t>
  </si>
  <si>
    <t>S117204</t>
  </si>
  <si>
    <t>SC105896</t>
  </si>
  <si>
    <t>P  NATARAJAN</t>
  </si>
  <si>
    <t>JAI VENKATESWARA TRASNPORT</t>
  </si>
  <si>
    <t>SB68893</t>
  </si>
  <si>
    <t>S117210</t>
  </si>
  <si>
    <t>SOUTH EAST CONSTRUCTION COMPANY PRIVATE LIMITED</t>
  </si>
  <si>
    <t>SC108666</t>
  </si>
  <si>
    <t>NEW OM GANAPATHI  TRANSPORT</t>
  </si>
  <si>
    <t>A KUMARESAN ARUMUGAM</t>
  </si>
  <si>
    <t>NEW GANAPATHI TRASNPORT</t>
  </si>
  <si>
    <t>SB68910</t>
  </si>
  <si>
    <t>S117224</t>
  </si>
  <si>
    <t>KALYAN TOLL INFRASTRUCTURE LIMITED</t>
  </si>
  <si>
    <t>SC108668</t>
  </si>
  <si>
    <t>OM GANAPATHI TRANSPOR</t>
  </si>
  <si>
    <t>SB68892</t>
  </si>
  <si>
    <t>S117222</t>
  </si>
  <si>
    <t>S117233</t>
  </si>
  <si>
    <t>SHREE RAM METAL WORKS</t>
  </si>
  <si>
    <t>SC108675</t>
  </si>
  <si>
    <t>SARATH  KUMAR</t>
  </si>
  <si>
    <t>S SARATH KUMAR</t>
  </si>
  <si>
    <t>SB68896</t>
  </si>
  <si>
    <t>S117234</t>
  </si>
  <si>
    <t>SHREE MAHADEV QUARRY</t>
  </si>
  <si>
    <t>SC108676</t>
  </si>
  <si>
    <t>SB68903</t>
  </si>
  <si>
    <t>S117235</t>
  </si>
  <si>
    <t>SC108677</t>
  </si>
  <si>
    <t>SREE MAHA ROAD  LINES</t>
  </si>
  <si>
    <t>SB68909</t>
  </si>
  <si>
    <t>S117247</t>
  </si>
  <si>
    <t>SIVAM SHANKARAM</t>
  </si>
  <si>
    <t>SC108678</t>
  </si>
  <si>
    <t>SB68944</t>
  </si>
  <si>
    <t>SM33905</t>
  </si>
  <si>
    <t>S117244</t>
  </si>
  <si>
    <t>SC108692</t>
  </si>
  <si>
    <t>SB68891</t>
  </si>
  <si>
    <t>SM33885</t>
  </si>
  <si>
    <t>S117219</t>
  </si>
  <si>
    <t>SC108693</t>
  </si>
  <si>
    <t>SB68931</t>
  </si>
  <si>
    <t>SM33890</t>
  </si>
  <si>
    <t>S117271</t>
  </si>
  <si>
    <t>ACSP UNITY INFRASTRUCTURE PRIVATE LIMITED</t>
  </si>
  <si>
    <t>SC108704</t>
  </si>
  <si>
    <t>M NARENDRA SHARMA</t>
  </si>
  <si>
    <t>M  NARENDRA SHARMA</t>
  </si>
  <si>
    <t>AGRA MATHURA ROADLINES</t>
  </si>
  <si>
    <t>SB68920</t>
  </si>
  <si>
    <t>S117272</t>
  </si>
  <si>
    <t>SUPERMAC INDUSTRIES (INDIA ) LTD</t>
  </si>
  <si>
    <t>SC108706</t>
  </si>
  <si>
    <t>KOVAI SURAJIT ROADLINS</t>
  </si>
  <si>
    <t>SB68927</t>
  </si>
  <si>
    <t>S117266</t>
  </si>
  <si>
    <t>SAHJANAND METALS</t>
  </si>
  <si>
    <t>SC108708</t>
  </si>
  <si>
    <t>SB68919</t>
  </si>
  <si>
    <t>S117273</t>
  </si>
  <si>
    <t>SC108710</t>
  </si>
  <si>
    <t>SB68942</t>
  </si>
  <si>
    <t>S117269</t>
  </si>
  <si>
    <t>SC108723</t>
  </si>
  <si>
    <t>SB68935</t>
  </si>
  <si>
    <t>S117280</t>
  </si>
  <si>
    <t>SHIV KRIPA CRUSHER &amp; CO.</t>
  </si>
  <si>
    <t>SC108724</t>
  </si>
  <si>
    <t>KUMARESAN ARUMUGAM</t>
  </si>
  <si>
    <t>RJENDARAN KUMAR</t>
  </si>
  <si>
    <t>SB68901</t>
  </si>
  <si>
    <t>SM31334</t>
  </si>
  <si>
    <t>S117281</t>
  </si>
  <si>
    <t>BHERUNATH CRUSHER PLANT</t>
  </si>
  <si>
    <t>SC108725</t>
  </si>
  <si>
    <t>S  SARATH  KUMAR</t>
  </si>
  <si>
    <t>SB68936</t>
  </si>
  <si>
    <t>S117282</t>
  </si>
  <si>
    <t>JHULELAL STONE CRUSHER</t>
  </si>
  <si>
    <t>SC108726</t>
  </si>
  <si>
    <t>SB68966</t>
  </si>
  <si>
    <t>S117212</t>
  </si>
  <si>
    <t>SC108741</t>
  </si>
  <si>
    <t>P. NATARAJAN</t>
  </si>
  <si>
    <t>SB68965</t>
  </si>
  <si>
    <t>S117296</t>
  </si>
  <si>
    <t>AGARWAL ENTERPRISES</t>
  </si>
  <si>
    <t>SC108734</t>
  </si>
  <si>
    <t>OM, GANAPATHI TRANSPORT</t>
  </si>
  <si>
    <t>OM   GANAPATHI TPT</t>
  </si>
  <si>
    <t>SB68967</t>
  </si>
  <si>
    <t>S117284</t>
  </si>
  <si>
    <t>SC108749</t>
  </si>
  <si>
    <t>SB68953</t>
  </si>
  <si>
    <t>S118455</t>
  </si>
  <si>
    <t>SC108750</t>
  </si>
  <si>
    <t>BHASKAR</t>
  </si>
  <si>
    <t>SB68954</t>
  </si>
  <si>
    <t>S118457</t>
  </si>
  <si>
    <t>SC108738</t>
  </si>
  <si>
    <t>SB68963</t>
  </si>
  <si>
    <t>S118461</t>
  </si>
  <si>
    <t>VIRJIBHAI PREMJIBHAI &amp; SONS</t>
  </si>
  <si>
    <t>SC108746</t>
  </si>
  <si>
    <t>KUMARESAN  ARUMUGAM</t>
  </si>
  <si>
    <t>ARUNA T</t>
  </si>
  <si>
    <t>SB68973</t>
  </si>
  <si>
    <t>S118462</t>
  </si>
  <si>
    <t>SC108747</t>
  </si>
  <si>
    <t>SB68974</t>
  </si>
  <si>
    <t>S118458</t>
  </si>
  <si>
    <t>DEV LAXMI STONE CRUSHER</t>
  </si>
  <si>
    <t>SC110302</t>
  </si>
  <si>
    <t>NEW GANAPATHI  TRANSPORT</t>
  </si>
  <si>
    <t>KUAMERESAN ARUMUGAM</t>
  </si>
  <si>
    <t>SB68940</t>
  </si>
  <si>
    <t>S118466</t>
  </si>
  <si>
    <t>GOURA STONE CRUSHER</t>
  </si>
  <si>
    <t>SC110305</t>
  </si>
  <si>
    <t>SB68938</t>
  </si>
  <si>
    <t>S118481</t>
  </si>
  <si>
    <t>M S KHURANA ENGINEERING LIMITED</t>
  </si>
  <si>
    <t>SC110311</t>
  </si>
  <si>
    <t>SB68937</t>
  </si>
  <si>
    <t>S118474</t>
  </si>
  <si>
    <t>VENKAT REDDY PASUNURI.</t>
  </si>
  <si>
    <t>SC110316</t>
  </si>
  <si>
    <t>SB69118</t>
  </si>
  <si>
    <t>S118460</t>
  </si>
  <si>
    <t>HINDUSTAN STONE CRESAR</t>
  </si>
  <si>
    <t>SC110319</t>
  </si>
  <si>
    <t>SB68941</t>
  </si>
  <si>
    <t>S118478</t>
  </si>
  <si>
    <t>VARUN STONE CRUSHER</t>
  </si>
  <si>
    <t>SC110318</t>
  </si>
  <si>
    <t>SB68955</t>
  </si>
  <si>
    <t>S118498</t>
  </si>
  <si>
    <t>SC110330</t>
  </si>
  <si>
    <t>KALIANNAN</t>
  </si>
  <si>
    <t>SB68956</t>
  </si>
  <si>
    <t>S118522</t>
  </si>
  <si>
    <t>JIJAU CONSTRUCTIONS</t>
  </si>
  <si>
    <t>SC110349</t>
  </si>
  <si>
    <t>LOGANTHAN</t>
  </si>
  <si>
    <t>SB69117</t>
  </si>
  <si>
    <t>S118520</t>
  </si>
  <si>
    <t>SC110350</t>
  </si>
  <si>
    <t>AAPSARAD</t>
  </si>
  <si>
    <t>AAPRASAD</t>
  </si>
  <si>
    <t>KUMERASAN</t>
  </si>
  <si>
    <t>SB69085</t>
  </si>
  <si>
    <t>S118521</t>
  </si>
  <si>
    <t>S118526</t>
  </si>
  <si>
    <t>SANGEETHA STONE CRASHER</t>
  </si>
  <si>
    <t>SC110354</t>
  </si>
  <si>
    <t>KANGARAJU</t>
  </si>
  <si>
    <t>SB69010</t>
  </si>
  <si>
    <t>S118530</t>
  </si>
  <si>
    <t>MAA VAISHNAV GRANITES</t>
  </si>
  <si>
    <t>SC110356</t>
  </si>
  <si>
    <t>SUBRAMANI</t>
  </si>
  <si>
    <t>SB69011</t>
  </si>
  <si>
    <t>S118531</t>
  </si>
  <si>
    <t>SREE DEVEERAMMA STONE CRUSHER</t>
  </si>
  <si>
    <t>SC110357</t>
  </si>
  <si>
    <t>SATISH</t>
  </si>
  <si>
    <t>SB69012</t>
  </si>
  <si>
    <t>S118541</t>
  </si>
  <si>
    <t>SC110358</t>
  </si>
  <si>
    <t>G SATISH</t>
  </si>
  <si>
    <t>SB69002</t>
  </si>
  <si>
    <t>S118543</t>
  </si>
  <si>
    <t>SC110363</t>
  </si>
  <si>
    <t>RAJESH KUMAR</t>
  </si>
  <si>
    <t>SB68998</t>
  </si>
  <si>
    <t>S118544</t>
  </si>
  <si>
    <t>RAGHU DEVELOPERS</t>
  </si>
  <si>
    <t>SC110364</t>
  </si>
  <si>
    <t>SB69013</t>
  </si>
  <si>
    <t>S118542</t>
  </si>
  <si>
    <t>SC110362</t>
  </si>
  <si>
    <t>SB69014</t>
  </si>
  <si>
    <t>S118549</t>
  </si>
  <si>
    <t>SC110374</t>
  </si>
  <si>
    <t>SB69084</t>
  </si>
  <si>
    <t>S118551</t>
  </si>
  <si>
    <t>S118550</t>
  </si>
  <si>
    <t>SC110375</t>
  </si>
  <si>
    <t>SB68999</t>
  </si>
  <si>
    <t>S118552</t>
  </si>
  <si>
    <t>SC110376</t>
  </si>
  <si>
    <t>SHRI BHAGYAVATHI TRANSPORT</t>
  </si>
  <si>
    <t>SB69000</t>
  </si>
  <si>
    <t>S118574</t>
  </si>
  <si>
    <t>ARIHANT INFRA TECH</t>
  </si>
  <si>
    <t>SC110389</t>
  </si>
  <si>
    <t>SB69039</t>
  </si>
  <si>
    <t>S118573</t>
  </si>
  <si>
    <t>VPS STONE CRUSHER</t>
  </si>
  <si>
    <t>SC110392</t>
  </si>
  <si>
    <t>SB69038</t>
  </si>
  <si>
    <t>S118587</t>
  </si>
  <si>
    <t>BAJRANG STONE QUARRY WORKS</t>
  </si>
  <si>
    <t>SC110402</t>
  </si>
  <si>
    <t>SB69040</t>
  </si>
  <si>
    <t>S118592</t>
  </si>
  <si>
    <t>KHOKAR STONE CRUSHER AND CONSTRUCTION COMPANY</t>
  </si>
  <si>
    <t>SC110414</t>
  </si>
  <si>
    <t>SB69026</t>
  </si>
  <si>
    <t>S118598</t>
  </si>
  <si>
    <t>TULIP ASSOCIATE</t>
  </si>
  <si>
    <t>SC110411</t>
  </si>
  <si>
    <t>SB69030</t>
  </si>
  <si>
    <t>S118595</t>
  </si>
  <si>
    <t>S118609</t>
  </si>
  <si>
    <t>NANESH PROJECTS</t>
  </si>
  <si>
    <t>SC110421</t>
  </si>
  <si>
    <t>SB69044</t>
  </si>
  <si>
    <t>S118610</t>
  </si>
  <si>
    <t>SC110422</t>
  </si>
  <si>
    <t>SB69043</t>
  </si>
  <si>
    <t>S118611</t>
  </si>
  <si>
    <t>ARCONS INFRASTRUCTURES AND CONSTRUCTIONS PRIVATE LIMITED</t>
  </si>
  <si>
    <t>S118607</t>
  </si>
  <si>
    <t>SC110423</t>
  </si>
  <si>
    <t>KUMARESAN ARUMUGAN</t>
  </si>
  <si>
    <t>SB69054</t>
  </si>
  <si>
    <t>S118612</t>
  </si>
  <si>
    <t>SC110424</t>
  </si>
  <si>
    <t>SB69036</t>
  </si>
  <si>
    <t>S118630</t>
  </si>
  <si>
    <t>MADHUKAR STONE CRUSHERS</t>
  </si>
  <si>
    <t>SC110435</t>
  </si>
  <si>
    <t>SB69041</t>
  </si>
  <si>
    <t>S118631</t>
  </si>
  <si>
    <t>SRI LAXMI PRASANNA METAL INDUSTRY</t>
  </si>
  <si>
    <t>SC110440</t>
  </si>
  <si>
    <t>BALASUBRAMANI P</t>
  </si>
  <si>
    <t>SB69033</t>
  </si>
  <si>
    <t>S118635</t>
  </si>
  <si>
    <t>S118625</t>
  </si>
  <si>
    <t>SC110445</t>
  </si>
  <si>
    <t>SB69042</t>
  </si>
  <si>
    <t>SM33888</t>
  </si>
  <si>
    <t>S118652</t>
  </si>
  <si>
    <t>SINGH TRANSPORTERS</t>
  </si>
  <si>
    <t>SC110453</t>
  </si>
  <si>
    <t>VIJAY SINGH TOMMAR</t>
  </si>
  <si>
    <t>SB69094</t>
  </si>
  <si>
    <t>S118654</t>
  </si>
  <si>
    <t>VYANKTESHWAR STONE CRUSSER</t>
  </si>
  <si>
    <t>SC110459</t>
  </si>
  <si>
    <t>SMR ROADLINED</t>
  </si>
  <si>
    <t>SB69103</t>
  </si>
  <si>
    <t>S118662</t>
  </si>
  <si>
    <t>BAGHEL STONE CRUSHER</t>
  </si>
  <si>
    <t>SC110468</t>
  </si>
  <si>
    <t>SB69061</t>
  </si>
  <si>
    <t>S118663</t>
  </si>
  <si>
    <t>S118691</t>
  </si>
  <si>
    <t>SHREE UPASINI CONSTRUCTIONS (JBP) PRIVATE LIMITED</t>
  </si>
  <si>
    <t>SC110479</t>
  </si>
  <si>
    <t>SARADH KUMAR</t>
  </si>
  <si>
    <t>SB69058</t>
  </si>
  <si>
    <t>S118690</t>
  </si>
  <si>
    <t>DIVINE NATURAL RESOURCE</t>
  </si>
  <si>
    <t>SC110481</t>
  </si>
  <si>
    <t>KOVAI SURJET TRANSPORT</t>
  </si>
  <si>
    <t>SB69062</t>
  </si>
  <si>
    <t>S118688</t>
  </si>
  <si>
    <t>SHALIGRAM INFRA</t>
  </si>
  <si>
    <t>SC110491</t>
  </si>
  <si>
    <t>NATARAJAN T</t>
  </si>
  <si>
    <t>SB69087</t>
  </si>
  <si>
    <t>S118670</t>
  </si>
  <si>
    <t>M.B ENTERPRISES</t>
  </si>
  <si>
    <t>SC110492</t>
  </si>
  <si>
    <t>OM GANAPATHI TRANSORT</t>
  </si>
  <si>
    <t>SB69108</t>
  </si>
  <si>
    <t>S118697</t>
  </si>
  <si>
    <t>GMV INFRA</t>
  </si>
  <si>
    <t>SC110490</t>
  </si>
  <si>
    <t>SB69088</t>
  </si>
  <si>
    <t>S118704</t>
  </si>
  <si>
    <t>SC110507</t>
  </si>
  <si>
    <t>NEW GANPATHI TRANSPORT</t>
  </si>
  <si>
    <t>SB69092</t>
  </si>
  <si>
    <t>S118722</t>
  </si>
  <si>
    <t>GMV INFRA.</t>
  </si>
  <si>
    <t>PROPEL INDUSTRIES PRIVATE LIMITED..</t>
  </si>
  <si>
    <t>SC110514</t>
  </si>
  <si>
    <t>SB69077</t>
  </si>
  <si>
    <t>S118712</t>
  </si>
  <si>
    <t>SALASAR INFRA PROJECTS</t>
  </si>
  <si>
    <t>SC110509</t>
  </si>
  <si>
    <t>SB69093</t>
  </si>
  <si>
    <t>S88511</t>
  </si>
  <si>
    <t>PUS STONE CRUSHER</t>
  </si>
  <si>
    <t>SC56314</t>
  </si>
  <si>
    <t>SB52615</t>
  </si>
  <si>
    <t>SB52629</t>
  </si>
  <si>
    <t>SM16803</t>
  </si>
  <si>
    <t>S88577</t>
  </si>
  <si>
    <t>SC56383</t>
  </si>
  <si>
    <t>S88581</t>
  </si>
  <si>
    <t>ROSSI GEARMOTORS INDIA PVT LTD</t>
  </si>
  <si>
    <t>MILOSTEN GREAS PVT LTD</t>
  </si>
  <si>
    <t>SC56376</t>
  </si>
  <si>
    <t>SB52599</t>
  </si>
  <si>
    <t>SM16819</t>
  </si>
  <si>
    <t>SM16833</t>
  </si>
  <si>
    <t>S88582</t>
  </si>
  <si>
    <t>AWLENCE GRAS PVT LTD</t>
  </si>
  <si>
    <t>SC56377</t>
  </si>
  <si>
    <t>S88688</t>
  </si>
  <si>
    <t>SC56479</t>
  </si>
  <si>
    <t>SB52679</t>
  </si>
  <si>
    <t>SM16887</t>
  </si>
  <si>
    <t>S88745</t>
  </si>
  <si>
    <t>SC88788</t>
  </si>
  <si>
    <t>SB58952</t>
  </si>
  <si>
    <t>SM16924</t>
  </si>
  <si>
    <t>S88741</t>
  </si>
  <si>
    <t>MILL TEC MACHINERY PRIVATE LIMITED</t>
  </si>
  <si>
    <t>SC88793</t>
  </si>
  <si>
    <t>SB52709</t>
  </si>
  <si>
    <t>SM16843</t>
  </si>
  <si>
    <t>S94152</t>
  </si>
  <si>
    <t>HUMAN POWER TRANSMISSION EQUIPMENTS PVT LTD</t>
  </si>
  <si>
    <t>SC88799</t>
  </si>
  <si>
    <t>SB58979</t>
  </si>
  <si>
    <t>SM16933</t>
  </si>
  <si>
    <t>S94202</t>
  </si>
  <si>
    <t>CAUVERY CONMIX</t>
  </si>
  <si>
    <t>SC88844</t>
  </si>
  <si>
    <t>SB58972</t>
  </si>
  <si>
    <t>SM16892</t>
  </si>
  <si>
    <t>S94382</t>
  </si>
  <si>
    <t>FEI CARGO  LTD</t>
  </si>
  <si>
    <t>SC94026</t>
  </si>
  <si>
    <t>SB59069</t>
  </si>
  <si>
    <t>SM16935</t>
  </si>
  <si>
    <t>S94460</t>
  </si>
  <si>
    <t>SC94202</t>
  </si>
  <si>
    <t>SB59136</t>
  </si>
  <si>
    <t>SM30182</t>
  </si>
  <si>
    <t>S94480</t>
  </si>
  <si>
    <t>SICAL MUTIMODAL &amp; RAIL TRANSPORT LTD</t>
  </si>
  <si>
    <t>SC94215</t>
  </si>
  <si>
    <t>KAMALA KANNAN</t>
  </si>
  <si>
    <t>SB59126</t>
  </si>
  <si>
    <t>SM30210</t>
  </si>
  <si>
    <t>S99018</t>
  </si>
  <si>
    <t>MILESTONE GEAR PVT LTD</t>
  </si>
  <si>
    <t>SC94251</t>
  </si>
  <si>
    <t>SB59150</t>
  </si>
  <si>
    <t>SM30195</t>
  </si>
  <si>
    <t>S99081</t>
  </si>
  <si>
    <t>SC94308</t>
  </si>
  <si>
    <t>UNI KRISHANAN</t>
  </si>
  <si>
    <t>UNNI KRISHNA N</t>
  </si>
  <si>
    <t>SB59144</t>
  </si>
  <si>
    <t>SM30178</t>
  </si>
  <si>
    <t>S94551</t>
  </si>
  <si>
    <t>SC94422</t>
  </si>
  <si>
    <t>SB59182</t>
  </si>
  <si>
    <t>SM30222</t>
  </si>
  <si>
    <t>S94541</t>
  </si>
  <si>
    <t>SC94423</t>
  </si>
  <si>
    <t>SB59183</t>
  </si>
  <si>
    <t>SM30246</t>
  </si>
  <si>
    <t>S94569</t>
  </si>
  <si>
    <t>SC94439</t>
  </si>
  <si>
    <t>SB59197</t>
  </si>
  <si>
    <t>S94568</t>
  </si>
  <si>
    <t>SC94440</t>
  </si>
  <si>
    <t>SB59196</t>
  </si>
  <si>
    <t>S102507</t>
  </si>
  <si>
    <t>FLSMIDTH PRIVATE LIMITED.</t>
  </si>
  <si>
    <t>SC94479</t>
  </si>
  <si>
    <t>SHREE BAGHAVATHI TRASNPORT</t>
  </si>
  <si>
    <t>SB59198</t>
  </si>
  <si>
    <t>SM30247</t>
  </si>
  <si>
    <t>S102541</t>
  </si>
  <si>
    <t>SC94492</t>
  </si>
  <si>
    <t>SB59231</t>
  </si>
  <si>
    <t>SM32172</t>
  </si>
  <si>
    <t>S102542</t>
  </si>
  <si>
    <t>SC94493</t>
  </si>
  <si>
    <t>SB59232</t>
  </si>
  <si>
    <t>S102559</t>
  </si>
  <si>
    <t>SC98069</t>
  </si>
  <si>
    <t>KOVAI SURJIT  ROADLINES</t>
  </si>
  <si>
    <t>SB59217</t>
  </si>
  <si>
    <t>SM32151</t>
  </si>
  <si>
    <t>S102581</t>
  </si>
  <si>
    <t>SICAL  MULTIMODAL  &amp; RAIL  TRANSPORT LTD(CFS DIVISION)</t>
  </si>
  <si>
    <t>SC94520</t>
  </si>
  <si>
    <t>SB59238</t>
  </si>
  <si>
    <t>SM32160</t>
  </si>
  <si>
    <t>S102582</t>
  </si>
  <si>
    <t>SC94521</t>
  </si>
  <si>
    <t>ANNAI  VELAKANNI TRANSPORT</t>
  </si>
  <si>
    <t>ANNAI  VELAMAKANNAI TPT</t>
  </si>
  <si>
    <t>SB59236</t>
  </si>
  <si>
    <t>S102574</t>
  </si>
  <si>
    <t>SC94527</t>
  </si>
  <si>
    <t>SB64955</t>
  </si>
  <si>
    <t>SM32187</t>
  </si>
  <si>
    <t>S102588</t>
  </si>
  <si>
    <t>SC94531</t>
  </si>
  <si>
    <t>SB64982</t>
  </si>
  <si>
    <t>SM32192</t>
  </si>
  <si>
    <t>S102600</t>
  </si>
  <si>
    <t>SC94553</t>
  </si>
  <si>
    <t>SB64976</t>
  </si>
  <si>
    <t>SM32199</t>
  </si>
  <si>
    <t>S104031</t>
  </si>
  <si>
    <t>BUILDMATE PROJECT PVT LTD</t>
  </si>
  <si>
    <t>SC94571</t>
  </si>
  <si>
    <t>SB64967</t>
  </si>
  <si>
    <t>SM32178</t>
  </si>
  <si>
    <t>S104038</t>
  </si>
  <si>
    <t>HINDUSTAN ELECTRIC MOTOR</t>
  </si>
  <si>
    <t>SC94584</t>
  </si>
  <si>
    <t>S104040</t>
  </si>
  <si>
    <t>SC94597</t>
  </si>
  <si>
    <t>SB65001</t>
  </si>
  <si>
    <t>SM32240</t>
  </si>
  <si>
    <t>S104041</t>
  </si>
  <si>
    <t>SC94598</t>
  </si>
  <si>
    <t>SB65002</t>
  </si>
  <si>
    <t>SM32242</t>
  </si>
  <si>
    <t>S104066</t>
  </si>
  <si>
    <t>SC94625</t>
  </si>
  <si>
    <t>SB65017</t>
  </si>
  <si>
    <t>SM32243</t>
  </si>
  <si>
    <t>S104154</t>
  </si>
  <si>
    <t>SC94642</t>
  </si>
  <si>
    <t>NATRAJAN P</t>
  </si>
  <si>
    <t>SB65021</t>
  </si>
  <si>
    <t>SM32655</t>
  </si>
  <si>
    <t>S104176</t>
  </si>
  <si>
    <t>SC94645</t>
  </si>
  <si>
    <t>SB65022</t>
  </si>
  <si>
    <t>SM32244</t>
  </si>
  <si>
    <t>S104186</t>
  </si>
  <si>
    <t>SC94665</t>
  </si>
  <si>
    <t>KOVAI   SURAJIT  ROADLINES</t>
  </si>
  <si>
    <t>SB65059</t>
  </si>
  <si>
    <t>SM32651</t>
  </si>
  <si>
    <t>S104175</t>
  </si>
  <si>
    <t>SC94671</t>
  </si>
  <si>
    <t>SB65058</t>
  </si>
  <si>
    <t>S109469</t>
  </si>
  <si>
    <t>SC94691</t>
  </si>
  <si>
    <t>SB65039</t>
  </si>
  <si>
    <t>SM32223</t>
  </si>
  <si>
    <t>S109471</t>
  </si>
  <si>
    <t>SC94692</t>
  </si>
  <si>
    <t>SB68734</t>
  </si>
  <si>
    <t>SM33858</t>
  </si>
  <si>
    <t>S109472</t>
  </si>
  <si>
    <t>SC94693</t>
  </si>
  <si>
    <t>SB68735</t>
  </si>
  <si>
    <t>S109482</t>
  </si>
  <si>
    <t>SC98079</t>
  </si>
  <si>
    <t>SB68724</t>
  </si>
  <si>
    <t>SM33852</t>
  </si>
  <si>
    <t>S109477</t>
  </si>
  <si>
    <t>SC94700</t>
  </si>
  <si>
    <t>SB68736</t>
  </si>
  <si>
    <t>S109491</t>
  </si>
  <si>
    <t>BEVCON WAYOURS PVT LTD UNIT-11</t>
  </si>
  <si>
    <t>SC98080</t>
  </si>
  <si>
    <t>CHERAAN  TRANSPORT</t>
  </si>
  <si>
    <t>SB65066</t>
  </si>
  <si>
    <t>SM32234</t>
  </si>
  <si>
    <t>S110408</t>
  </si>
  <si>
    <t>SC98007</t>
  </si>
  <si>
    <t>SB65069</t>
  </si>
  <si>
    <t>S110403</t>
  </si>
  <si>
    <t>SPARTAN ENGINEERING INDUSTRIES PVT LTD</t>
  </si>
  <si>
    <t>SB68706</t>
  </si>
  <si>
    <t>SM32665</t>
  </si>
  <si>
    <t>S110366</t>
  </si>
  <si>
    <t>JSW STEEL COATED PRODUCTS LIMITED.</t>
  </si>
  <si>
    <t>SC99106</t>
  </si>
  <si>
    <t>ARUMUGAM</t>
  </si>
  <si>
    <t>SB68752</t>
  </si>
  <si>
    <t>S110368</t>
  </si>
  <si>
    <t>SC99107</t>
  </si>
  <si>
    <t>RAJESWARI</t>
  </si>
  <si>
    <t>S110367</t>
  </si>
  <si>
    <t>SC99108</t>
  </si>
  <si>
    <t>KOMARPPAN</t>
  </si>
  <si>
    <t>SB68760</t>
  </si>
  <si>
    <t>SM31341</t>
  </si>
  <si>
    <t>S110382</t>
  </si>
  <si>
    <t>JINDAL STEEL &amp; POWER LIMITED</t>
  </si>
  <si>
    <t>SC99114</t>
  </si>
  <si>
    <t>S110380</t>
  </si>
  <si>
    <t>SC99117</t>
  </si>
  <si>
    <t>S110381</t>
  </si>
  <si>
    <t>SC99118</t>
  </si>
  <si>
    <t>S110387</t>
  </si>
  <si>
    <t>SC99120</t>
  </si>
  <si>
    <t>SHRE BHAGAVATHI TRANSPORT</t>
  </si>
  <si>
    <t>SB68753</t>
  </si>
  <si>
    <t>S111352</t>
  </si>
  <si>
    <t>SC99144</t>
  </si>
  <si>
    <t>SB68771</t>
  </si>
  <si>
    <t>S111364</t>
  </si>
  <si>
    <t>SC99156</t>
  </si>
  <si>
    <t>SB68815</t>
  </si>
  <si>
    <t>S111365</t>
  </si>
  <si>
    <t>SC99157</t>
  </si>
  <si>
    <t>SB68816</t>
  </si>
  <si>
    <t>S110395</t>
  </si>
  <si>
    <t>SC99158</t>
  </si>
  <si>
    <t>SB68817</t>
  </si>
  <si>
    <t>S110394</t>
  </si>
  <si>
    <t>SC99159</t>
  </si>
  <si>
    <t>SB68807</t>
  </si>
  <si>
    <t>S111393</t>
  </si>
  <si>
    <t>SC99177</t>
  </si>
  <si>
    <t>SB68808</t>
  </si>
  <si>
    <t>S111394</t>
  </si>
  <si>
    <t>SC99178</t>
  </si>
  <si>
    <t>SB68809</t>
  </si>
  <si>
    <t>S111359</t>
  </si>
  <si>
    <t>SC99167</t>
  </si>
  <si>
    <t>S111395</t>
  </si>
  <si>
    <t>SC99179</t>
  </si>
  <si>
    <t>SB68846</t>
  </si>
  <si>
    <t>S111402</t>
  </si>
  <si>
    <t>SC99194</t>
  </si>
  <si>
    <t>SB68847</t>
  </si>
  <si>
    <t>S111410</t>
  </si>
  <si>
    <t>SC99203</t>
  </si>
  <si>
    <t>SB68848</t>
  </si>
  <si>
    <t>S111448</t>
  </si>
  <si>
    <t>SC99229</t>
  </si>
  <si>
    <t>SELVARAJ SM</t>
  </si>
  <si>
    <t>RAVI  A</t>
  </si>
  <si>
    <t>SB68818</t>
  </si>
  <si>
    <t>S114309</t>
  </si>
  <si>
    <t>SC105854</t>
  </si>
  <si>
    <t>NAMAKKAL ROAD  CARRIERS</t>
  </si>
  <si>
    <t>SB68839</t>
  </si>
  <si>
    <t>SM31345</t>
  </si>
  <si>
    <t>S114312</t>
  </si>
  <si>
    <t>SC105857</t>
  </si>
  <si>
    <t>SB68872</t>
  </si>
  <si>
    <t>SM33879</t>
  </si>
  <si>
    <t>S117230</t>
  </si>
  <si>
    <t>SC108671</t>
  </si>
  <si>
    <t>SB68926</t>
  </si>
  <si>
    <t>SM33861</t>
  </si>
  <si>
    <t>S117263</t>
  </si>
  <si>
    <t>INDOFIL INDUSTRIES LIMITED..</t>
  </si>
  <si>
    <t>SC108707</t>
  </si>
  <si>
    <t>S117295</t>
  </si>
  <si>
    <t>MUKAND LIMITED</t>
  </si>
  <si>
    <t>SC108733</t>
  </si>
  <si>
    <t>S118527</t>
  </si>
  <si>
    <t>SC110355</t>
  </si>
  <si>
    <t>KOVYI SURJEET ROADLINES</t>
  </si>
  <si>
    <t>SB69021</t>
  </si>
  <si>
    <t>SM33904</t>
  </si>
  <si>
    <t>S118671</t>
  </si>
  <si>
    <t>SC110477</t>
  </si>
  <si>
    <t>KAVAI SURAJIT TRANSPORT</t>
  </si>
  <si>
    <t>SB69063</t>
  </si>
  <si>
    <t>SM33926</t>
  </si>
  <si>
    <t>S118702</t>
  </si>
  <si>
    <t>RACKER CRUSHER</t>
  </si>
  <si>
    <t>SC110505</t>
  </si>
  <si>
    <t>S118741</t>
  </si>
  <si>
    <t>ACCUDYNE INDUSTRIES INDIA PRIVATE LIMITED.</t>
  </si>
  <si>
    <t>SC110538</t>
  </si>
  <si>
    <t>S88652</t>
  </si>
  <si>
    <t>SAI ENTERPRISES</t>
  </si>
  <si>
    <t>SC56455</t>
  </si>
  <si>
    <t>SB52734</t>
  </si>
  <si>
    <t>SM16907</t>
  </si>
  <si>
    <t>S118638</t>
  </si>
  <si>
    <t>SAM TURBO INDUSTRY PRIVATE LIMITED</t>
  </si>
  <si>
    <t>SC110450</t>
  </si>
  <si>
    <t>SB69056</t>
  </si>
  <si>
    <t>S118636</t>
  </si>
  <si>
    <t>SC110447</t>
  </si>
  <si>
    <t>SB69050</t>
  </si>
  <si>
    <t>S118637</t>
  </si>
  <si>
    <t>SC110448</t>
  </si>
  <si>
    <t>SB69055</t>
  </si>
  <si>
    <t>S88543</t>
  </si>
  <si>
    <t>SAND STONE CRUSHER</t>
  </si>
  <si>
    <t>SC56339</t>
  </si>
  <si>
    <t>SB52683</t>
  </si>
  <si>
    <t>S88544</t>
  </si>
  <si>
    <t>S88605</t>
  </si>
  <si>
    <t>SC56401</t>
  </si>
  <si>
    <t>SB52644</t>
  </si>
  <si>
    <t>S118695</t>
  </si>
  <si>
    <t>KANHAIYA STONE CRUSHER</t>
  </si>
  <si>
    <t>SANDFITS FOUNDRIES PRIVATE LITD</t>
  </si>
  <si>
    <t>SC110502</t>
  </si>
  <si>
    <t>KAVITHYA</t>
  </si>
  <si>
    <t>S94162</t>
  </si>
  <si>
    <t>SE FORGE LIMITED.</t>
  </si>
  <si>
    <t>FIVE STAR ENGEERINING</t>
  </si>
  <si>
    <t>SE FORGE LIMITED</t>
  </si>
  <si>
    <t>SC88810</t>
  </si>
  <si>
    <t>SB52726</t>
  </si>
  <si>
    <t>SM16922</t>
  </si>
  <si>
    <t>S94166</t>
  </si>
  <si>
    <t>TIRUCHIRAPALLI ENGEENINGRING</t>
  </si>
  <si>
    <t>SC88815</t>
  </si>
  <si>
    <t>SB52725</t>
  </si>
  <si>
    <t>S94170</t>
  </si>
  <si>
    <t>SC88813</t>
  </si>
  <si>
    <t>SB52723</t>
  </si>
  <si>
    <t>S94175</t>
  </si>
  <si>
    <t>SE FORGE LTD</t>
  </si>
  <si>
    <t>SC88816</t>
  </si>
  <si>
    <t>SB52724</t>
  </si>
  <si>
    <t>S94174</t>
  </si>
  <si>
    <t>Classic tools</t>
  </si>
  <si>
    <t>SC88818</t>
  </si>
  <si>
    <t>SB52750</t>
  </si>
  <si>
    <t>S94177</t>
  </si>
  <si>
    <t>SC88820</t>
  </si>
  <si>
    <t>SB52727</t>
  </si>
  <si>
    <t>SM16913</t>
  </si>
  <si>
    <t>S94176</t>
  </si>
  <si>
    <t>TRUCHIPARLLY ENGEENIRING</t>
  </si>
  <si>
    <t>SC88821</t>
  </si>
  <si>
    <t>SB58951</t>
  </si>
  <si>
    <t>SM16902</t>
  </si>
  <si>
    <t>S94179</t>
  </si>
  <si>
    <t>SC88822</t>
  </si>
  <si>
    <t>SB52748</t>
  </si>
  <si>
    <t>S94187</t>
  </si>
  <si>
    <t>SC88824</t>
  </si>
  <si>
    <t>S94185</t>
  </si>
  <si>
    <t>FIVE STAR ENGINEERING INDUSTRIES</t>
  </si>
  <si>
    <t>SC88825</t>
  </si>
  <si>
    <t>SB52744</t>
  </si>
  <si>
    <t>S94189</t>
  </si>
  <si>
    <t>BLASTO METAL SPRAY</t>
  </si>
  <si>
    <t>SC88826</t>
  </si>
  <si>
    <t>SB52746</t>
  </si>
  <si>
    <t>S94186</t>
  </si>
  <si>
    <t>SC88827</t>
  </si>
  <si>
    <t>SB59013</t>
  </si>
  <si>
    <t>S94188</t>
  </si>
  <si>
    <t>SC88828</t>
  </si>
  <si>
    <t>S94190</t>
  </si>
  <si>
    <t>SC88829</t>
  </si>
  <si>
    <t>S94191</t>
  </si>
  <si>
    <t>SC88831</t>
  </si>
  <si>
    <t>S94184</t>
  </si>
  <si>
    <t>SC88832</t>
  </si>
  <si>
    <t>S94192</t>
  </si>
  <si>
    <t>SC88833</t>
  </si>
  <si>
    <t>SB52747</t>
  </si>
  <si>
    <t>S94194</t>
  </si>
  <si>
    <t>SC88839</t>
  </si>
  <si>
    <t>SB52745</t>
  </si>
  <si>
    <t>S94193</t>
  </si>
  <si>
    <t>SC88840</t>
  </si>
  <si>
    <t>S94196</t>
  </si>
  <si>
    <t>SC88841</t>
  </si>
  <si>
    <t>SB58970</t>
  </si>
  <si>
    <t>S94201</t>
  </si>
  <si>
    <t>SC88847</t>
  </si>
  <si>
    <t>S94203</t>
  </si>
  <si>
    <t>SC88849</t>
  </si>
  <si>
    <t>S94205</t>
  </si>
  <si>
    <t>SC88850</t>
  </si>
  <si>
    <t>S94199</t>
  </si>
  <si>
    <t>SC88846</t>
  </si>
  <si>
    <t>S94204</t>
  </si>
  <si>
    <t>SC88851</t>
  </si>
  <si>
    <t>S94206</t>
  </si>
  <si>
    <t>SC88852</t>
  </si>
  <si>
    <t>S94208</t>
  </si>
  <si>
    <t>SC88854</t>
  </si>
  <si>
    <t>SB58968</t>
  </si>
  <si>
    <t>SM16950</t>
  </si>
  <si>
    <t>S94207</t>
  </si>
  <si>
    <t>SC88855</t>
  </si>
  <si>
    <t>SB59055</t>
  </si>
  <si>
    <t>SM30181</t>
  </si>
  <si>
    <t>S94210</t>
  </si>
  <si>
    <t>SC88856</t>
  </si>
  <si>
    <t>SB58969</t>
  </si>
  <si>
    <t>S94213</t>
  </si>
  <si>
    <t>SC88857</t>
  </si>
  <si>
    <t>S94214</t>
  </si>
  <si>
    <t>SC88858</t>
  </si>
  <si>
    <t>SB58966</t>
  </si>
  <si>
    <t>S94209</t>
  </si>
  <si>
    <t>SC88860</t>
  </si>
  <si>
    <t>S94215</t>
  </si>
  <si>
    <t>SC88863</t>
  </si>
  <si>
    <t>S94221</t>
  </si>
  <si>
    <t>SC88864</t>
  </si>
  <si>
    <t>S94220</t>
  </si>
  <si>
    <t>SC88865</t>
  </si>
  <si>
    <t>S94218</t>
  </si>
  <si>
    <t>SC88866</t>
  </si>
  <si>
    <t>SB58964</t>
  </si>
  <si>
    <t>S94216</t>
  </si>
  <si>
    <t>SC88867</t>
  </si>
  <si>
    <t>S94227</t>
  </si>
  <si>
    <t>SC88870</t>
  </si>
  <si>
    <t>SB58965</t>
  </si>
  <si>
    <t>S94225</t>
  </si>
  <si>
    <t>SC88871</t>
  </si>
  <si>
    <t>S94229</t>
  </si>
  <si>
    <t>SC88872</t>
  </si>
  <si>
    <t>SB58967</t>
  </si>
  <si>
    <t>SM30174</t>
  </si>
  <si>
    <t>S94226</t>
  </si>
  <si>
    <t>SC88873</t>
  </si>
  <si>
    <t>S94228</t>
  </si>
  <si>
    <t>SC88874</t>
  </si>
  <si>
    <t>S94240</t>
  </si>
  <si>
    <t>SC88876</t>
  </si>
  <si>
    <t>SB59056</t>
  </si>
  <si>
    <t>S94234</t>
  </si>
  <si>
    <t>SC88878</t>
  </si>
  <si>
    <t>S94239</t>
  </si>
  <si>
    <t>SC88875</t>
  </si>
  <si>
    <t>SB59006</t>
  </si>
  <si>
    <t>SM30159</t>
  </si>
  <si>
    <t>S94231</t>
  </si>
  <si>
    <t>SC88880</t>
  </si>
  <si>
    <t>S94230</t>
  </si>
  <si>
    <t>SC88881</t>
  </si>
  <si>
    <t>S94235</t>
  </si>
  <si>
    <t>SC88879</t>
  </si>
  <si>
    <t>SB59045</t>
  </si>
  <si>
    <t>S94232</t>
  </si>
  <si>
    <t>SC88884</t>
  </si>
  <si>
    <t>S94261</t>
  </si>
  <si>
    <t>SC88894</t>
  </si>
  <si>
    <t>S94256</t>
  </si>
  <si>
    <t>SC88889</t>
  </si>
  <si>
    <t>SB59047</t>
  </si>
  <si>
    <t>S94257</t>
  </si>
  <si>
    <t>S94251</t>
  </si>
  <si>
    <t>SC88893</t>
  </si>
  <si>
    <t>S94258</t>
  </si>
  <si>
    <t>SC88891</t>
  </si>
  <si>
    <t>S94249</t>
  </si>
  <si>
    <t>SC88898</t>
  </si>
  <si>
    <t>S94238</t>
  </si>
  <si>
    <t>SC88899</t>
  </si>
  <si>
    <t>SB59004</t>
  </si>
  <si>
    <t>S94265</t>
  </si>
  <si>
    <t>SC88901</t>
  </si>
  <si>
    <t>SB59044</t>
  </si>
  <si>
    <t>S94259</t>
  </si>
  <si>
    <t>SC88903</t>
  </si>
  <si>
    <t>S94267</t>
  </si>
  <si>
    <t>SC88904</t>
  </si>
  <si>
    <t>S94268</t>
  </si>
  <si>
    <t>SC88912</t>
  </si>
  <si>
    <t>S94269</t>
  </si>
  <si>
    <t>SC88913</t>
  </si>
  <si>
    <t>S94275</t>
  </si>
  <si>
    <t>SC88914</t>
  </si>
  <si>
    <t>S94276</t>
  </si>
  <si>
    <t>SC88916</t>
  </si>
  <si>
    <t>SB59046</t>
  </si>
  <si>
    <t>S94278</t>
  </si>
  <si>
    <t>SC88917</t>
  </si>
  <si>
    <t>S94277</t>
  </si>
  <si>
    <t>SC88918</t>
  </si>
  <si>
    <t>S94280</t>
  </si>
  <si>
    <t>SC88919</t>
  </si>
  <si>
    <t>SB59057</t>
  </si>
  <si>
    <t>S94282</t>
  </si>
  <si>
    <t>CLASSIC TOOLS AND SERVICES</t>
  </si>
  <si>
    <t>SC88920</t>
  </si>
  <si>
    <t>SB59048</t>
  </si>
  <si>
    <t>S94284</t>
  </si>
  <si>
    <t>SC88923</t>
  </si>
  <si>
    <t>S94281</t>
  </si>
  <si>
    <t>SC88926</t>
  </si>
  <si>
    <t>SB59002</t>
  </si>
  <si>
    <t>S94286</t>
  </si>
  <si>
    <t>SC88927</t>
  </si>
  <si>
    <t>S94289</t>
  </si>
  <si>
    <t>TIRUCHIRAPALLI ENGEENINGRING&amp;TECHNOLOGY CLUSTER</t>
  </si>
  <si>
    <t>SC88929</t>
  </si>
  <si>
    <t>SB59003</t>
  </si>
  <si>
    <t>S94288</t>
  </si>
  <si>
    <t>SC88930</t>
  </si>
  <si>
    <t>S94291</t>
  </si>
  <si>
    <t>SC88932</t>
  </si>
  <si>
    <t>SB59065</t>
  </si>
  <si>
    <t>S94295</t>
  </si>
  <si>
    <t>SC88933</t>
  </si>
  <si>
    <t>S94301</t>
  </si>
  <si>
    <t>SC88937</t>
  </si>
  <si>
    <t>SB59007</t>
  </si>
  <si>
    <t>S94236</t>
  </si>
  <si>
    <t>SC88897</t>
  </si>
  <si>
    <t>S94294</t>
  </si>
  <si>
    <t>TIRU CHIRAPPALLI ENGINEERING AND TECHNOLOGY CLUSTER</t>
  </si>
  <si>
    <t>SC88935</t>
  </si>
  <si>
    <t>SB59005</t>
  </si>
  <si>
    <t>SB59165</t>
  </si>
  <si>
    <t>S94292</t>
  </si>
  <si>
    <t>SC88936</t>
  </si>
  <si>
    <t>S94302</t>
  </si>
  <si>
    <t>SC88940</t>
  </si>
  <si>
    <t>SB59001</t>
  </si>
  <si>
    <t>S94303</t>
  </si>
  <si>
    <t>SC88941</t>
  </si>
  <si>
    <t>S94300</t>
  </si>
  <si>
    <t>SC88944</t>
  </si>
  <si>
    <t>S94299</t>
  </si>
  <si>
    <t>SC88945</t>
  </si>
  <si>
    <t>SB59060</t>
  </si>
  <si>
    <t>S94304</t>
  </si>
  <si>
    <t>SC88946</t>
  </si>
  <si>
    <t>SB59058</t>
  </si>
  <si>
    <t>S94305</t>
  </si>
  <si>
    <t>SC88947</t>
  </si>
  <si>
    <t>S94309</t>
  </si>
  <si>
    <t>SC88950</t>
  </si>
  <si>
    <t>S94263</t>
  </si>
  <si>
    <t>SC88951</t>
  </si>
  <si>
    <t>S94319</t>
  </si>
  <si>
    <t>SC88956</t>
  </si>
  <si>
    <t>SB59059</t>
  </si>
  <si>
    <t>S94318</t>
  </si>
  <si>
    <t>SC88957</t>
  </si>
  <si>
    <t>S94314</t>
  </si>
  <si>
    <t>SC88960</t>
  </si>
  <si>
    <t>S94315</t>
  </si>
  <si>
    <t>SC88961</t>
  </si>
  <si>
    <t>S94317</t>
  </si>
  <si>
    <t>SC88964</t>
  </si>
  <si>
    <t>S94332</t>
  </si>
  <si>
    <t>SC88967</t>
  </si>
  <si>
    <t>SB59061</t>
  </si>
  <si>
    <t>S94333</t>
  </si>
  <si>
    <t>SC88968</t>
  </si>
  <si>
    <t>S94334</t>
  </si>
  <si>
    <t>SC88970</t>
  </si>
  <si>
    <t>S94331</t>
  </si>
  <si>
    <t>SC88974</t>
  </si>
  <si>
    <t>P K MARKS</t>
  </si>
  <si>
    <t>S94339</t>
  </si>
  <si>
    <t>SC88982</t>
  </si>
  <si>
    <t>S94340</t>
  </si>
  <si>
    <t>SC88983</t>
  </si>
  <si>
    <t>S94341</t>
  </si>
  <si>
    <t>SC88984</t>
  </si>
  <si>
    <t>S94342</t>
  </si>
  <si>
    <t>SC88985</t>
  </si>
  <si>
    <t>S94343</t>
  </si>
  <si>
    <t>SC88986</t>
  </si>
  <si>
    <t>S94349</t>
  </si>
  <si>
    <t>SC88990</t>
  </si>
  <si>
    <t>S94351</t>
  </si>
  <si>
    <t>SC88992</t>
  </si>
  <si>
    <t>S94353</t>
  </si>
  <si>
    <t>SC88993</t>
  </si>
  <si>
    <t>S94345</t>
  </si>
  <si>
    <t>SC88994</t>
  </si>
  <si>
    <t>S94357</t>
  </si>
  <si>
    <t>SC88996</t>
  </si>
  <si>
    <t>SB59074</t>
  </si>
  <si>
    <t>SM30180</t>
  </si>
  <si>
    <t>S94354</t>
  </si>
  <si>
    <t>SC88995</t>
  </si>
  <si>
    <t>S94355</t>
  </si>
  <si>
    <t>SC88998</t>
  </si>
  <si>
    <t>SB59072</t>
  </si>
  <si>
    <t>SM30234</t>
  </si>
  <si>
    <t>S94356</t>
  </si>
  <si>
    <t>SC88999</t>
  </si>
  <si>
    <t>SB59073</t>
  </si>
  <si>
    <t>S94358</t>
  </si>
  <si>
    <t>SC89000</t>
  </si>
  <si>
    <t>SB59075</t>
  </si>
  <si>
    <t>S94360</t>
  </si>
  <si>
    <t>SC94002</t>
  </si>
  <si>
    <t>SB59071</t>
  </si>
  <si>
    <t>S94361</t>
  </si>
  <si>
    <t>SC94003</t>
  </si>
  <si>
    <t>S94362</t>
  </si>
  <si>
    <t>SC94004</t>
  </si>
  <si>
    <t>SB59094</t>
  </si>
  <si>
    <t>S94364</t>
  </si>
  <si>
    <t>SC94006</t>
  </si>
  <si>
    <t>S94359</t>
  </si>
  <si>
    <t>SC94001</t>
  </si>
  <si>
    <t>SARAVANA TRANSPORT</t>
  </si>
  <si>
    <t>S94366</t>
  </si>
  <si>
    <t>SC94008</t>
  </si>
  <si>
    <t>S94368</t>
  </si>
  <si>
    <t>SC94010</t>
  </si>
  <si>
    <t>S94369</t>
  </si>
  <si>
    <t>SC94011</t>
  </si>
  <si>
    <t>S94371</t>
  </si>
  <si>
    <t>SC94013</t>
  </si>
  <si>
    <t>S94370</t>
  </si>
  <si>
    <t>SC94012</t>
  </si>
  <si>
    <t>S94372</t>
  </si>
  <si>
    <t>SC94014</t>
  </si>
  <si>
    <t>SB59070</t>
  </si>
  <si>
    <t>SM32214</t>
  </si>
  <si>
    <t>S94373</t>
  </si>
  <si>
    <t>SC94015</t>
  </si>
  <si>
    <t>S94379</t>
  </si>
  <si>
    <t>SC94019</t>
  </si>
  <si>
    <t>S94375</t>
  </si>
  <si>
    <t>SC94018</t>
  </si>
  <si>
    <t>S94380</t>
  </si>
  <si>
    <t>SC94021</t>
  </si>
  <si>
    <t>S94389</t>
  </si>
  <si>
    <t>SC94024</t>
  </si>
  <si>
    <t>SB59093</t>
  </si>
  <si>
    <t>S94390</t>
  </si>
  <si>
    <t>SC94025</t>
  </si>
  <si>
    <t>S94383</t>
  </si>
  <si>
    <t>SC94028</t>
  </si>
  <si>
    <t>S94384</t>
  </si>
  <si>
    <t>SC94023</t>
  </si>
  <si>
    <t>SB59077</t>
  </si>
  <si>
    <t>S94391</t>
  </si>
  <si>
    <t>SC94029</t>
  </si>
  <si>
    <t>S94392</t>
  </si>
  <si>
    <t>SC94030</t>
  </si>
  <si>
    <t>S94386</t>
  </si>
  <si>
    <t>SC94033</t>
  </si>
  <si>
    <t>SB59090</t>
  </si>
  <si>
    <t>S94393</t>
  </si>
  <si>
    <t>SC94034</t>
  </si>
  <si>
    <t>SB59092</t>
  </si>
  <si>
    <t>S94387</t>
  </si>
  <si>
    <t>SC94035</t>
  </si>
  <si>
    <t>S94394</t>
  </si>
  <si>
    <t>SC94036</t>
  </si>
  <si>
    <t>SB59091</t>
  </si>
  <si>
    <t>S94395</t>
  </si>
  <si>
    <t>SC94038</t>
  </si>
  <si>
    <t>S94405</t>
  </si>
  <si>
    <t>SC94043</t>
  </si>
  <si>
    <t>S94406</t>
  </si>
  <si>
    <t>SC94046</t>
  </si>
  <si>
    <t>S94415</t>
  </si>
  <si>
    <t>SC94048</t>
  </si>
  <si>
    <t>S94416</t>
  </si>
  <si>
    <t>S94420</t>
  </si>
  <si>
    <t>SC94050</t>
  </si>
  <si>
    <t>S94413</t>
  </si>
  <si>
    <t>SC94052</t>
  </si>
  <si>
    <t>S94421</t>
  </si>
  <si>
    <t>SC94054</t>
  </si>
  <si>
    <t>S94425</t>
  </si>
  <si>
    <t>SC94064</t>
  </si>
  <si>
    <t>SNMR   TRANSPORT</t>
  </si>
  <si>
    <t>SB59110</t>
  </si>
  <si>
    <t>S94426</t>
  </si>
  <si>
    <t>R C  DAS ENGINEERING PVT LTD</t>
  </si>
  <si>
    <t>SC94065</t>
  </si>
  <si>
    <t>SB59103</t>
  </si>
  <si>
    <t>SM33892</t>
  </si>
  <si>
    <t>S94427</t>
  </si>
  <si>
    <t>ANANDHA FABRICATION CBE PVT LTD</t>
  </si>
  <si>
    <t>SC94066</t>
  </si>
  <si>
    <t>MADHU NEW TAMILNADU ROAD WAYS</t>
  </si>
  <si>
    <t>SB59102</t>
  </si>
  <si>
    <t>S94432</t>
  </si>
  <si>
    <t>SC94069</t>
  </si>
  <si>
    <t>S94433</t>
  </si>
  <si>
    <t>SC94070</t>
  </si>
  <si>
    <t>SB59109</t>
  </si>
  <si>
    <t>S94434</t>
  </si>
  <si>
    <t>SC94071</t>
  </si>
  <si>
    <t>SB59104</t>
  </si>
  <si>
    <t>S94435</t>
  </si>
  <si>
    <t>SC94072</t>
  </si>
  <si>
    <t>S94437</t>
  </si>
  <si>
    <t>SC94074</t>
  </si>
  <si>
    <t>S94436</t>
  </si>
  <si>
    <t>SC94073</t>
  </si>
  <si>
    <t>AATHMA  TPT</t>
  </si>
  <si>
    <t>S94438</t>
  </si>
  <si>
    <t>SC94075</t>
  </si>
  <si>
    <t>S94439</t>
  </si>
  <si>
    <t>SRI  FORTURE ENJEENIRING CORPORATION</t>
  </si>
  <si>
    <t>S94440</t>
  </si>
  <si>
    <t>SC94076</t>
  </si>
  <si>
    <t>S94441</t>
  </si>
  <si>
    <t>SC94077</t>
  </si>
  <si>
    <t>S94442</t>
  </si>
  <si>
    <t>SC94078</t>
  </si>
  <si>
    <t>S94443</t>
  </si>
  <si>
    <t>SC94079</t>
  </si>
  <si>
    <t>S94444</t>
  </si>
  <si>
    <t>SC94080</t>
  </si>
  <si>
    <t>S94445</t>
  </si>
  <si>
    <t>SC94081</t>
  </si>
  <si>
    <t>S94446</t>
  </si>
  <si>
    <t>SC94084</t>
  </si>
  <si>
    <t>S94447</t>
  </si>
  <si>
    <t>SC94085</t>
  </si>
  <si>
    <t>SB59076</t>
  </si>
  <si>
    <t>S94448</t>
  </si>
  <si>
    <t>SC94086</t>
  </si>
  <si>
    <t>S94449</t>
  </si>
  <si>
    <t>SC94087</t>
  </si>
  <si>
    <t>S94450</t>
  </si>
  <si>
    <t>SC94088</t>
  </si>
  <si>
    <t>S94451</t>
  </si>
  <si>
    <t>SC94089</t>
  </si>
  <si>
    <t>S94455</t>
  </si>
  <si>
    <t>SC94092</t>
  </si>
  <si>
    <t>SB59105</t>
  </si>
  <si>
    <t>S94454</t>
  </si>
  <si>
    <t>S94456</t>
  </si>
  <si>
    <t>SC94093</t>
  </si>
  <si>
    <t>S94459</t>
  </si>
  <si>
    <t>SC94094</t>
  </si>
  <si>
    <t>S94458</t>
  </si>
  <si>
    <t>SC94095</t>
  </si>
  <si>
    <t>S94461</t>
  </si>
  <si>
    <t>SC94096</t>
  </si>
  <si>
    <t>S94462</t>
  </si>
  <si>
    <t>SC94098</t>
  </si>
  <si>
    <t>S94464</t>
  </si>
  <si>
    <t>SC94099</t>
  </si>
  <si>
    <t>S94467</t>
  </si>
  <si>
    <t>SC94100</t>
  </si>
  <si>
    <t>S94468</t>
  </si>
  <si>
    <t>SC94201</t>
  </si>
  <si>
    <t>RTGS</t>
  </si>
  <si>
    <t>S94472</t>
  </si>
  <si>
    <t>SC94204</t>
  </si>
  <si>
    <t>S94474</t>
  </si>
  <si>
    <t>SC94205</t>
  </si>
  <si>
    <t>S94473</t>
  </si>
  <si>
    <t>SC94206</t>
  </si>
  <si>
    <t>S94483</t>
  </si>
  <si>
    <t>SC94208</t>
  </si>
  <si>
    <t>S94484</t>
  </si>
  <si>
    <t>SC94209</t>
  </si>
  <si>
    <t>S94475</t>
  </si>
  <si>
    <t>SC94212</t>
  </si>
  <si>
    <t>SB59130</t>
  </si>
  <si>
    <t>SM32194</t>
  </si>
  <si>
    <t>S94476</t>
  </si>
  <si>
    <t>S94477</t>
  </si>
  <si>
    <t>SC94213</t>
  </si>
  <si>
    <t>S94478</t>
  </si>
  <si>
    <t>SC94214</t>
  </si>
  <si>
    <t>S94481</t>
  </si>
  <si>
    <t>SC94216</t>
  </si>
  <si>
    <t>S94482</t>
  </si>
  <si>
    <t>SC94219</t>
  </si>
  <si>
    <t>S94487</t>
  </si>
  <si>
    <t>MLS ENTERPRISES</t>
  </si>
  <si>
    <t>SC94220</t>
  </si>
  <si>
    <t>S94488</t>
  </si>
  <si>
    <t>MLS ENTERPRISES PRIVATE LTD</t>
  </si>
  <si>
    <t>SC94221</t>
  </si>
  <si>
    <t>SB59113</t>
  </si>
  <si>
    <t>SM32165</t>
  </si>
  <si>
    <t>S94489</t>
  </si>
  <si>
    <t>S94490</t>
  </si>
  <si>
    <t>SC94222</t>
  </si>
  <si>
    <t>S94491</t>
  </si>
  <si>
    <t>SC94223</t>
  </si>
  <si>
    <t>SB59129</t>
  </si>
  <si>
    <t>SM30218</t>
  </si>
  <si>
    <t>S94493</t>
  </si>
  <si>
    <t>SC94224</t>
  </si>
  <si>
    <t>S94494</t>
  </si>
  <si>
    <t>SC94225</t>
  </si>
  <si>
    <t>S94496</t>
  </si>
  <si>
    <t>SC94227</t>
  </si>
  <si>
    <t>S94497</t>
  </si>
  <si>
    <t>SC94228</t>
  </si>
  <si>
    <t>S94500</t>
  </si>
  <si>
    <t>MLS ENGINEERING</t>
  </si>
  <si>
    <t>SC94230</t>
  </si>
  <si>
    <t>S99005</t>
  </si>
  <si>
    <t>SC94232</t>
  </si>
  <si>
    <t>SB59131</t>
  </si>
  <si>
    <t>S99012</t>
  </si>
  <si>
    <t>SC94233</t>
  </si>
  <si>
    <t>S99013</t>
  </si>
  <si>
    <t>SC94234</t>
  </si>
  <si>
    <t>S99011</t>
  </si>
  <si>
    <t>SC94236</t>
  </si>
  <si>
    <t>S99001</t>
  </si>
  <si>
    <t>SC94238</t>
  </si>
  <si>
    <t>SB59112</t>
  </si>
  <si>
    <t>S99006</t>
  </si>
  <si>
    <t>SC94235</t>
  </si>
  <si>
    <t>S99002</t>
  </si>
  <si>
    <t>SC94239</t>
  </si>
  <si>
    <t>S99004</t>
  </si>
  <si>
    <t>SC94241</t>
  </si>
  <si>
    <t>S99007</t>
  </si>
  <si>
    <t>SC94242</t>
  </si>
  <si>
    <t>S99008</t>
  </si>
  <si>
    <t>SC94244</t>
  </si>
  <si>
    <t>S99009</t>
  </si>
  <si>
    <t>SC94245</t>
  </si>
  <si>
    <t>S99015</t>
  </si>
  <si>
    <t>SC94246</t>
  </si>
  <si>
    <t>S99010</t>
  </si>
  <si>
    <t>SC94247</t>
  </si>
  <si>
    <t>S94452</t>
  </si>
  <si>
    <t>SC94091</t>
  </si>
  <si>
    <t>S94457</t>
  </si>
  <si>
    <t>S99016</t>
  </si>
  <si>
    <t>SC94249</t>
  </si>
  <si>
    <t>S99017</t>
  </si>
  <si>
    <t>SC94250</t>
  </si>
  <si>
    <t>S99019</t>
  </si>
  <si>
    <t>SC94252</t>
  </si>
  <si>
    <t>S99020</t>
  </si>
  <si>
    <t>SC94253</t>
  </si>
  <si>
    <t>S99021</t>
  </si>
  <si>
    <t>SC94254</t>
  </si>
  <si>
    <t>S99022</t>
  </si>
  <si>
    <t>SC94255</t>
  </si>
  <si>
    <t>S99026</t>
  </si>
  <si>
    <t>SC94258</t>
  </si>
  <si>
    <t>S99027</t>
  </si>
  <si>
    <t>SC94259</t>
  </si>
  <si>
    <t>S99030</t>
  </si>
  <si>
    <t>SC94260</t>
  </si>
  <si>
    <t>S99031</t>
  </si>
  <si>
    <t>S99032</t>
  </si>
  <si>
    <t>SC94261</t>
  </si>
  <si>
    <t>S99037</t>
  </si>
  <si>
    <t>SC94264</t>
  </si>
  <si>
    <t>S99035</t>
  </si>
  <si>
    <t>SC94265</t>
  </si>
  <si>
    <t>S99034</t>
  </si>
  <si>
    <t>SC94263</t>
  </si>
  <si>
    <t>S99039</t>
  </si>
  <si>
    <t>SC94266</t>
  </si>
  <si>
    <t>SNMR TTRANSPORT</t>
  </si>
  <si>
    <t>S99038</t>
  </si>
  <si>
    <t>SC94267</t>
  </si>
  <si>
    <t>S99040</t>
  </si>
  <si>
    <t>SC94269</t>
  </si>
  <si>
    <t>S99041</t>
  </si>
  <si>
    <t>SC94270</t>
  </si>
  <si>
    <t>S99042</t>
  </si>
  <si>
    <t>SC94278</t>
  </si>
  <si>
    <t>S99043</t>
  </si>
  <si>
    <t>SC94279</t>
  </si>
  <si>
    <t>S99044</t>
  </si>
  <si>
    <t>SC94280</t>
  </si>
  <si>
    <t>S99050</t>
  </si>
  <si>
    <t>SC94282</t>
  </si>
  <si>
    <t>S99052</t>
  </si>
  <si>
    <t>SC94276</t>
  </si>
  <si>
    <t>S99064</t>
  </si>
  <si>
    <t>SC94277</t>
  </si>
  <si>
    <t>S99054</t>
  </si>
  <si>
    <t>SC94289</t>
  </si>
  <si>
    <t>S99067</t>
  </si>
  <si>
    <t>SC94290</t>
  </si>
  <si>
    <t>S99053</t>
  </si>
  <si>
    <t>SC94291</t>
  </si>
  <si>
    <t>S99065</t>
  </si>
  <si>
    <t>SC94292</t>
  </si>
  <si>
    <t>NALLI TRANSPORT</t>
  </si>
  <si>
    <t>S99066</t>
  </si>
  <si>
    <t>SC94294</t>
  </si>
  <si>
    <t>S99068</t>
  </si>
  <si>
    <t>SC94296</t>
  </si>
  <si>
    <t>SB59139</t>
  </si>
  <si>
    <t>S99073</t>
  </si>
  <si>
    <t>SC94297</t>
  </si>
  <si>
    <t>S99070</t>
  </si>
  <si>
    <t>SC94298</t>
  </si>
  <si>
    <t>SB59140</t>
  </si>
  <si>
    <t>S99072</t>
  </si>
  <si>
    <t>SC94299</t>
  </si>
  <si>
    <t>SB59138</t>
  </si>
  <si>
    <t>S99077</t>
  </si>
  <si>
    <t>SC94303</t>
  </si>
  <si>
    <t>S99078</t>
  </si>
  <si>
    <t>SC94304</t>
  </si>
  <si>
    <t>NALLI TPT</t>
  </si>
  <si>
    <t>S99080</t>
  </si>
  <si>
    <t>SC94306</t>
  </si>
  <si>
    <t>S99076</t>
  </si>
  <si>
    <t>SC94302</t>
  </si>
  <si>
    <t>S99079</t>
  </si>
  <si>
    <t>SC94305</t>
  </si>
  <si>
    <t>S99085</t>
  </si>
  <si>
    <t>SC94310</t>
  </si>
  <si>
    <t>S99061</t>
  </si>
  <si>
    <t>SC94312</t>
  </si>
  <si>
    <t>SB59162</t>
  </si>
  <si>
    <t>S99091</t>
  </si>
  <si>
    <t>SC94315</t>
  </si>
  <si>
    <t>S99092</t>
  </si>
  <si>
    <t>SC94316</t>
  </si>
  <si>
    <t>S99088</t>
  </si>
  <si>
    <t>SC94317</t>
  </si>
  <si>
    <t>S99089</t>
  </si>
  <si>
    <t>SC94318</t>
  </si>
  <si>
    <t>S99090</t>
  </si>
  <si>
    <t>SC94319</t>
  </si>
  <si>
    <t>S99098</t>
  </si>
  <si>
    <t>SC94324</t>
  </si>
  <si>
    <t>S99095</t>
  </si>
  <si>
    <t>SC94322</t>
  </si>
  <si>
    <t>S99100</t>
  </si>
  <si>
    <t>SC94330</t>
  </si>
  <si>
    <t>S99103</t>
  </si>
  <si>
    <t>SC94332</t>
  </si>
  <si>
    <t>S99104</t>
  </si>
  <si>
    <t>SC94333</t>
  </si>
  <si>
    <t>SB59159</t>
  </si>
  <si>
    <t>S99109</t>
  </si>
  <si>
    <t>SC94337</t>
  </si>
  <si>
    <t>S99113</t>
  </si>
  <si>
    <t>SC94338</t>
  </si>
  <si>
    <t>S99114</t>
  </si>
  <si>
    <t>LEO PRIME COMPANY PVT LTD</t>
  </si>
  <si>
    <t>SC94342</t>
  </si>
  <si>
    <t>S99115</t>
  </si>
  <si>
    <t>SC94343</t>
  </si>
  <si>
    <t>S99116</t>
  </si>
  <si>
    <t>SC94344</t>
  </si>
  <si>
    <t>S99119</t>
  </si>
  <si>
    <t>SC94346</t>
  </si>
  <si>
    <t>S99118</t>
  </si>
  <si>
    <t>SC94347</t>
  </si>
  <si>
    <t>S99122</t>
  </si>
  <si>
    <t>SC94350</t>
  </si>
  <si>
    <t>S99123</t>
  </si>
  <si>
    <t>SC94351</t>
  </si>
  <si>
    <t>S99124</t>
  </si>
  <si>
    <t>SC94352</t>
  </si>
  <si>
    <t>S99125</t>
  </si>
  <si>
    <t>SC94353</t>
  </si>
  <si>
    <t>S99126</t>
  </si>
  <si>
    <t>SC94354</t>
  </si>
  <si>
    <t>REJI  KUMAR</t>
  </si>
  <si>
    <t>S99128</t>
  </si>
  <si>
    <t>SC94356</t>
  </si>
  <si>
    <t>S99129</t>
  </si>
  <si>
    <t>SC94357</t>
  </si>
  <si>
    <t>S99130</t>
  </si>
  <si>
    <t>SC94358</t>
  </si>
  <si>
    <t>S99134</t>
  </si>
  <si>
    <t>SC94355</t>
  </si>
  <si>
    <t>S99138</t>
  </si>
  <si>
    <t>SC94349</t>
  </si>
  <si>
    <t>S99133</t>
  </si>
  <si>
    <t>SC94365</t>
  </si>
  <si>
    <t>S99137</t>
  </si>
  <si>
    <t>SC94367</t>
  </si>
  <si>
    <t>S99143</t>
  </si>
  <si>
    <t>SC94369</t>
  </si>
  <si>
    <t>SB59160</t>
  </si>
  <si>
    <t>S99145</t>
  </si>
  <si>
    <t>SC94370</t>
  </si>
  <si>
    <t>S99147</t>
  </si>
  <si>
    <t>SC94372</t>
  </si>
  <si>
    <t>S99149</t>
  </si>
  <si>
    <t>SC94374</t>
  </si>
  <si>
    <t>S94509</t>
  </si>
  <si>
    <t>SC94373</t>
  </si>
  <si>
    <t>S94504</t>
  </si>
  <si>
    <t>SC94378</t>
  </si>
  <si>
    <t>S94505</t>
  </si>
  <si>
    <t>SC94380</t>
  </si>
  <si>
    <t>S94507</t>
  </si>
  <si>
    <t>SC94381</t>
  </si>
  <si>
    <t>SB59163</t>
  </si>
  <si>
    <t>S94501</t>
  </si>
  <si>
    <t>SC94384</t>
  </si>
  <si>
    <t>SB59161</t>
  </si>
  <si>
    <t>S94510</t>
  </si>
  <si>
    <t>SC94385</t>
  </si>
  <si>
    <t>S94511</t>
  </si>
  <si>
    <t>SC94386</t>
  </si>
  <si>
    <t>S99146</t>
  </si>
  <si>
    <t>SC94371</t>
  </si>
  <si>
    <t>S99150</t>
  </si>
  <si>
    <t>SC94377</t>
  </si>
  <si>
    <t>S94506</t>
  </si>
  <si>
    <t>S94518</t>
  </si>
  <si>
    <t>SC94387</t>
  </si>
  <si>
    <t>S94517</t>
  </si>
  <si>
    <t>SC94388</t>
  </si>
  <si>
    <t>S94516</t>
  </si>
  <si>
    <t>SC94389</t>
  </si>
  <si>
    <t>S94519</t>
  </si>
  <si>
    <t>TIRUCHIRAPALLI ENGINEERING AND TECHNOLOGY CLUSTER</t>
  </si>
  <si>
    <t>SC94394</t>
  </si>
  <si>
    <t>SB59172</t>
  </si>
  <si>
    <t>SM32156</t>
  </si>
  <si>
    <t>S94520</t>
  </si>
  <si>
    <t>SC94396</t>
  </si>
  <si>
    <t>S94526</t>
  </si>
  <si>
    <t>SE FORGE LIMITED..</t>
  </si>
  <si>
    <t>SC94399</t>
  </si>
  <si>
    <t>SB59171</t>
  </si>
  <si>
    <t>SM32245</t>
  </si>
  <si>
    <t>S94522</t>
  </si>
  <si>
    <t>CLASSIC TOOLS &amp; SERIVCES.</t>
  </si>
  <si>
    <t>SC94412</t>
  </si>
  <si>
    <t>SB59177</t>
  </si>
  <si>
    <t>S94524</t>
  </si>
  <si>
    <t>SC94397</t>
  </si>
  <si>
    <t>S94525</t>
  </si>
  <si>
    <t>SC94398</t>
  </si>
  <si>
    <t>S94527</t>
  </si>
  <si>
    <t>SC94400</t>
  </si>
  <si>
    <t>S94528</t>
  </si>
  <si>
    <t>SC94401</t>
  </si>
  <si>
    <t>S94529</t>
  </si>
  <si>
    <t>SC94402</t>
  </si>
  <si>
    <t>S94530</t>
  </si>
  <si>
    <t>SC94403</t>
  </si>
  <si>
    <t>S94532</t>
  </si>
  <si>
    <t>SC94405</t>
  </si>
  <si>
    <t>S94531</t>
  </si>
  <si>
    <t>SC94406</t>
  </si>
  <si>
    <t>S94535</t>
  </si>
  <si>
    <t>SC94409</t>
  </si>
  <si>
    <t>S94536</t>
  </si>
  <si>
    <t>SC94410</t>
  </si>
  <si>
    <t>S94539</t>
  </si>
  <si>
    <t>SC94413</t>
  </si>
  <si>
    <t>S94540</t>
  </si>
  <si>
    <t>LEO PRIME COMP PRIVATE</t>
  </si>
  <si>
    <t>S94523</t>
  </si>
  <si>
    <t>SC94414</t>
  </si>
  <si>
    <t>S94559</t>
  </si>
  <si>
    <t>SC94430</t>
  </si>
  <si>
    <t>SB59195</t>
  </si>
  <si>
    <t>S94555</t>
  </si>
  <si>
    <t>STAR ENGINEERING INDUSTRIES</t>
  </si>
  <si>
    <t>SC94434</t>
  </si>
  <si>
    <t>S94571</t>
  </si>
  <si>
    <t>SC94441</t>
  </si>
  <si>
    <t>NALLI TRASNPORT CARRIERS</t>
  </si>
  <si>
    <t>S94572</t>
  </si>
  <si>
    <t>S102502</t>
  </si>
  <si>
    <t>MULTI AXES SYSTEMS LIMITED(UNIT-II)</t>
  </si>
  <si>
    <t>SC94474</t>
  </si>
  <si>
    <t>SB59200</t>
  </si>
  <si>
    <t>S104091</t>
  </si>
  <si>
    <t>SC94631</t>
  </si>
  <si>
    <t>SB65018</t>
  </si>
  <si>
    <t>SM33907</t>
  </si>
  <si>
    <t>S111440</t>
  </si>
  <si>
    <t>SHIVA KRIPA CRUSHER &amp; CO</t>
  </si>
  <si>
    <t>SC99227</t>
  </si>
  <si>
    <t>SB68838</t>
  </si>
  <si>
    <t>SM32669</t>
  </si>
  <si>
    <t>S118516</t>
  </si>
  <si>
    <t>SC110369</t>
  </si>
  <si>
    <t>KK TRANSPORT</t>
  </si>
  <si>
    <t>SB69023</t>
  </si>
  <si>
    <t>S118515</t>
  </si>
  <si>
    <t>SC110370</t>
  </si>
  <si>
    <t>SB69022</t>
  </si>
  <si>
    <t>S118586</t>
  </si>
  <si>
    <t>SHREE BUILDERS</t>
  </si>
  <si>
    <t>SC110401</t>
  </si>
  <si>
    <t>SB68992</t>
  </si>
  <si>
    <t>SM33899</t>
  </si>
  <si>
    <t>S104189</t>
  </si>
  <si>
    <t>NATIONAL TEXTILE CORPORATION LIMITED..</t>
  </si>
  <si>
    <t>NATIONAL TEXTILE CORPORATION LIMITED(HYD)</t>
  </si>
  <si>
    <t>SC94676</t>
  </si>
  <si>
    <t>SB65037</t>
  </si>
  <si>
    <t>SM31307</t>
  </si>
  <si>
    <t>S104200</t>
  </si>
  <si>
    <t>SC98071</t>
  </si>
  <si>
    <t>SB65068</t>
  </si>
  <si>
    <t>SM31316</t>
  </si>
  <si>
    <t>A/C NO 50100133670933-TPT-NATIONAL TEXTILE COR RS.32500/- DT 27/08/18</t>
  </si>
  <si>
    <t>A/C NO 50100133670933-TPT-NATIONAL TEXTILE COR RS.41500/- DT 04/09/18</t>
  </si>
  <si>
    <t>NEW GANAPATHI TRANSPORT</t>
  </si>
  <si>
    <t>P. NATARAJAM</t>
  </si>
  <si>
    <t>P. NATARAJAM, SNMR TPT</t>
  </si>
  <si>
    <t>SHRI RAM STONE CRUSHER</t>
  </si>
  <si>
    <t>SHRI SWAMI SAMARTH ENGINEERS</t>
  </si>
  <si>
    <t>UNIVERSAL HEAT EXCHANGERS LIMITED</t>
  </si>
  <si>
    <t>P. NATARAJAN,SARATH KUMAR</t>
  </si>
  <si>
    <t>MARUTHI EMGINEERING  EQUIPMENTS</t>
  </si>
  <si>
    <t>TOTAL BILL AMOUNT</t>
  </si>
  <si>
    <t>GENUINE BILL AMOUNT</t>
  </si>
  <si>
    <t>AMOUNT RECEIVED AGAINST GENUINE BILL</t>
  </si>
  <si>
    <t>OUTSTANDING AMOUNT GENUINE</t>
  </si>
  <si>
    <t>TOTAL OUTSTANDING AMOUNT</t>
  </si>
  <si>
    <t>SIECO ENGINEERS PRIVATE LIMITED</t>
  </si>
  <si>
    <t>TJSV STEEL FABRICATION AND GALVANIZING INDIA LIMITED</t>
  </si>
  <si>
    <t>REMARK</t>
  </si>
  <si>
    <t>MAA VAISHNAV  ENTERPRISES</t>
  </si>
  <si>
    <t>RS.60000/- NOT YET CLEAR AS PER BRS BR-190, SM33852,
RS.60000/- NOT YET CLEAR AS PER BRS, BR-196, SM33858</t>
  </si>
  <si>
    <t>RS.30000/- RECOVERABLE YET TO BE BILLED</t>
  </si>
  <si>
    <t xml:space="preserve">RS.15000/- RECOVERABLE YET TO BILL
</t>
  </si>
  <si>
    <t>RS.1240/- FALSE TDS BY PARTY</t>
  </si>
  <si>
    <t>RS.3400/- FALSE TDS BY PARTY</t>
  </si>
  <si>
    <t>RS.21000/- NOT RECEIVED AGAINST MR SM31327 AS PER BRS</t>
  </si>
  <si>
    <t>RS.65000/- CHQ NOT CLEAR AS PER BRS, BR-244, SM33891</t>
  </si>
  <si>
    <t>RS.6280/- FALSE TDS BY PARTY</t>
  </si>
  <si>
    <t>UNBILLED  AGAINST LR NO. S118695</t>
  </si>
  <si>
    <t>RS.311640/- NOT YET RECEIVED,PENDING AS PER BRS</t>
  </si>
  <si>
    <t>RS.49000/- &amp; RS.99000/- YET TO BE CREDIT AS PER BRS SM33874 &amp; SM33875</t>
  </si>
  <si>
    <t>POOVARAGAN BLUE METALS (C/O NARAYANAN RAJASEKARAN)</t>
  </si>
  <si>
    <t>RS.46000/- YET TO BE RECEIVED SM33894, AS PER BRS</t>
  </si>
  <si>
    <t>AMOUNT OTHER THEN O/S TO BE RECOVER</t>
  </si>
  <si>
    <t xml:space="preserve">RECEIVED FROM A/C NO 50100133670933-TPT COIMBATORE TO TIRCHI  REF 149211200 28/11/19 NOT YET ACCOUNTED </t>
  </si>
  <si>
    <t xml:space="preserve">RECEIVED FROM A/C NO 50100133670933-TPT REF 393619237 DT 20/11/18 NOT ACCOUNTED </t>
  </si>
  <si>
    <t>RS.50000/- RECEICED FROM KRISHNA ENTP ON 29/01/18  BUT NOT ACCOUNTED REF 902911390526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</si>
</sst>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/>
    <xf numFmtId="0" fontId="3" fillId="0" borderId="0" xfId="0" applyFont="1" applyFill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/>
    <xf numFmtId="0" fontId="4" fillId="0" borderId="0" xfId="0" applyFont="1"/>
    <xf numFmtId="0" fontId="2" fillId="3" borderId="0" xfId="0" applyFont="1" applyFill="1"/>
    <xf numFmtId="0" fontId="0" fillId="0" borderId="0" xfId="0" applyFill="1"/>
    <xf numFmtId="0" fontId="5" fillId="0" borderId="0" xfId="0" applyFont="1"/>
    <xf numFmtId="0" fontId="0" fillId="0" borderId="1" xfId="0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tabSelected="1" zoomScaleNormal="100" workbookViewId="0">
      <pane ySplit="1" topLeftCell="A38" activePane="bottomLeft" state="frozen"/>
      <selection pane="bottomLeft" activeCell="B64" sqref="B64"/>
    </sheetView>
  </sheetViews>
  <sheetFormatPr defaultRowHeight="15" x14ac:dyDescent="0.25"/>
  <cols>
    <col min="1" max="1" width="36.28515625" style="2" customWidth="1"/>
    <col min="2" max="2" width="17" bestFit="1" customWidth="1"/>
    <col min="3" max="3" width="13.42578125" bestFit="1" customWidth="1"/>
    <col min="4" max="4" width="15.140625" bestFit="1" customWidth="1"/>
    <col min="5" max="5" width="18.28515625" bestFit="1" customWidth="1"/>
    <col min="6" max="7" width="15.140625" bestFit="1" customWidth="1"/>
    <col min="8" max="8" width="16.5703125" bestFit="1" customWidth="1"/>
    <col min="9" max="9" width="17.28515625" bestFit="1" customWidth="1"/>
    <col min="10" max="10" width="13" customWidth="1"/>
    <col min="11" max="11" width="14.85546875" style="2" customWidth="1"/>
    <col min="12" max="12" width="20.7109375" style="2" customWidth="1"/>
    <col min="13" max="13" width="13.42578125" bestFit="1" customWidth="1"/>
    <col min="14" max="14" width="45" style="2" customWidth="1"/>
  </cols>
  <sheetData>
    <row r="1" spans="1:14" s="21" customFormat="1" ht="120" x14ac:dyDescent="0.25">
      <c r="A1" s="20" t="s">
        <v>79</v>
      </c>
      <c r="B1" s="20" t="s">
        <v>5220</v>
      </c>
      <c r="C1" s="20" t="s">
        <v>5221</v>
      </c>
      <c r="D1" s="20" t="s">
        <v>5222</v>
      </c>
      <c r="E1" s="20" t="s">
        <v>5223</v>
      </c>
      <c r="F1" s="20" t="s">
        <v>80</v>
      </c>
      <c r="G1" s="20" t="s">
        <v>81</v>
      </c>
      <c r="H1" s="20" t="s">
        <v>82</v>
      </c>
      <c r="I1" s="20" t="s">
        <v>5224</v>
      </c>
      <c r="J1" s="20" t="s">
        <v>83</v>
      </c>
      <c r="K1" s="20" t="s">
        <v>85</v>
      </c>
      <c r="L1" s="20" t="s">
        <v>84</v>
      </c>
      <c r="M1" s="20" t="s">
        <v>5242</v>
      </c>
      <c r="N1" s="20" t="s">
        <v>5227</v>
      </c>
    </row>
    <row r="2" spans="1:14" x14ac:dyDescent="0.25">
      <c r="A2" s="16" t="s">
        <v>51</v>
      </c>
      <c r="B2" s="8">
        <v>302000</v>
      </c>
      <c r="C2" s="8">
        <f t="shared" ref="C2:C9" si="0">B2-F2</f>
        <v>74000</v>
      </c>
      <c r="D2" s="8">
        <v>74000</v>
      </c>
      <c r="E2" s="14">
        <f>C2-D2</f>
        <v>0</v>
      </c>
      <c r="F2" s="8">
        <v>228000</v>
      </c>
      <c r="G2" s="8">
        <v>130000</v>
      </c>
      <c r="H2" s="14">
        <f>F2-G2</f>
        <v>98000</v>
      </c>
      <c r="I2" s="8">
        <f>E2+H2</f>
        <v>98000</v>
      </c>
      <c r="J2" s="8">
        <v>88700</v>
      </c>
      <c r="K2" s="16" t="s">
        <v>66</v>
      </c>
      <c r="L2" s="16" t="s">
        <v>77</v>
      </c>
      <c r="M2" s="8"/>
      <c r="N2" s="16"/>
    </row>
    <row r="3" spans="1:14" x14ac:dyDescent="0.25">
      <c r="A3" s="8" t="s">
        <v>89</v>
      </c>
      <c r="B3" s="8">
        <v>2607058</v>
      </c>
      <c r="C3" s="8">
        <f t="shared" si="0"/>
        <v>2607058</v>
      </c>
      <c r="D3" s="8">
        <v>2422968</v>
      </c>
      <c r="E3" s="14">
        <f>C3-D3</f>
        <v>184090</v>
      </c>
      <c r="F3" s="8">
        <v>0</v>
      </c>
      <c r="G3" s="8">
        <v>0</v>
      </c>
      <c r="H3" s="14">
        <f>F3-G3</f>
        <v>0</v>
      </c>
      <c r="I3" s="8">
        <f>E3+H3</f>
        <v>184090</v>
      </c>
      <c r="J3" s="8"/>
      <c r="K3" s="16"/>
      <c r="L3" s="16"/>
      <c r="M3" s="8"/>
      <c r="N3" s="16"/>
    </row>
    <row r="4" spans="1:14" x14ac:dyDescent="0.25">
      <c r="A4" s="16" t="s">
        <v>1183</v>
      </c>
      <c r="B4" s="8">
        <v>158000</v>
      </c>
      <c r="C4" s="8">
        <f t="shared" si="0"/>
        <v>25000</v>
      </c>
      <c r="D4" s="8">
        <v>22500</v>
      </c>
      <c r="E4" s="14">
        <f>C4-D4</f>
        <v>2500</v>
      </c>
      <c r="F4" s="8">
        <v>133000</v>
      </c>
      <c r="G4" s="8">
        <v>0</v>
      </c>
      <c r="H4" s="14">
        <f>F4-G4</f>
        <v>133000</v>
      </c>
      <c r="I4" s="8">
        <f t="shared" ref="I4:I59" si="1">E4+H4</f>
        <v>135500</v>
      </c>
      <c r="J4" s="8">
        <v>103800</v>
      </c>
      <c r="K4" s="16" t="s">
        <v>66</v>
      </c>
      <c r="L4" s="16"/>
      <c r="M4" s="8"/>
      <c r="N4" s="16"/>
    </row>
    <row r="5" spans="1:14" x14ac:dyDescent="0.25">
      <c r="A5" s="19" t="s">
        <v>2816</v>
      </c>
      <c r="B5" s="8">
        <v>105000</v>
      </c>
      <c r="C5" s="8">
        <f t="shared" si="0"/>
        <v>43000</v>
      </c>
      <c r="D5" s="8">
        <v>43000</v>
      </c>
      <c r="E5" s="14">
        <f t="shared" ref="E5:E59" si="2">C5-D5</f>
        <v>0</v>
      </c>
      <c r="F5" s="8">
        <v>62000</v>
      </c>
      <c r="G5" s="8">
        <v>62000</v>
      </c>
      <c r="H5" s="14">
        <f>F5-G5</f>
        <v>0</v>
      </c>
      <c r="I5" s="8">
        <f t="shared" si="1"/>
        <v>0</v>
      </c>
      <c r="J5" s="8"/>
      <c r="K5" s="16"/>
      <c r="L5" s="16"/>
      <c r="M5" s="8">
        <v>1240</v>
      </c>
      <c r="N5" s="16" t="s">
        <v>5232</v>
      </c>
    </row>
    <row r="6" spans="1:14" x14ac:dyDescent="0.25">
      <c r="A6" s="16" t="s">
        <v>1208</v>
      </c>
      <c r="B6" s="8">
        <v>440010</v>
      </c>
      <c r="C6" s="8">
        <f t="shared" si="0"/>
        <v>135010</v>
      </c>
      <c r="D6" s="8">
        <v>135010</v>
      </c>
      <c r="E6" s="14">
        <f t="shared" si="2"/>
        <v>0</v>
      </c>
      <c r="F6" s="8">
        <v>305000</v>
      </c>
      <c r="G6" s="8">
        <v>305000</v>
      </c>
      <c r="H6" s="14">
        <f>F6-G6</f>
        <v>0</v>
      </c>
      <c r="I6" s="8">
        <f t="shared" si="1"/>
        <v>0</v>
      </c>
      <c r="J6" s="8">
        <v>271700</v>
      </c>
      <c r="K6" s="16"/>
      <c r="L6" s="16"/>
      <c r="M6" s="8">
        <v>3400</v>
      </c>
      <c r="N6" s="16" t="s">
        <v>5233</v>
      </c>
    </row>
    <row r="7" spans="1:14" ht="30" x14ac:dyDescent="0.25">
      <c r="A7" s="16" t="s">
        <v>1234</v>
      </c>
      <c r="B7" s="9">
        <v>58000</v>
      </c>
      <c r="C7" s="8">
        <f t="shared" si="0"/>
        <v>0</v>
      </c>
      <c r="D7" s="8">
        <v>0</v>
      </c>
      <c r="E7" s="14">
        <f t="shared" si="2"/>
        <v>0</v>
      </c>
      <c r="F7" s="8">
        <v>58000</v>
      </c>
      <c r="G7" s="8">
        <v>0</v>
      </c>
      <c r="H7" s="14">
        <f t="shared" ref="H7:H38" si="3">F7-G7</f>
        <v>58000</v>
      </c>
      <c r="I7" s="8">
        <f t="shared" si="1"/>
        <v>58000</v>
      </c>
      <c r="J7" s="8">
        <v>52900</v>
      </c>
      <c r="K7" s="16" t="s">
        <v>66</v>
      </c>
      <c r="L7" s="16" t="s">
        <v>77</v>
      </c>
      <c r="M7" s="8"/>
      <c r="N7" s="16"/>
    </row>
    <row r="8" spans="1:14" x14ac:dyDescent="0.25">
      <c r="A8" s="16" t="s">
        <v>1241</v>
      </c>
      <c r="B8" s="9">
        <v>2433280</v>
      </c>
      <c r="C8" s="8">
        <f t="shared" si="0"/>
        <v>2433280</v>
      </c>
      <c r="D8" s="8">
        <v>2384483</v>
      </c>
      <c r="E8" s="14">
        <f t="shared" si="2"/>
        <v>48797</v>
      </c>
      <c r="F8" s="8">
        <v>0</v>
      </c>
      <c r="G8" s="8">
        <v>0</v>
      </c>
      <c r="H8" s="14">
        <v>0</v>
      </c>
      <c r="I8" s="8">
        <f t="shared" si="1"/>
        <v>48797</v>
      </c>
      <c r="J8" s="8"/>
      <c r="K8" s="16"/>
      <c r="L8" s="16"/>
      <c r="M8" s="8"/>
      <c r="N8" s="16"/>
    </row>
    <row r="9" spans="1:14" ht="30" x14ac:dyDescent="0.25">
      <c r="A9" s="16" t="s">
        <v>1274</v>
      </c>
      <c r="B9" s="8">
        <v>744500</v>
      </c>
      <c r="C9" s="8">
        <f t="shared" si="0"/>
        <v>20500</v>
      </c>
      <c r="D9" s="8">
        <v>20500</v>
      </c>
      <c r="E9" s="14">
        <f t="shared" si="2"/>
        <v>0</v>
      </c>
      <c r="F9" s="8">
        <v>724000</v>
      </c>
      <c r="G9" s="8">
        <v>390000</v>
      </c>
      <c r="H9" s="14">
        <f t="shared" si="3"/>
        <v>334000</v>
      </c>
      <c r="I9" s="8">
        <f t="shared" si="1"/>
        <v>334000</v>
      </c>
      <c r="J9" s="8">
        <v>228500</v>
      </c>
      <c r="K9" s="16" t="s">
        <v>66</v>
      </c>
      <c r="L9" s="16" t="s">
        <v>77</v>
      </c>
      <c r="M9" s="8"/>
      <c r="N9" s="16"/>
    </row>
    <row r="10" spans="1:14" ht="30" x14ac:dyDescent="0.25">
      <c r="A10" s="16"/>
      <c r="B10" s="8"/>
      <c r="C10" s="8"/>
      <c r="D10" s="8"/>
      <c r="E10" s="14"/>
      <c r="F10" s="8"/>
      <c r="G10" s="8"/>
      <c r="H10" s="14"/>
      <c r="I10" s="8"/>
      <c r="J10" s="8">
        <v>54500</v>
      </c>
      <c r="K10" s="16" t="s">
        <v>1305</v>
      </c>
      <c r="L10" s="16" t="s">
        <v>1305</v>
      </c>
      <c r="M10" s="8"/>
      <c r="N10" s="16"/>
    </row>
    <row r="11" spans="1:14" x14ac:dyDescent="0.25">
      <c r="A11" s="16" t="s">
        <v>1326</v>
      </c>
      <c r="B11" s="8">
        <v>206000</v>
      </c>
      <c r="C11" s="8">
        <f t="shared" ref="C11:C59" si="4">B11-F11</f>
        <v>58000</v>
      </c>
      <c r="D11" s="8">
        <v>58000</v>
      </c>
      <c r="E11" s="14">
        <f t="shared" si="2"/>
        <v>0</v>
      </c>
      <c r="F11" s="8">
        <v>148000</v>
      </c>
      <c r="G11" s="8">
        <v>0</v>
      </c>
      <c r="H11" s="14">
        <f t="shared" si="3"/>
        <v>148000</v>
      </c>
      <c r="I11" s="8">
        <f t="shared" si="1"/>
        <v>148000</v>
      </c>
      <c r="J11" s="8">
        <v>126350</v>
      </c>
      <c r="K11" s="16" t="s">
        <v>66</v>
      </c>
      <c r="L11" s="16" t="s">
        <v>77</v>
      </c>
      <c r="M11" s="8"/>
      <c r="N11" s="16"/>
    </row>
    <row r="12" spans="1:14" ht="45" x14ac:dyDescent="0.25">
      <c r="A12" s="16" t="s">
        <v>1354</v>
      </c>
      <c r="B12" s="8">
        <v>366000</v>
      </c>
      <c r="C12" s="8">
        <f t="shared" si="4"/>
        <v>0</v>
      </c>
      <c r="D12" s="8">
        <v>0</v>
      </c>
      <c r="E12" s="14">
        <f t="shared" si="2"/>
        <v>0</v>
      </c>
      <c r="F12" s="8">
        <v>366000</v>
      </c>
      <c r="G12" s="8">
        <v>100000</v>
      </c>
      <c r="H12" s="14">
        <f t="shared" si="3"/>
        <v>266000</v>
      </c>
      <c r="I12" s="8">
        <f t="shared" si="1"/>
        <v>266000</v>
      </c>
      <c r="J12" s="8">
        <v>63500</v>
      </c>
      <c r="K12" s="16" t="s">
        <v>55</v>
      </c>
      <c r="L12" s="16" t="s">
        <v>55</v>
      </c>
      <c r="M12" s="8"/>
      <c r="N12" s="16"/>
    </row>
    <row r="13" spans="1:14" x14ac:dyDescent="0.25">
      <c r="A13" s="16"/>
      <c r="B13" s="8"/>
      <c r="C13" s="8"/>
      <c r="D13" s="8"/>
      <c r="E13" s="14">
        <f t="shared" si="2"/>
        <v>0</v>
      </c>
      <c r="F13" s="8"/>
      <c r="G13" s="8"/>
      <c r="H13" s="14">
        <f t="shared" si="3"/>
        <v>0</v>
      </c>
      <c r="I13" s="8">
        <f t="shared" si="1"/>
        <v>0</v>
      </c>
      <c r="J13" s="8">
        <v>180000</v>
      </c>
      <c r="K13" s="16" t="s">
        <v>107</v>
      </c>
      <c r="L13" s="16" t="s">
        <v>214</v>
      </c>
      <c r="M13" s="8"/>
      <c r="N13" s="16"/>
    </row>
    <row r="14" spans="1:14" x14ac:dyDescent="0.25">
      <c r="A14" s="16" t="s">
        <v>1366</v>
      </c>
      <c r="B14" s="8">
        <v>269000</v>
      </c>
      <c r="C14" s="8">
        <f t="shared" si="4"/>
        <v>189000</v>
      </c>
      <c r="D14" s="8">
        <v>164000</v>
      </c>
      <c r="E14" s="14">
        <f t="shared" si="2"/>
        <v>25000</v>
      </c>
      <c r="F14" s="8">
        <v>80000</v>
      </c>
      <c r="G14" s="8">
        <v>0</v>
      </c>
      <c r="H14" s="14">
        <f t="shared" si="3"/>
        <v>80000</v>
      </c>
      <c r="I14" s="8">
        <f t="shared" si="1"/>
        <v>105000</v>
      </c>
      <c r="J14" s="8">
        <v>71100</v>
      </c>
      <c r="K14" s="16" t="s">
        <v>66</v>
      </c>
      <c r="L14" s="16" t="s">
        <v>77</v>
      </c>
      <c r="M14" s="8"/>
      <c r="N14" s="16"/>
    </row>
    <row r="15" spans="1:14" ht="30" x14ac:dyDescent="0.25">
      <c r="A15" s="16" t="s">
        <v>1400</v>
      </c>
      <c r="B15" s="8">
        <v>3181700</v>
      </c>
      <c r="C15" s="8">
        <f t="shared" si="4"/>
        <v>2285200</v>
      </c>
      <c r="D15" s="8">
        <v>2145200</v>
      </c>
      <c r="E15" s="14">
        <f t="shared" si="2"/>
        <v>140000</v>
      </c>
      <c r="F15" s="8">
        <v>896500</v>
      </c>
      <c r="G15" s="8">
        <v>705000</v>
      </c>
      <c r="H15" s="14">
        <f t="shared" si="3"/>
        <v>191500</v>
      </c>
      <c r="I15" s="8">
        <f t="shared" si="1"/>
        <v>331500</v>
      </c>
      <c r="J15" s="8">
        <v>4400</v>
      </c>
      <c r="K15" s="16" t="s">
        <v>1580</v>
      </c>
      <c r="L15" s="16"/>
      <c r="M15" s="8"/>
      <c r="N15" s="16"/>
    </row>
    <row r="16" spans="1:14" ht="45" x14ac:dyDescent="0.25">
      <c r="A16" s="16"/>
      <c r="B16" s="8"/>
      <c r="C16" s="8">
        <f t="shared" si="4"/>
        <v>0</v>
      </c>
      <c r="D16" s="8"/>
      <c r="E16" s="14">
        <f t="shared" si="2"/>
        <v>0</v>
      </c>
      <c r="F16" s="8"/>
      <c r="G16" s="8"/>
      <c r="H16" s="14">
        <f t="shared" si="3"/>
        <v>0</v>
      </c>
      <c r="I16" s="8">
        <f t="shared" si="1"/>
        <v>0</v>
      </c>
      <c r="J16" s="8">
        <v>69100</v>
      </c>
      <c r="K16" s="16" t="s">
        <v>502</v>
      </c>
      <c r="L16" s="16" t="s">
        <v>1645</v>
      </c>
      <c r="M16" s="8"/>
      <c r="N16" s="16"/>
    </row>
    <row r="17" spans="1:14" x14ac:dyDescent="0.25">
      <c r="A17" s="16"/>
      <c r="B17" s="8"/>
      <c r="C17" s="8">
        <f t="shared" si="4"/>
        <v>0</v>
      </c>
      <c r="D17" s="8"/>
      <c r="E17" s="14">
        <f t="shared" si="2"/>
        <v>0</v>
      </c>
      <c r="F17" s="8"/>
      <c r="G17" s="8"/>
      <c r="H17" s="14">
        <f t="shared" si="3"/>
        <v>0</v>
      </c>
      <c r="I17" s="8">
        <f t="shared" si="1"/>
        <v>0</v>
      </c>
      <c r="J17" s="8">
        <v>79000</v>
      </c>
      <c r="K17" s="16" t="s">
        <v>66</v>
      </c>
      <c r="L17" s="16" t="s">
        <v>77</v>
      </c>
      <c r="M17" s="8"/>
      <c r="N17" s="16"/>
    </row>
    <row r="18" spans="1:14" x14ac:dyDescent="0.25">
      <c r="A18" s="8" t="s">
        <v>1793</v>
      </c>
      <c r="B18" s="8">
        <v>17000</v>
      </c>
      <c r="C18" s="8">
        <f t="shared" si="4"/>
        <v>17000</v>
      </c>
      <c r="D18" s="8">
        <v>0</v>
      </c>
      <c r="E18" s="14">
        <f t="shared" si="2"/>
        <v>17000</v>
      </c>
      <c r="F18" s="8">
        <v>0</v>
      </c>
      <c r="G18" s="8">
        <v>0</v>
      </c>
      <c r="H18" s="14">
        <f t="shared" si="3"/>
        <v>0</v>
      </c>
      <c r="I18" s="8">
        <f t="shared" si="1"/>
        <v>17000</v>
      </c>
      <c r="J18" s="8"/>
      <c r="K18" s="16"/>
      <c r="L18" s="16"/>
      <c r="M18" s="8"/>
      <c r="N18" s="16"/>
    </row>
    <row r="19" spans="1:14" x14ac:dyDescent="0.25">
      <c r="A19" s="16" t="s">
        <v>1803</v>
      </c>
      <c r="B19" s="8">
        <v>662065</v>
      </c>
      <c r="C19" s="8">
        <f t="shared" si="4"/>
        <v>561065</v>
      </c>
      <c r="D19" s="8">
        <v>541865</v>
      </c>
      <c r="E19" s="14">
        <f t="shared" si="2"/>
        <v>19200</v>
      </c>
      <c r="F19" s="8">
        <v>101000</v>
      </c>
      <c r="G19" s="8">
        <v>101000</v>
      </c>
      <c r="H19" s="14">
        <f t="shared" si="3"/>
        <v>0</v>
      </c>
      <c r="I19" s="8">
        <f t="shared" si="1"/>
        <v>19200</v>
      </c>
      <c r="J19" s="8"/>
      <c r="K19" s="16"/>
      <c r="L19" s="16"/>
      <c r="M19" s="8"/>
      <c r="N19" s="16"/>
    </row>
    <row r="20" spans="1:14" ht="45" x14ac:dyDescent="0.25">
      <c r="A20" s="16" t="s">
        <v>2131</v>
      </c>
      <c r="B20" s="8">
        <v>160000</v>
      </c>
      <c r="C20" s="8">
        <f t="shared" si="4"/>
        <v>0</v>
      </c>
      <c r="D20" s="8"/>
      <c r="E20" s="14">
        <f t="shared" si="2"/>
        <v>0</v>
      </c>
      <c r="F20" s="8">
        <v>160000</v>
      </c>
      <c r="G20" s="8">
        <v>0</v>
      </c>
      <c r="H20" s="14">
        <f t="shared" si="3"/>
        <v>160000</v>
      </c>
      <c r="I20" s="8">
        <f t="shared" si="1"/>
        <v>160000</v>
      </c>
      <c r="J20" s="8">
        <v>142200</v>
      </c>
      <c r="K20" s="16" t="s">
        <v>66</v>
      </c>
      <c r="L20" s="16" t="s">
        <v>77</v>
      </c>
      <c r="M20" s="8">
        <v>-50000</v>
      </c>
      <c r="N20" s="16" t="s">
        <v>5245</v>
      </c>
    </row>
    <row r="21" spans="1:14" x14ac:dyDescent="0.25">
      <c r="A21" s="8" t="s">
        <v>2139</v>
      </c>
      <c r="B21" s="8">
        <v>2138575</v>
      </c>
      <c r="C21" s="8">
        <f t="shared" si="4"/>
        <v>2138575</v>
      </c>
      <c r="D21" s="8">
        <v>1979170</v>
      </c>
      <c r="E21" s="14">
        <f t="shared" si="2"/>
        <v>159405</v>
      </c>
      <c r="F21" s="8">
        <v>0</v>
      </c>
      <c r="G21" s="8">
        <v>0</v>
      </c>
      <c r="H21" s="14">
        <f t="shared" si="3"/>
        <v>0</v>
      </c>
      <c r="I21" s="8">
        <f t="shared" si="1"/>
        <v>159405</v>
      </c>
      <c r="J21" s="8"/>
      <c r="K21" s="16"/>
      <c r="L21" s="16"/>
      <c r="M21" s="8"/>
      <c r="N21" s="16"/>
    </row>
    <row r="22" spans="1:14" x14ac:dyDescent="0.25">
      <c r="A22" s="8" t="s">
        <v>2525</v>
      </c>
      <c r="B22" s="8">
        <v>45000</v>
      </c>
      <c r="C22" s="8">
        <f t="shared" si="4"/>
        <v>45000</v>
      </c>
      <c r="D22" s="8">
        <v>0</v>
      </c>
      <c r="E22" s="14">
        <f t="shared" si="2"/>
        <v>45000</v>
      </c>
      <c r="F22" s="8">
        <v>0</v>
      </c>
      <c r="G22" s="8">
        <v>0</v>
      </c>
      <c r="H22" s="14">
        <f t="shared" si="3"/>
        <v>0</v>
      </c>
      <c r="I22" s="8">
        <f t="shared" si="1"/>
        <v>45000</v>
      </c>
      <c r="J22" s="8"/>
      <c r="K22" s="16"/>
      <c r="L22" s="16"/>
      <c r="M22" s="8"/>
      <c r="N22" s="16"/>
    </row>
    <row r="23" spans="1:14" x14ac:dyDescent="0.25">
      <c r="A23" s="8" t="s">
        <v>2532</v>
      </c>
      <c r="B23" s="8">
        <v>23000</v>
      </c>
      <c r="C23" s="8">
        <f t="shared" si="4"/>
        <v>23000</v>
      </c>
      <c r="D23" s="8">
        <v>0</v>
      </c>
      <c r="E23" s="14">
        <f t="shared" si="2"/>
        <v>23000</v>
      </c>
      <c r="F23" s="8">
        <v>0</v>
      </c>
      <c r="G23" s="8">
        <v>0</v>
      </c>
      <c r="H23" s="14">
        <f t="shared" si="3"/>
        <v>0</v>
      </c>
      <c r="I23" s="8">
        <f t="shared" si="1"/>
        <v>23000</v>
      </c>
      <c r="J23" s="8"/>
      <c r="K23" s="16"/>
      <c r="L23" s="16"/>
      <c r="M23" s="8"/>
      <c r="N23" s="16"/>
    </row>
    <row r="24" spans="1:14" ht="30" x14ac:dyDescent="0.25">
      <c r="A24" s="8" t="s">
        <v>5228</v>
      </c>
      <c r="B24" s="8"/>
      <c r="C24" s="8"/>
      <c r="D24" s="8"/>
      <c r="E24" s="14"/>
      <c r="F24" s="8"/>
      <c r="G24" s="8"/>
      <c r="H24" s="14"/>
      <c r="I24" s="8"/>
      <c r="J24" s="8"/>
      <c r="K24" s="16"/>
      <c r="L24" s="16"/>
      <c r="M24" s="8">
        <v>21000</v>
      </c>
      <c r="N24" s="16" t="s">
        <v>5234</v>
      </c>
    </row>
    <row r="25" spans="1:14" ht="30" x14ac:dyDescent="0.25">
      <c r="A25" s="16" t="s">
        <v>5219</v>
      </c>
      <c r="B25" s="8">
        <v>382000</v>
      </c>
      <c r="C25" s="8">
        <f t="shared" si="4"/>
        <v>0</v>
      </c>
      <c r="D25" s="8"/>
      <c r="E25" s="14">
        <f t="shared" si="2"/>
        <v>0</v>
      </c>
      <c r="F25" s="8">
        <v>382000</v>
      </c>
      <c r="G25" s="8">
        <v>382000</v>
      </c>
      <c r="H25" s="14">
        <f t="shared" si="3"/>
        <v>0</v>
      </c>
      <c r="I25" s="17">
        <f t="shared" si="1"/>
        <v>0</v>
      </c>
      <c r="J25" s="8">
        <v>57100</v>
      </c>
      <c r="K25" s="16" t="s">
        <v>66</v>
      </c>
      <c r="L25" s="16" t="s">
        <v>77</v>
      </c>
      <c r="M25" s="8">
        <v>65000</v>
      </c>
      <c r="N25" s="16" t="s">
        <v>5235</v>
      </c>
    </row>
    <row r="26" spans="1:14" x14ac:dyDescent="0.25">
      <c r="A26" s="16" t="s">
        <v>2537</v>
      </c>
      <c r="B26" s="8">
        <v>145000</v>
      </c>
      <c r="C26" s="8">
        <f t="shared" si="4"/>
        <v>52000</v>
      </c>
      <c r="D26" s="8">
        <v>52000</v>
      </c>
      <c r="E26" s="14">
        <f t="shared" si="2"/>
        <v>0</v>
      </c>
      <c r="F26" s="8">
        <v>93000</v>
      </c>
      <c r="G26" s="8">
        <v>0</v>
      </c>
      <c r="H26" s="14">
        <f t="shared" si="3"/>
        <v>93000</v>
      </c>
      <c r="I26" s="8">
        <f t="shared" si="1"/>
        <v>93000</v>
      </c>
      <c r="J26" s="8">
        <v>84000</v>
      </c>
      <c r="K26" s="16" t="s">
        <v>66</v>
      </c>
      <c r="L26" s="16" t="s">
        <v>77</v>
      </c>
      <c r="M26" s="8"/>
      <c r="N26" s="16"/>
    </row>
    <row r="27" spans="1:14" x14ac:dyDescent="0.25">
      <c r="A27" s="16" t="s">
        <v>2547</v>
      </c>
      <c r="B27" s="8">
        <v>448000</v>
      </c>
      <c r="C27" s="8">
        <f t="shared" si="4"/>
        <v>0</v>
      </c>
      <c r="D27" s="8"/>
      <c r="E27" s="14">
        <f t="shared" si="2"/>
        <v>0</v>
      </c>
      <c r="F27" s="8">
        <v>448000</v>
      </c>
      <c r="G27" s="8">
        <v>50000</v>
      </c>
      <c r="H27" s="14">
        <f t="shared" si="3"/>
        <v>398000</v>
      </c>
      <c r="I27" s="8">
        <f t="shared" si="1"/>
        <v>398000</v>
      </c>
      <c r="J27" s="8">
        <v>405100</v>
      </c>
      <c r="K27" s="16" t="s">
        <v>66</v>
      </c>
      <c r="L27" s="16" t="s">
        <v>77</v>
      </c>
      <c r="M27" s="8"/>
      <c r="N27" s="16"/>
    </row>
    <row r="28" spans="1:14" x14ac:dyDescent="0.25">
      <c r="A28" s="8" t="s">
        <v>2564</v>
      </c>
      <c r="B28" s="8">
        <v>110000</v>
      </c>
      <c r="C28" s="8">
        <f t="shared" si="4"/>
        <v>110000</v>
      </c>
      <c r="D28" s="8">
        <v>100000</v>
      </c>
      <c r="E28" s="14">
        <f t="shared" si="2"/>
        <v>10000</v>
      </c>
      <c r="F28" s="8">
        <v>0</v>
      </c>
      <c r="G28" s="8">
        <v>0</v>
      </c>
      <c r="H28" s="14">
        <f t="shared" si="3"/>
        <v>0</v>
      </c>
      <c r="I28" s="8">
        <f t="shared" si="1"/>
        <v>10000</v>
      </c>
      <c r="J28" s="8"/>
      <c r="K28" s="16"/>
      <c r="L28" s="16"/>
      <c r="M28" s="8"/>
      <c r="N28" s="16"/>
    </row>
    <row r="29" spans="1:14" x14ac:dyDescent="0.25">
      <c r="A29" s="8" t="s">
        <v>2572</v>
      </c>
      <c r="B29" s="8">
        <v>30000</v>
      </c>
      <c r="C29" s="8">
        <f t="shared" si="4"/>
        <v>30000</v>
      </c>
      <c r="D29" s="8">
        <v>0</v>
      </c>
      <c r="E29" s="14">
        <f t="shared" si="2"/>
        <v>30000</v>
      </c>
      <c r="F29" s="8">
        <v>0</v>
      </c>
      <c r="G29" s="8">
        <v>0</v>
      </c>
      <c r="H29" s="14">
        <f t="shared" si="3"/>
        <v>0</v>
      </c>
      <c r="I29" s="8">
        <f t="shared" si="1"/>
        <v>30000</v>
      </c>
      <c r="J29" s="8"/>
      <c r="K29" s="16"/>
      <c r="L29" s="16"/>
      <c r="M29" s="8"/>
      <c r="N29" s="16"/>
    </row>
    <row r="30" spans="1:14" x14ac:dyDescent="0.25">
      <c r="A30" s="8" t="s">
        <v>2580</v>
      </c>
      <c r="B30" s="8">
        <v>3043774</v>
      </c>
      <c r="C30" s="8">
        <f t="shared" si="4"/>
        <v>3043774</v>
      </c>
      <c r="D30" s="8">
        <v>2953774</v>
      </c>
      <c r="E30" s="14">
        <f t="shared" si="2"/>
        <v>90000</v>
      </c>
      <c r="F30" s="8">
        <v>0</v>
      </c>
      <c r="G30" s="8">
        <v>0</v>
      </c>
      <c r="H30" s="14">
        <f t="shared" si="3"/>
        <v>0</v>
      </c>
      <c r="I30" s="8">
        <f t="shared" si="1"/>
        <v>90000</v>
      </c>
      <c r="J30" s="8"/>
      <c r="K30" s="16"/>
      <c r="L30" s="16"/>
      <c r="M30" s="8"/>
      <c r="N30" s="16"/>
    </row>
    <row r="31" spans="1:14" ht="30" x14ac:dyDescent="0.25">
      <c r="A31" s="16" t="s">
        <v>75</v>
      </c>
      <c r="B31" s="8">
        <v>3892000</v>
      </c>
      <c r="C31" s="8">
        <f t="shared" si="4"/>
        <v>0</v>
      </c>
      <c r="D31" s="8">
        <v>0</v>
      </c>
      <c r="E31" s="14">
        <f t="shared" si="2"/>
        <v>0</v>
      </c>
      <c r="F31" s="8">
        <v>3892000</v>
      </c>
      <c r="G31" s="8">
        <v>2165000</v>
      </c>
      <c r="H31" s="14">
        <f t="shared" si="3"/>
        <v>1727000</v>
      </c>
      <c r="I31" s="8">
        <f t="shared" si="1"/>
        <v>1727000</v>
      </c>
      <c r="J31" s="8">
        <v>1543300</v>
      </c>
      <c r="K31" s="16" t="s">
        <v>66</v>
      </c>
      <c r="L31" s="16" t="s">
        <v>77</v>
      </c>
      <c r="M31" s="8">
        <v>6280</v>
      </c>
      <c r="N31" s="16" t="s">
        <v>5236</v>
      </c>
    </row>
    <row r="32" spans="1:14" x14ac:dyDescent="0.25">
      <c r="A32" s="16" t="s">
        <v>2881</v>
      </c>
      <c r="B32" s="8">
        <v>279000</v>
      </c>
      <c r="C32" s="8">
        <f t="shared" si="4"/>
        <v>103000</v>
      </c>
      <c r="D32" s="8">
        <v>103000</v>
      </c>
      <c r="E32" s="14">
        <f t="shared" si="2"/>
        <v>0</v>
      </c>
      <c r="F32" s="8">
        <v>176000</v>
      </c>
      <c r="G32" s="8">
        <v>0</v>
      </c>
      <c r="H32" s="14">
        <f t="shared" si="3"/>
        <v>176000</v>
      </c>
      <c r="I32" s="8">
        <f t="shared" si="1"/>
        <v>176000</v>
      </c>
      <c r="J32" s="8">
        <v>156300</v>
      </c>
      <c r="K32" s="16" t="s">
        <v>66</v>
      </c>
      <c r="L32" s="16" t="s">
        <v>77</v>
      </c>
      <c r="M32" s="8"/>
      <c r="N32" s="16"/>
    </row>
    <row r="33" spans="1:14" x14ac:dyDescent="0.25">
      <c r="A33" s="8" t="s">
        <v>2895</v>
      </c>
      <c r="B33" s="8">
        <v>33000</v>
      </c>
      <c r="C33" s="8">
        <f t="shared" si="4"/>
        <v>33000</v>
      </c>
      <c r="D33" s="8">
        <v>0</v>
      </c>
      <c r="E33" s="14">
        <f t="shared" si="2"/>
        <v>33000</v>
      </c>
      <c r="F33" s="8">
        <v>0</v>
      </c>
      <c r="G33" s="8">
        <v>0</v>
      </c>
      <c r="H33" s="14">
        <f t="shared" si="3"/>
        <v>0</v>
      </c>
      <c r="I33" s="8">
        <f t="shared" si="1"/>
        <v>33000</v>
      </c>
      <c r="J33" s="8"/>
      <c r="K33" s="16"/>
      <c r="L33" s="16"/>
      <c r="M33" s="8"/>
      <c r="N33" s="16"/>
    </row>
    <row r="34" spans="1:14" ht="30" x14ac:dyDescent="0.25">
      <c r="A34" s="16" t="s">
        <v>5240</v>
      </c>
      <c r="B34" s="8"/>
      <c r="C34" s="8"/>
      <c r="D34" s="8"/>
      <c r="E34" s="14"/>
      <c r="F34" s="8"/>
      <c r="G34" s="8"/>
      <c r="H34" s="14"/>
      <c r="I34" s="8"/>
      <c r="J34" s="8"/>
      <c r="K34" s="16"/>
      <c r="L34" s="16"/>
      <c r="M34" s="8">
        <v>46000</v>
      </c>
      <c r="N34" s="16" t="s">
        <v>5241</v>
      </c>
    </row>
    <row r="35" spans="1:14" ht="30" x14ac:dyDescent="0.25">
      <c r="A35" s="16" t="s">
        <v>50</v>
      </c>
      <c r="B35" s="8">
        <v>16514800</v>
      </c>
      <c r="C35" s="8">
        <f t="shared" si="4"/>
        <v>12725300</v>
      </c>
      <c r="D35" s="8">
        <v>9978700</v>
      </c>
      <c r="E35" s="14">
        <f t="shared" si="2"/>
        <v>2746600</v>
      </c>
      <c r="F35" s="8">
        <v>3789500</v>
      </c>
      <c r="G35" s="8">
        <v>3468500</v>
      </c>
      <c r="H35" s="14">
        <f t="shared" si="3"/>
        <v>321000</v>
      </c>
      <c r="I35" s="8">
        <f t="shared" si="1"/>
        <v>3067600</v>
      </c>
      <c r="J35" s="8">
        <v>9750</v>
      </c>
      <c r="K35" s="16" t="s">
        <v>230</v>
      </c>
      <c r="L35" s="16"/>
      <c r="M35" s="8"/>
      <c r="N35" s="16"/>
    </row>
    <row r="36" spans="1:14" ht="45" x14ac:dyDescent="0.25">
      <c r="A36" s="16"/>
      <c r="B36" s="8"/>
      <c r="C36" s="8"/>
      <c r="D36" s="8"/>
      <c r="E36" s="14"/>
      <c r="F36" s="8"/>
      <c r="G36" s="8"/>
      <c r="H36" s="14"/>
      <c r="I36" s="8">
        <f t="shared" si="1"/>
        <v>0</v>
      </c>
      <c r="J36" s="8">
        <v>73300</v>
      </c>
      <c r="K36" s="16" t="s">
        <v>502</v>
      </c>
      <c r="L36" s="16" t="s">
        <v>5218</v>
      </c>
      <c r="M36" s="8"/>
      <c r="N36" s="16"/>
    </row>
    <row r="37" spans="1:14" x14ac:dyDescent="0.25">
      <c r="A37" s="16"/>
      <c r="B37" s="8"/>
      <c r="C37" s="8"/>
      <c r="D37" s="8"/>
      <c r="E37" s="14"/>
      <c r="F37" s="8"/>
      <c r="G37" s="8"/>
      <c r="H37" s="14"/>
      <c r="I37" s="8">
        <f t="shared" si="1"/>
        <v>0</v>
      </c>
      <c r="J37" s="8">
        <v>201600</v>
      </c>
      <c r="K37" s="16" t="s">
        <v>66</v>
      </c>
      <c r="L37" s="16" t="s">
        <v>77</v>
      </c>
      <c r="M37" s="8"/>
      <c r="N37" s="16"/>
    </row>
    <row r="38" spans="1:14" x14ac:dyDescent="0.25">
      <c r="A38" s="8" t="s">
        <v>4110</v>
      </c>
      <c r="B38" s="8">
        <v>223000</v>
      </c>
      <c r="C38" s="8">
        <f t="shared" si="4"/>
        <v>223000</v>
      </c>
      <c r="D38" s="8">
        <v>200000</v>
      </c>
      <c r="E38" s="14">
        <f t="shared" si="2"/>
        <v>23000</v>
      </c>
      <c r="F38" s="8">
        <v>0</v>
      </c>
      <c r="G38" s="8">
        <v>0</v>
      </c>
      <c r="H38" s="14">
        <f t="shared" si="3"/>
        <v>0</v>
      </c>
      <c r="I38" s="8">
        <f t="shared" si="1"/>
        <v>23000</v>
      </c>
      <c r="J38" s="8"/>
      <c r="K38" s="16"/>
      <c r="L38" s="16"/>
      <c r="M38" s="8"/>
      <c r="N38" s="16"/>
    </row>
    <row r="39" spans="1:14" ht="60" x14ac:dyDescent="0.25">
      <c r="A39" s="16" t="s">
        <v>1325</v>
      </c>
      <c r="B39" s="8">
        <v>3605500</v>
      </c>
      <c r="C39" s="8">
        <f t="shared" si="4"/>
        <v>1212500</v>
      </c>
      <c r="D39" s="8">
        <v>1212500</v>
      </c>
      <c r="E39" s="14">
        <f t="shared" si="2"/>
        <v>0</v>
      </c>
      <c r="F39" s="8">
        <v>2393000</v>
      </c>
      <c r="G39" s="8">
        <v>1551000</v>
      </c>
      <c r="H39" s="14">
        <f>F39-G39</f>
        <v>842000</v>
      </c>
      <c r="I39" s="8">
        <f t="shared" si="1"/>
        <v>842000</v>
      </c>
      <c r="J39" s="8">
        <v>725700</v>
      </c>
      <c r="K39" s="16" t="s">
        <v>66</v>
      </c>
      <c r="L39" s="16" t="s">
        <v>77</v>
      </c>
      <c r="M39" s="8">
        <v>120000</v>
      </c>
      <c r="N39" s="16" t="s">
        <v>5229</v>
      </c>
    </row>
    <row r="40" spans="1:14" ht="45" x14ac:dyDescent="0.25">
      <c r="A40" s="16"/>
      <c r="B40" s="8"/>
      <c r="C40" s="8"/>
      <c r="D40" s="8"/>
      <c r="E40" s="14"/>
      <c r="F40" s="8"/>
      <c r="G40" s="8"/>
      <c r="H40" s="14"/>
      <c r="I40" s="8">
        <f t="shared" si="1"/>
        <v>0</v>
      </c>
      <c r="J40" s="8">
        <v>71000</v>
      </c>
      <c r="K40" s="16" t="s">
        <v>502</v>
      </c>
      <c r="L40" s="16" t="s">
        <v>5213</v>
      </c>
      <c r="M40" s="8"/>
      <c r="N40" s="16"/>
    </row>
    <row r="41" spans="1:14" x14ac:dyDescent="0.25">
      <c r="A41" s="8" t="s">
        <v>4395</v>
      </c>
      <c r="B41" s="8">
        <v>115000</v>
      </c>
      <c r="C41" s="8">
        <f t="shared" si="4"/>
        <v>115000</v>
      </c>
      <c r="D41" s="8">
        <v>55000</v>
      </c>
      <c r="E41" s="14">
        <f t="shared" si="2"/>
        <v>60000</v>
      </c>
      <c r="F41" s="8">
        <v>0</v>
      </c>
      <c r="G41" s="8">
        <v>0</v>
      </c>
      <c r="H41" s="14">
        <f t="shared" ref="H41" si="5">F41-G41</f>
        <v>0</v>
      </c>
      <c r="I41" s="8">
        <f t="shared" si="1"/>
        <v>60000</v>
      </c>
      <c r="J41" s="8"/>
      <c r="K41" s="16"/>
      <c r="L41" s="16"/>
      <c r="M41" s="8"/>
      <c r="N41" s="16"/>
    </row>
    <row r="42" spans="1:14" ht="30" x14ac:dyDescent="0.25">
      <c r="A42" s="16" t="s">
        <v>4400</v>
      </c>
      <c r="B42" s="8">
        <v>309000</v>
      </c>
      <c r="C42" s="8">
        <f t="shared" si="4"/>
        <v>0</v>
      </c>
      <c r="D42" s="8">
        <v>0</v>
      </c>
      <c r="E42" s="14">
        <f t="shared" si="2"/>
        <v>0</v>
      </c>
      <c r="F42" s="8">
        <v>309000</v>
      </c>
      <c r="G42" s="8">
        <v>0</v>
      </c>
      <c r="H42" s="14">
        <f t="shared" ref="H42:H59" si="6">F42-G42</f>
        <v>309000</v>
      </c>
      <c r="I42" s="8">
        <f t="shared" si="1"/>
        <v>309000</v>
      </c>
      <c r="J42" s="8">
        <v>165300</v>
      </c>
      <c r="K42" s="16" t="s">
        <v>66</v>
      </c>
      <c r="L42" s="16" t="s">
        <v>77</v>
      </c>
      <c r="M42" s="8"/>
      <c r="N42" s="16"/>
    </row>
    <row r="43" spans="1:14" ht="45" x14ac:dyDescent="0.25">
      <c r="A43" s="16"/>
      <c r="B43" s="8"/>
      <c r="C43" s="8"/>
      <c r="D43" s="8"/>
      <c r="E43" s="14"/>
      <c r="F43" s="8"/>
      <c r="G43" s="8"/>
      <c r="H43" s="14"/>
      <c r="I43" s="8"/>
      <c r="J43" s="8">
        <v>86200</v>
      </c>
      <c r="K43" s="16" t="s">
        <v>5212</v>
      </c>
      <c r="L43" s="16" t="s">
        <v>4038</v>
      </c>
      <c r="M43" s="8"/>
      <c r="N43" s="16"/>
    </row>
    <row r="44" spans="1:14" ht="30" x14ac:dyDescent="0.25">
      <c r="A44" s="16" t="s">
        <v>4410</v>
      </c>
      <c r="B44" s="8">
        <v>47000</v>
      </c>
      <c r="C44" s="8">
        <f t="shared" si="4"/>
        <v>0</v>
      </c>
      <c r="D44" s="8">
        <v>0</v>
      </c>
      <c r="E44" s="14">
        <f t="shared" si="2"/>
        <v>0</v>
      </c>
      <c r="F44" s="8">
        <v>47000</v>
      </c>
      <c r="G44" s="8">
        <v>0</v>
      </c>
      <c r="H44" s="14">
        <f t="shared" si="6"/>
        <v>47000</v>
      </c>
      <c r="I44" s="8">
        <f t="shared" si="1"/>
        <v>47000</v>
      </c>
      <c r="J44" s="8">
        <v>21500</v>
      </c>
      <c r="K44" s="16" t="s">
        <v>214</v>
      </c>
      <c r="L44" s="16" t="s">
        <v>214</v>
      </c>
      <c r="M44" s="8"/>
      <c r="N44" s="16"/>
    </row>
    <row r="45" spans="1:14" ht="30" x14ac:dyDescent="0.25">
      <c r="A45" s="16"/>
      <c r="B45" s="8"/>
      <c r="C45" s="8">
        <f t="shared" si="4"/>
        <v>0</v>
      </c>
      <c r="D45" s="8"/>
      <c r="E45" s="14">
        <f t="shared" si="2"/>
        <v>0</v>
      </c>
      <c r="F45" s="8"/>
      <c r="G45" s="8"/>
      <c r="H45" s="14">
        <f t="shared" si="6"/>
        <v>0</v>
      </c>
      <c r="I45" s="8">
        <f t="shared" si="1"/>
        <v>0</v>
      </c>
      <c r="J45" s="8">
        <v>20600</v>
      </c>
      <c r="K45" s="16" t="s">
        <v>1305</v>
      </c>
      <c r="L45" s="16" t="s">
        <v>1305</v>
      </c>
      <c r="M45" s="8"/>
      <c r="N45" s="16"/>
    </row>
    <row r="46" spans="1:14" x14ac:dyDescent="0.25">
      <c r="A46" s="8" t="s">
        <v>4419</v>
      </c>
      <c r="B46" s="8">
        <v>140000</v>
      </c>
      <c r="C46" s="8">
        <f t="shared" si="4"/>
        <v>140000</v>
      </c>
      <c r="D46" s="8">
        <v>130000</v>
      </c>
      <c r="E46" s="14">
        <f t="shared" si="2"/>
        <v>10000</v>
      </c>
      <c r="F46" s="8">
        <v>0</v>
      </c>
      <c r="G46" s="8">
        <v>0</v>
      </c>
      <c r="H46" s="14">
        <f t="shared" si="6"/>
        <v>0</v>
      </c>
      <c r="I46" s="8">
        <f t="shared" si="1"/>
        <v>10000</v>
      </c>
      <c r="J46" s="8">
        <v>82100</v>
      </c>
      <c r="K46" s="8" t="s">
        <v>514</v>
      </c>
      <c r="L46" s="8" t="s">
        <v>4421</v>
      </c>
      <c r="M46" s="8">
        <v>103000</v>
      </c>
      <c r="N46" s="16" t="s">
        <v>5237</v>
      </c>
    </row>
    <row r="47" spans="1:14" ht="30" x14ac:dyDescent="0.25">
      <c r="A47" s="8" t="s">
        <v>4425</v>
      </c>
      <c r="B47" s="8">
        <v>9473000</v>
      </c>
      <c r="C47" s="8">
        <f t="shared" si="4"/>
        <v>9473000</v>
      </c>
      <c r="D47" s="8">
        <v>9328310</v>
      </c>
      <c r="E47" s="14">
        <f t="shared" si="2"/>
        <v>144690</v>
      </c>
      <c r="F47" s="8">
        <v>0</v>
      </c>
      <c r="G47" s="8">
        <v>0</v>
      </c>
      <c r="H47" s="14">
        <f t="shared" si="6"/>
        <v>0</v>
      </c>
      <c r="I47" s="8">
        <f t="shared" si="1"/>
        <v>144690</v>
      </c>
      <c r="J47" s="8"/>
      <c r="K47" s="16"/>
      <c r="L47" s="16"/>
      <c r="M47" s="8">
        <v>311640</v>
      </c>
      <c r="N47" s="16" t="s">
        <v>5238</v>
      </c>
    </row>
    <row r="48" spans="1:14" ht="30" x14ac:dyDescent="0.25">
      <c r="A48" s="16" t="s">
        <v>5184</v>
      </c>
      <c r="B48" s="8">
        <v>245000</v>
      </c>
      <c r="C48" s="8">
        <f t="shared" si="4"/>
        <v>0</v>
      </c>
      <c r="D48" s="8"/>
      <c r="E48" s="14">
        <f t="shared" si="2"/>
        <v>0</v>
      </c>
      <c r="F48" s="8">
        <v>245000</v>
      </c>
      <c r="G48" s="8">
        <v>0</v>
      </c>
      <c r="H48" s="14">
        <f t="shared" si="6"/>
        <v>245000</v>
      </c>
      <c r="I48" s="8">
        <f t="shared" si="1"/>
        <v>245000</v>
      </c>
      <c r="J48" s="14">
        <v>102100</v>
      </c>
      <c r="K48" s="16" t="s">
        <v>1328</v>
      </c>
      <c r="L48" s="16" t="s">
        <v>1330</v>
      </c>
      <c r="M48" s="8"/>
      <c r="N48" s="16"/>
    </row>
    <row r="49" spans="1:14" x14ac:dyDescent="0.25">
      <c r="A49" s="16"/>
      <c r="B49" s="8"/>
      <c r="C49" s="8"/>
      <c r="D49" s="8"/>
      <c r="E49" s="14"/>
      <c r="F49" s="8"/>
      <c r="G49" s="8"/>
      <c r="H49" s="14"/>
      <c r="I49" s="8"/>
      <c r="J49" s="8">
        <v>179950</v>
      </c>
      <c r="K49" s="16" t="s">
        <v>66</v>
      </c>
      <c r="L49" s="16" t="s">
        <v>66</v>
      </c>
      <c r="M49" s="8"/>
      <c r="N49" s="16"/>
    </row>
    <row r="50" spans="1:14" x14ac:dyDescent="0.25">
      <c r="A50" s="8" t="s">
        <v>5196</v>
      </c>
      <c r="B50" s="8">
        <v>18000</v>
      </c>
      <c r="C50" s="8">
        <f t="shared" si="4"/>
        <v>18000</v>
      </c>
      <c r="D50" s="8">
        <v>0</v>
      </c>
      <c r="E50" s="14">
        <f t="shared" si="2"/>
        <v>18000</v>
      </c>
      <c r="F50" s="8">
        <v>0</v>
      </c>
      <c r="G50" s="8">
        <v>0</v>
      </c>
      <c r="H50" s="14">
        <f t="shared" si="6"/>
        <v>0</v>
      </c>
      <c r="I50" s="8">
        <f t="shared" si="1"/>
        <v>18000</v>
      </c>
      <c r="J50" s="8"/>
      <c r="K50" s="16"/>
      <c r="L50" s="16"/>
      <c r="M50" s="8"/>
      <c r="N50" s="16"/>
    </row>
    <row r="51" spans="1:14" ht="45" x14ac:dyDescent="0.25">
      <c r="A51" s="16" t="s">
        <v>2774</v>
      </c>
      <c r="B51" s="8">
        <v>502000</v>
      </c>
      <c r="C51" s="8">
        <f t="shared" si="4"/>
        <v>184000</v>
      </c>
      <c r="D51" s="8">
        <v>184000</v>
      </c>
      <c r="E51" s="14">
        <f t="shared" si="2"/>
        <v>0</v>
      </c>
      <c r="F51" s="8">
        <v>318000</v>
      </c>
      <c r="G51" s="8">
        <v>0</v>
      </c>
      <c r="H51" s="14">
        <f t="shared" si="6"/>
        <v>318000</v>
      </c>
      <c r="I51" s="8">
        <f t="shared" si="1"/>
        <v>318000</v>
      </c>
      <c r="J51" s="8">
        <v>188300</v>
      </c>
      <c r="K51" s="16" t="s">
        <v>502</v>
      </c>
      <c r="L51" s="16" t="s">
        <v>5214</v>
      </c>
      <c r="M51" s="8">
        <f>49000+99000</f>
        <v>148000</v>
      </c>
      <c r="N51" s="16" t="s">
        <v>5239</v>
      </c>
    </row>
    <row r="52" spans="1:14" x14ac:dyDescent="0.25">
      <c r="A52" s="16"/>
      <c r="B52" s="8"/>
      <c r="C52" s="8"/>
      <c r="D52" s="8"/>
      <c r="E52" s="14"/>
      <c r="F52" s="8"/>
      <c r="G52" s="8"/>
      <c r="H52" s="14"/>
      <c r="I52" s="8"/>
      <c r="J52" s="8">
        <v>98900</v>
      </c>
      <c r="K52" s="16" t="s">
        <v>66</v>
      </c>
      <c r="L52" s="16" t="s">
        <v>77</v>
      </c>
      <c r="M52" s="8"/>
      <c r="N52" s="16"/>
    </row>
    <row r="53" spans="1:14" ht="30" x14ac:dyDescent="0.25">
      <c r="A53" s="16" t="s">
        <v>5215</v>
      </c>
      <c r="B53" s="8">
        <v>341000</v>
      </c>
      <c r="C53" s="8">
        <f t="shared" si="4"/>
        <v>0</v>
      </c>
      <c r="D53" s="8">
        <v>0</v>
      </c>
      <c r="E53" s="14">
        <f t="shared" si="2"/>
        <v>0</v>
      </c>
      <c r="F53" s="8">
        <v>341000</v>
      </c>
      <c r="G53" s="8">
        <v>205000</v>
      </c>
      <c r="H53" s="14">
        <f t="shared" si="6"/>
        <v>136000</v>
      </c>
      <c r="I53" s="8">
        <f t="shared" si="1"/>
        <v>136000</v>
      </c>
      <c r="J53" s="8">
        <v>89000</v>
      </c>
      <c r="K53" s="16" t="s">
        <v>66</v>
      </c>
      <c r="L53" s="16" t="s">
        <v>77</v>
      </c>
      <c r="M53" s="8">
        <v>15000</v>
      </c>
      <c r="N53" s="16" t="s">
        <v>5231</v>
      </c>
    </row>
    <row r="54" spans="1:14" ht="30" x14ac:dyDescent="0.25">
      <c r="A54" s="16" t="s">
        <v>5216</v>
      </c>
      <c r="B54" s="8">
        <v>211000</v>
      </c>
      <c r="C54" s="8">
        <f t="shared" si="4"/>
        <v>106000</v>
      </c>
      <c r="D54" s="8">
        <v>106000</v>
      </c>
      <c r="E54" s="14">
        <f t="shared" si="2"/>
        <v>0</v>
      </c>
      <c r="F54" s="8">
        <v>105000</v>
      </c>
      <c r="G54" s="8">
        <v>0</v>
      </c>
      <c r="H54" s="14">
        <f t="shared" si="6"/>
        <v>105000</v>
      </c>
      <c r="I54" s="8">
        <f t="shared" si="1"/>
        <v>105000</v>
      </c>
      <c r="J54" s="8">
        <v>84000</v>
      </c>
      <c r="K54" s="16" t="s">
        <v>1305</v>
      </c>
      <c r="L54" s="16" t="s">
        <v>1306</v>
      </c>
      <c r="M54" s="8"/>
      <c r="N54" s="16"/>
    </row>
    <row r="55" spans="1:14" x14ac:dyDescent="0.25">
      <c r="A55" s="8" t="s">
        <v>5225</v>
      </c>
      <c r="B55" s="8">
        <v>10000</v>
      </c>
      <c r="C55" s="8">
        <f t="shared" si="4"/>
        <v>10000</v>
      </c>
      <c r="D55" s="8">
        <v>0</v>
      </c>
      <c r="E55" s="14">
        <f t="shared" si="2"/>
        <v>10000</v>
      </c>
      <c r="F55" s="8">
        <v>0</v>
      </c>
      <c r="G55" s="8">
        <v>0</v>
      </c>
      <c r="H55" s="14">
        <f t="shared" si="6"/>
        <v>0</v>
      </c>
      <c r="I55" s="8">
        <f t="shared" si="1"/>
        <v>10000</v>
      </c>
      <c r="J55" s="8"/>
      <c r="K55" s="16"/>
      <c r="L55" s="16"/>
      <c r="M55" s="8"/>
      <c r="N55" s="16"/>
    </row>
    <row r="56" spans="1:14" x14ac:dyDescent="0.25">
      <c r="A56" s="16" t="s">
        <v>2760</v>
      </c>
      <c r="B56" s="8">
        <v>780000</v>
      </c>
      <c r="C56" s="8">
        <f t="shared" si="4"/>
        <v>118000</v>
      </c>
      <c r="D56" s="8">
        <v>118000</v>
      </c>
      <c r="E56" s="14">
        <f t="shared" si="2"/>
        <v>0</v>
      </c>
      <c r="F56" s="8">
        <v>662000</v>
      </c>
      <c r="G56" s="8">
        <v>368000</v>
      </c>
      <c r="H56" s="14">
        <f t="shared" si="6"/>
        <v>294000</v>
      </c>
      <c r="I56" s="8">
        <f t="shared" si="1"/>
        <v>294000</v>
      </c>
      <c r="J56" s="8">
        <v>370600</v>
      </c>
      <c r="K56" s="16" t="s">
        <v>66</v>
      </c>
      <c r="L56" s="16" t="s">
        <v>77</v>
      </c>
      <c r="M56" s="8">
        <v>30000</v>
      </c>
      <c r="N56" s="16" t="s">
        <v>5230</v>
      </c>
    </row>
    <row r="57" spans="1:14" x14ac:dyDescent="0.25">
      <c r="A57" s="16" t="s">
        <v>2871</v>
      </c>
      <c r="B57" s="8">
        <v>308000</v>
      </c>
      <c r="C57" s="8">
        <f t="shared" si="4"/>
        <v>148000</v>
      </c>
      <c r="D57" s="8">
        <v>148000</v>
      </c>
      <c r="E57" s="14">
        <f t="shared" si="2"/>
        <v>0</v>
      </c>
      <c r="F57" s="8">
        <v>160000</v>
      </c>
      <c r="G57" s="8">
        <v>0</v>
      </c>
      <c r="H57" s="14">
        <f t="shared" si="6"/>
        <v>160000</v>
      </c>
      <c r="I57" s="8">
        <f t="shared" si="1"/>
        <v>160000</v>
      </c>
      <c r="J57" s="8">
        <v>148700</v>
      </c>
      <c r="K57" s="16" t="s">
        <v>66</v>
      </c>
      <c r="L57" s="16" t="s">
        <v>77</v>
      </c>
      <c r="M57" s="8"/>
      <c r="N57" s="16"/>
    </row>
    <row r="58" spans="1:14" ht="30" x14ac:dyDescent="0.25">
      <c r="A58" s="16" t="s">
        <v>5226</v>
      </c>
      <c r="B58" s="8">
        <v>852600</v>
      </c>
      <c r="C58" s="8">
        <f t="shared" si="4"/>
        <v>852600</v>
      </c>
      <c r="D58" s="8">
        <v>841708</v>
      </c>
      <c r="E58" s="14">
        <f t="shared" si="2"/>
        <v>10892</v>
      </c>
      <c r="F58" s="8">
        <v>0</v>
      </c>
      <c r="G58" s="8">
        <v>0</v>
      </c>
      <c r="H58" s="14">
        <f t="shared" si="6"/>
        <v>0</v>
      </c>
      <c r="I58" s="8">
        <f t="shared" si="1"/>
        <v>10892</v>
      </c>
      <c r="J58" s="8"/>
      <c r="K58" s="16"/>
      <c r="L58" s="16"/>
      <c r="M58" s="8"/>
      <c r="N58" s="16"/>
    </row>
    <row r="59" spans="1:14" x14ac:dyDescent="0.25">
      <c r="A59" s="16" t="s">
        <v>5217</v>
      </c>
      <c r="B59" s="8">
        <v>700000</v>
      </c>
      <c r="C59" s="8">
        <f t="shared" si="4"/>
        <v>480200</v>
      </c>
      <c r="D59" s="8">
        <v>480200</v>
      </c>
      <c r="E59" s="14">
        <f t="shared" si="2"/>
        <v>0</v>
      </c>
      <c r="F59" s="8">
        <v>219800</v>
      </c>
      <c r="G59" s="8">
        <v>210972</v>
      </c>
      <c r="H59" s="14">
        <f t="shared" si="6"/>
        <v>8828</v>
      </c>
      <c r="I59" s="8">
        <f t="shared" si="1"/>
        <v>8828</v>
      </c>
      <c r="J59" s="8"/>
      <c r="K59" s="16"/>
      <c r="L59" s="16"/>
      <c r="M59" s="8"/>
      <c r="N59" s="16"/>
    </row>
    <row r="60" spans="1:14" ht="30" x14ac:dyDescent="0.25">
      <c r="A60" s="16"/>
      <c r="B60" s="8"/>
      <c r="C60" s="8"/>
      <c r="D60" s="8"/>
      <c r="E60" s="14"/>
      <c r="F60" s="8"/>
      <c r="G60" s="8"/>
      <c r="H60" s="14"/>
      <c r="I60" s="8"/>
      <c r="J60" s="8"/>
      <c r="K60" s="16"/>
      <c r="L60" s="16"/>
      <c r="M60" s="8">
        <v>-110000</v>
      </c>
      <c r="N60" s="16" t="s">
        <v>5244</v>
      </c>
    </row>
    <row r="61" spans="1:14" ht="45" x14ac:dyDescent="0.25">
      <c r="A61" s="16"/>
      <c r="B61" s="8"/>
      <c r="C61" s="8"/>
      <c r="D61" s="8"/>
      <c r="E61" s="14"/>
      <c r="F61" s="8"/>
      <c r="G61" s="8"/>
      <c r="H61" s="14"/>
      <c r="I61" s="8"/>
      <c r="J61" s="8"/>
      <c r="K61" s="16"/>
      <c r="L61" s="16"/>
      <c r="M61" s="8">
        <v>-51000</v>
      </c>
      <c r="N61" s="16" t="s">
        <v>5243</v>
      </c>
    </row>
    <row r="62" spans="1:14" s="7" customFormat="1" x14ac:dyDescent="0.25">
      <c r="A62" s="18"/>
      <c r="B62" s="15">
        <f>SUM(B2:B61)</f>
        <v>56673862</v>
      </c>
      <c r="C62" s="15">
        <f t="shared" ref="C62:J62" si="7">SUM(C2:C61)</f>
        <v>39832062</v>
      </c>
      <c r="D62" s="15">
        <f t="shared" si="7"/>
        <v>35981888</v>
      </c>
      <c r="E62" s="15">
        <f t="shared" si="7"/>
        <v>3850174</v>
      </c>
      <c r="F62" s="15">
        <f t="shared" si="7"/>
        <v>16841800</v>
      </c>
      <c r="G62" s="15">
        <f t="shared" si="7"/>
        <v>10193472</v>
      </c>
      <c r="H62" s="15">
        <f t="shared" si="7"/>
        <v>6648328</v>
      </c>
      <c r="I62" s="15">
        <f t="shared" si="7"/>
        <v>10498502</v>
      </c>
      <c r="J62" s="22">
        <f t="shared" si="7"/>
        <v>6500150</v>
      </c>
      <c r="K62" s="18"/>
      <c r="L62" s="18"/>
      <c r="M62" s="22">
        <f>SUM(M2:M59)</f>
        <v>820560</v>
      </c>
      <c r="N62" s="18"/>
    </row>
  </sheetData>
  <printOptions horizontalCentered="1" verticalCentered="1"/>
  <pageMargins left="0" right="0" top="0" bottom="0" header="0" footer="0"/>
  <pageSetup paperSize="9" scale="6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workbookViewId="0">
      <pane xSplit="5" ySplit="1" topLeftCell="X2" activePane="bottomRight" state="frozen"/>
      <selection pane="topRight" activeCell="F1" sqref="F1"/>
      <selection pane="bottomLeft" activeCell="A2" sqref="A2"/>
      <selection pane="bottomRight" activeCell="AI4" sqref="AI4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49</v>
      </c>
      <c r="B2" s="3">
        <v>43064</v>
      </c>
      <c r="C2" t="s">
        <v>50</v>
      </c>
      <c r="D2" t="s">
        <v>51</v>
      </c>
      <c r="E2" t="s">
        <v>51</v>
      </c>
      <c r="F2">
        <v>148000</v>
      </c>
      <c r="G2" t="s">
        <v>52</v>
      </c>
      <c r="H2" s="3">
        <v>43064</v>
      </c>
      <c r="I2" t="s">
        <v>53</v>
      </c>
      <c r="J2">
        <v>138000</v>
      </c>
      <c r="K2" s="1"/>
      <c r="M2" s="3">
        <v>43067</v>
      </c>
      <c r="N2" t="s">
        <v>54</v>
      </c>
      <c r="O2" t="s">
        <v>55</v>
      </c>
      <c r="P2" t="s">
        <v>56</v>
      </c>
      <c r="Q2">
        <v>114000</v>
      </c>
      <c r="R2" s="3">
        <v>43067</v>
      </c>
      <c r="S2" t="s">
        <v>57</v>
      </c>
      <c r="T2" t="s">
        <v>58</v>
      </c>
      <c r="U2" t="s">
        <v>56</v>
      </c>
      <c r="V2">
        <v>3000</v>
      </c>
      <c r="W2" s="3">
        <v>43167</v>
      </c>
      <c r="X2" t="s">
        <v>54</v>
      </c>
      <c r="Y2" t="s">
        <v>59</v>
      </c>
      <c r="Z2" t="s">
        <v>60</v>
      </c>
      <c r="AA2">
        <v>19700</v>
      </c>
      <c r="AG2" t="s">
        <v>61</v>
      </c>
      <c r="AH2" s="3">
        <v>43097</v>
      </c>
      <c r="AI2">
        <v>74000</v>
      </c>
      <c r="AJ2">
        <v>0</v>
      </c>
      <c r="AS2" t="s">
        <v>62</v>
      </c>
      <c r="AT2" s="3">
        <v>43064</v>
      </c>
      <c r="AU2">
        <v>74000</v>
      </c>
      <c r="AV2">
        <v>0</v>
      </c>
      <c r="AW2">
        <v>0</v>
      </c>
      <c r="AX2">
        <v>0</v>
      </c>
      <c r="AY2" t="s">
        <v>63</v>
      </c>
      <c r="AZ2" s="3">
        <v>43103</v>
      </c>
      <c r="BA2">
        <v>71040</v>
      </c>
      <c r="BB2">
        <v>0</v>
      </c>
      <c r="BC2">
        <v>2960</v>
      </c>
      <c r="BD2">
        <v>0</v>
      </c>
    </row>
    <row r="3" spans="1:74" x14ac:dyDescent="0.25">
      <c r="A3" s="4" t="s">
        <v>64</v>
      </c>
      <c r="B3" s="3">
        <v>43144</v>
      </c>
      <c r="C3" t="s">
        <v>50</v>
      </c>
      <c r="D3" t="s">
        <v>51</v>
      </c>
      <c r="E3" t="s">
        <v>51</v>
      </c>
      <c r="F3">
        <v>130000</v>
      </c>
      <c r="G3" t="s">
        <v>65</v>
      </c>
      <c r="H3" s="3">
        <v>43144</v>
      </c>
      <c r="I3" t="s">
        <v>66</v>
      </c>
      <c r="J3">
        <v>117000</v>
      </c>
      <c r="K3" s="1" t="s">
        <v>67</v>
      </c>
      <c r="M3" s="3">
        <v>43146</v>
      </c>
      <c r="N3" t="s">
        <v>54</v>
      </c>
      <c r="O3" t="s">
        <v>68</v>
      </c>
      <c r="P3" t="s">
        <v>56</v>
      </c>
      <c r="Q3">
        <v>94200</v>
      </c>
      <c r="R3" s="3">
        <v>43195</v>
      </c>
      <c r="S3" t="s">
        <v>54</v>
      </c>
      <c r="T3" t="s">
        <v>69</v>
      </c>
      <c r="U3" t="s">
        <v>60</v>
      </c>
      <c r="V3">
        <v>21500</v>
      </c>
      <c r="AG3" s="5" t="s">
        <v>70</v>
      </c>
      <c r="AH3" s="3">
        <v>43190</v>
      </c>
      <c r="AI3" s="7">
        <v>130000</v>
      </c>
      <c r="AJ3">
        <v>0</v>
      </c>
      <c r="AS3" t="s">
        <v>71</v>
      </c>
      <c r="AT3" s="3">
        <v>43297</v>
      </c>
      <c r="AU3">
        <v>130000</v>
      </c>
      <c r="AV3">
        <v>0</v>
      </c>
      <c r="AW3">
        <v>0</v>
      </c>
      <c r="AX3">
        <v>0</v>
      </c>
      <c r="BQ3" t="s">
        <v>72</v>
      </c>
      <c r="BR3" t="s">
        <v>73</v>
      </c>
    </row>
    <row r="4" spans="1:74" x14ac:dyDescent="0.25">
      <c r="A4" s="4" t="s">
        <v>74</v>
      </c>
      <c r="B4" s="3">
        <v>43297</v>
      </c>
      <c r="C4" t="s">
        <v>75</v>
      </c>
      <c r="D4" t="s">
        <v>51</v>
      </c>
      <c r="E4" t="s">
        <v>51</v>
      </c>
      <c r="F4">
        <v>98000</v>
      </c>
      <c r="G4" t="s">
        <v>76</v>
      </c>
      <c r="H4" s="3">
        <v>43297</v>
      </c>
      <c r="I4" t="s">
        <v>66</v>
      </c>
      <c r="J4">
        <v>90000</v>
      </c>
      <c r="K4" s="1" t="s">
        <v>67</v>
      </c>
      <c r="M4" s="3">
        <v>43297</v>
      </c>
      <c r="N4" t="s">
        <v>54</v>
      </c>
      <c r="O4" t="s">
        <v>77</v>
      </c>
      <c r="P4" t="s">
        <v>56</v>
      </c>
      <c r="Q4">
        <v>74200</v>
      </c>
      <c r="R4" s="3">
        <v>43360</v>
      </c>
      <c r="S4" t="s">
        <v>54</v>
      </c>
      <c r="T4" t="s">
        <v>77</v>
      </c>
      <c r="U4" t="s">
        <v>60</v>
      </c>
      <c r="V4">
        <v>14500</v>
      </c>
      <c r="AG4" s="5" t="s">
        <v>78</v>
      </c>
      <c r="AH4" s="3">
        <v>43360</v>
      </c>
      <c r="AI4" s="7">
        <v>98000</v>
      </c>
      <c r="AJ4" s="6">
        <v>98000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69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2" sqref="E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1998</v>
      </c>
      <c r="B2" s="3">
        <v>42444</v>
      </c>
      <c r="C2" t="s">
        <v>87</v>
      </c>
      <c r="D2" t="s">
        <v>111</v>
      </c>
      <c r="E2" t="s">
        <v>1999</v>
      </c>
      <c r="F2">
        <v>5295</v>
      </c>
      <c r="G2" t="s">
        <v>2000</v>
      </c>
      <c r="H2" s="3">
        <v>42444</v>
      </c>
      <c r="I2" t="s">
        <v>91</v>
      </c>
      <c r="J2">
        <v>4000</v>
      </c>
      <c r="K2" s="1"/>
      <c r="M2" s="3">
        <v>42444</v>
      </c>
      <c r="N2" t="s">
        <v>57</v>
      </c>
      <c r="P2" t="s">
        <v>56</v>
      </c>
      <c r="Q2">
        <v>2900</v>
      </c>
      <c r="R2" s="3">
        <v>42455</v>
      </c>
      <c r="S2" t="s">
        <v>57</v>
      </c>
      <c r="U2" t="s">
        <v>60</v>
      </c>
      <c r="V2">
        <v>970</v>
      </c>
      <c r="AG2" t="s">
        <v>2001</v>
      </c>
      <c r="AH2" s="3">
        <v>42467</v>
      </c>
      <c r="AI2">
        <v>5295</v>
      </c>
      <c r="AJ2">
        <v>0</v>
      </c>
      <c r="AS2" t="s">
        <v>2002</v>
      </c>
      <c r="AT2" s="3">
        <v>42539</v>
      </c>
      <c r="AU2">
        <v>5191</v>
      </c>
      <c r="AV2">
        <v>0</v>
      </c>
      <c r="AW2">
        <v>104</v>
      </c>
      <c r="AX2">
        <v>0</v>
      </c>
    </row>
    <row r="3" spans="1:74" x14ac:dyDescent="0.25">
      <c r="A3" t="s">
        <v>2003</v>
      </c>
      <c r="B3" s="3">
        <v>42448</v>
      </c>
      <c r="C3" t="s">
        <v>87</v>
      </c>
      <c r="D3" t="s">
        <v>88</v>
      </c>
      <c r="E3" t="s">
        <v>1999</v>
      </c>
      <c r="F3">
        <v>6495</v>
      </c>
      <c r="G3" t="s">
        <v>2004</v>
      </c>
      <c r="H3" s="3">
        <v>42448</v>
      </c>
      <c r="I3" t="s">
        <v>107</v>
      </c>
      <c r="J3">
        <v>4700</v>
      </c>
      <c r="K3" s="1"/>
      <c r="M3" s="3">
        <v>42448</v>
      </c>
      <c r="N3" t="s">
        <v>57</v>
      </c>
      <c r="P3" t="s">
        <v>56</v>
      </c>
      <c r="Q3">
        <v>3600</v>
      </c>
      <c r="R3" s="3">
        <v>42469</v>
      </c>
      <c r="S3" t="s">
        <v>57</v>
      </c>
      <c r="U3" t="s">
        <v>60</v>
      </c>
      <c r="V3">
        <v>970</v>
      </c>
      <c r="AG3" t="s">
        <v>2005</v>
      </c>
      <c r="AH3" s="3">
        <v>42467</v>
      </c>
      <c r="AI3">
        <v>6495</v>
      </c>
      <c r="AJ3">
        <v>0</v>
      </c>
      <c r="AS3" t="s">
        <v>2002</v>
      </c>
      <c r="AT3" s="3">
        <v>42539</v>
      </c>
      <c r="AU3">
        <v>6366</v>
      </c>
      <c r="AV3">
        <v>0</v>
      </c>
      <c r="AW3">
        <v>129</v>
      </c>
      <c r="AX3">
        <v>0</v>
      </c>
    </row>
    <row r="4" spans="1:74" x14ac:dyDescent="0.25">
      <c r="A4" t="s">
        <v>2006</v>
      </c>
      <c r="B4" s="3">
        <v>42460</v>
      </c>
      <c r="C4" t="s">
        <v>87</v>
      </c>
      <c r="D4" t="s">
        <v>2007</v>
      </c>
      <c r="E4" t="s">
        <v>1999</v>
      </c>
      <c r="F4">
        <v>10000</v>
      </c>
      <c r="G4" t="s">
        <v>2008</v>
      </c>
      <c r="H4" s="3">
        <v>42460</v>
      </c>
      <c r="I4" t="s">
        <v>2009</v>
      </c>
      <c r="J4">
        <v>5500</v>
      </c>
      <c r="K4" s="1"/>
      <c r="M4" s="3">
        <v>42460</v>
      </c>
      <c r="N4" t="s">
        <v>57</v>
      </c>
      <c r="P4" t="s">
        <v>56</v>
      </c>
      <c r="Q4">
        <v>4400</v>
      </c>
      <c r="R4" s="3">
        <v>42461</v>
      </c>
      <c r="S4" t="s">
        <v>57</v>
      </c>
      <c r="U4" t="s">
        <v>60</v>
      </c>
      <c r="V4">
        <v>970</v>
      </c>
      <c r="AG4" t="s">
        <v>2010</v>
      </c>
      <c r="AH4" s="3">
        <v>42467</v>
      </c>
      <c r="AI4">
        <v>10000</v>
      </c>
      <c r="AJ4">
        <v>0</v>
      </c>
      <c r="AS4" t="s">
        <v>2002</v>
      </c>
      <c r="AT4" s="3">
        <v>42539</v>
      </c>
      <c r="AU4">
        <v>9800</v>
      </c>
      <c r="AV4">
        <v>0</v>
      </c>
      <c r="AW4">
        <v>200</v>
      </c>
      <c r="AX4">
        <v>0</v>
      </c>
    </row>
    <row r="5" spans="1:74" x14ac:dyDescent="0.25">
      <c r="A5" t="s">
        <v>86</v>
      </c>
      <c r="B5" s="3">
        <v>42584</v>
      </c>
      <c r="C5" t="s">
        <v>87</v>
      </c>
      <c r="D5" t="s">
        <v>88</v>
      </c>
      <c r="E5" t="s">
        <v>89</v>
      </c>
      <c r="F5">
        <v>6498</v>
      </c>
      <c r="G5" t="s">
        <v>90</v>
      </c>
      <c r="H5" s="3">
        <v>42584</v>
      </c>
      <c r="I5" t="s">
        <v>91</v>
      </c>
      <c r="J5">
        <v>4500</v>
      </c>
      <c r="K5" s="1"/>
      <c r="M5" s="3">
        <v>42584</v>
      </c>
      <c r="N5" t="s">
        <v>57</v>
      </c>
      <c r="P5" t="s">
        <v>56</v>
      </c>
      <c r="Q5">
        <v>3300</v>
      </c>
      <c r="R5" s="3">
        <v>42621</v>
      </c>
      <c r="S5" t="s">
        <v>57</v>
      </c>
      <c r="U5" t="s">
        <v>60</v>
      </c>
      <c r="V5">
        <v>970</v>
      </c>
      <c r="AG5" t="s">
        <v>92</v>
      </c>
      <c r="AH5" s="3">
        <v>42620</v>
      </c>
      <c r="AI5">
        <v>6498</v>
      </c>
      <c r="AJ5">
        <v>0</v>
      </c>
      <c r="AS5" t="s">
        <v>93</v>
      </c>
      <c r="AT5" s="3">
        <v>42685</v>
      </c>
      <c r="AU5">
        <v>6368</v>
      </c>
      <c r="AV5">
        <v>0</v>
      </c>
      <c r="AW5">
        <v>130</v>
      </c>
      <c r="AX5">
        <v>0</v>
      </c>
    </row>
    <row r="6" spans="1:74" x14ac:dyDescent="0.25">
      <c r="A6" t="s">
        <v>94</v>
      </c>
      <c r="B6" s="3">
        <v>42595</v>
      </c>
      <c r="C6" t="s">
        <v>87</v>
      </c>
      <c r="D6" t="s">
        <v>95</v>
      </c>
      <c r="E6" t="s">
        <v>89</v>
      </c>
      <c r="F6">
        <v>5295</v>
      </c>
      <c r="G6" t="s">
        <v>96</v>
      </c>
      <c r="H6" s="3">
        <v>42595</v>
      </c>
      <c r="I6" t="s">
        <v>91</v>
      </c>
      <c r="J6">
        <v>4000</v>
      </c>
      <c r="K6" s="1"/>
      <c r="M6" s="3">
        <v>42595</v>
      </c>
      <c r="N6" t="s">
        <v>57</v>
      </c>
      <c r="P6" t="s">
        <v>56</v>
      </c>
      <c r="Q6">
        <v>2900</v>
      </c>
      <c r="R6" s="3">
        <v>42621</v>
      </c>
      <c r="S6" t="s">
        <v>57</v>
      </c>
      <c r="U6" t="s">
        <v>60</v>
      </c>
      <c r="V6">
        <v>970</v>
      </c>
      <c r="AG6" t="s">
        <v>97</v>
      </c>
      <c r="AH6" s="3">
        <v>42620</v>
      </c>
      <c r="AI6">
        <v>5295</v>
      </c>
      <c r="AJ6">
        <v>0</v>
      </c>
      <c r="AS6" t="s">
        <v>93</v>
      </c>
      <c r="AT6" s="3">
        <v>42685</v>
      </c>
      <c r="AU6">
        <v>5189</v>
      </c>
      <c r="AV6">
        <v>0</v>
      </c>
      <c r="AW6">
        <v>106</v>
      </c>
      <c r="AX6">
        <v>0</v>
      </c>
    </row>
    <row r="7" spans="1:74" x14ac:dyDescent="0.25">
      <c r="A7" t="s">
        <v>98</v>
      </c>
      <c r="B7" s="3">
        <v>42604</v>
      </c>
      <c r="C7" t="s">
        <v>87</v>
      </c>
      <c r="D7" t="s">
        <v>88</v>
      </c>
      <c r="E7" t="s">
        <v>89</v>
      </c>
      <c r="F7">
        <v>6498</v>
      </c>
      <c r="G7" t="s">
        <v>99</v>
      </c>
      <c r="H7" s="3">
        <v>42604</v>
      </c>
      <c r="I7" t="s">
        <v>91</v>
      </c>
      <c r="J7">
        <v>4700</v>
      </c>
      <c r="K7" s="1"/>
      <c r="M7" s="3">
        <v>42604</v>
      </c>
      <c r="N7" t="s">
        <v>57</v>
      </c>
      <c r="P7" t="s">
        <v>56</v>
      </c>
      <c r="Q7">
        <v>3600</v>
      </c>
      <c r="R7" s="3">
        <v>42621</v>
      </c>
      <c r="S7" t="s">
        <v>57</v>
      </c>
      <c r="U7" t="s">
        <v>60</v>
      </c>
      <c r="V7">
        <v>970</v>
      </c>
      <c r="AG7" t="s">
        <v>100</v>
      </c>
      <c r="AH7" s="3">
        <v>42620</v>
      </c>
      <c r="AI7">
        <v>6498</v>
      </c>
      <c r="AJ7">
        <v>0</v>
      </c>
      <c r="AS7" t="s">
        <v>93</v>
      </c>
      <c r="AT7" s="3">
        <v>42685</v>
      </c>
      <c r="AU7">
        <v>6368</v>
      </c>
      <c r="AV7">
        <v>0</v>
      </c>
      <c r="AW7">
        <v>130</v>
      </c>
      <c r="AX7">
        <v>0</v>
      </c>
    </row>
    <row r="8" spans="1:74" x14ac:dyDescent="0.25">
      <c r="A8" t="s">
        <v>101</v>
      </c>
      <c r="B8" s="3">
        <v>42630</v>
      </c>
      <c r="C8" t="s">
        <v>87</v>
      </c>
      <c r="D8" t="s">
        <v>102</v>
      </c>
      <c r="E8" t="s">
        <v>89</v>
      </c>
      <c r="F8">
        <v>6950</v>
      </c>
      <c r="G8" t="s">
        <v>103</v>
      </c>
      <c r="H8" s="3">
        <v>42630</v>
      </c>
      <c r="I8" t="s">
        <v>91</v>
      </c>
      <c r="J8">
        <v>5000</v>
      </c>
      <c r="K8" s="1"/>
      <c r="M8" s="3">
        <v>42630</v>
      </c>
      <c r="N8" t="s">
        <v>57</v>
      </c>
      <c r="P8" t="s">
        <v>56</v>
      </c>
      <c r="Q8">
        <v>3850</v>
      </c>
      <c r="R8" s="3">
        <v>42640</v>
      </c>
      <c r="S8" t="s">
        <v>57</v>
      </c>
      <c r="U8" t="s">
        <v>60</v>
      </c>
      <c r="V8">
        <v>970</v>
      </c>
      <c r="AG8" t="s">
        <v>104</v>
      </c>
      <c r="AH8" s="3">
        <v>42640</v>
      </c>
      <c r="AI8">
        <v>6950</v>
      </c>
      <c r="AJ8">
        <v>0</v>
      </c>
      <c r="AS8" t="s">
        <v>93</v>
      </c>
      <c r="AT8" s="3">
        <v>42685</v>
      </c>
      <c r="AU8">
        <v>6811</v>
      </c>
      <c r="AV8">
        <v>0</v>
      </c>
      <c r="AW8">
        <v>139</v>
      </c>
      <c r="AX8">
        <v>0</v>
      </c>
    </row>
    <row r="9" spans="1:74" x14ac:dyDescent="0.25">
      <c r="A9" t="s">
        <v>105</v>
      </c>
      <c r="B9" s="3">
        <v>42689</v>
      </c>
      <c r="C9" t="s">
        <v>87</v>
      </c>
      <c r="D9" t="s">
        <v>102</v>
      </c>
      <c r="E9" t="s">
        <v>89</v>
      </c>
      <c r="F9">
        <v>6950</v>
      </c>
      <c r="G9" t="s">
        <v>106</v>
      </c>
      <c r="H9" s="3">
        <v>42689</v>
      </c>
      <c r="I9" t="s">
        <v>107</v>
      </c>
      <c r="J9">
        <v>5500</v>
      </c>
      <c r="K9" s="1"/>
      <c r="M9" s="3">
        <v>42689</v>
      </c>
      <c r="N9" t="s">
        <v>57</v>
      </c>
      <c r="P9" t="s">
        <v>56</v>
      </c>
      <c r="Q9">
        <v>4400</v>
      </c>
      <c r="R9" s="3">
        <v>42721</v>
      </c>
      <c r="S9" t="s">
        <v>57</v>
      </c>
      <c r="U9" t="s">
        <v>60</v>
      </c>
      <c r="V9">
        <v>970</v>
      </c>
      <c r="AG9" t="s">
        <v>108</v>
      </c>
      <c r="AH9" s="3">
        <v>42720</v>
      </c>
      <c r="AI9">
        <v>6950</v>
      </c>
      <c r="AJ9">
        <v>0</v>
      </c>
      <c r="AS9" t="s">
        <v>109</v>
      </c>
      <c r="AT9" s="3">
        <v>42784</v>
      </c>
      <c r="AU9">
        <v>5859</v>
      </c>
      <c r="AV9">
        <v>0</v>
      </c>
      <c r="AW9">
        <v>1091</v>
      </c>
      <c r="AX9">
        <v>0</v>
      </c>
    </row>
    <row r="10" spans="1:74" x14ac:dyDescent="0.25">
      <c r="A10" t="s">
        <v>110</v>
      </c>
      <c r="B10" s="3">
        <v>42699</v>
      </c>
      <c r="C10" t="s">
        <v>87</v>
      </c>
      <c r="D10" t="s">
        <v>111</v>
      </c>
      <c r="E10" t="s">
        <v>89</v>
      </c>
      <c r="F10">
        <v>5295</v>
      </c>
      <c r="G10" t="s">
        <v>112</v>
      </c>
      <c r="H10" s="3">
        <v>42699</v>
      </c>
      <c r="I10" t="s">
        <v>107</v>
      </c>
      <c r="J10">
        <v>4000</v>
      </c>
      <c r="K10" s="1"/>
      <c r="M10" s="3">
        <v>42699</v>
      </c>
      <c r="N10" t="s">
        <v>57</v>
      </c>
      <c r="P10" t="s">
        <v>56</v>
      </c>
      <c r="Q10">
        <v>2850</v>
      </c>
      <c r="R10" s="3">
        <v>42721</v>
      </c>
      <c r="S10" t="s">
        <v>57</v>
      </c>
      <c r="U10" t="s">
        <v>60</v>
      </c>
      <c r="V10">
        <v>970</v>
      </c>
      <c r="AG10" t="s">
        <v>113</v>
      </c>
      <c r="AH10" s="3">
        <v>42720</v>
      </c>
      <c r="AI10">
        <v>5295</v>
      </c>
      <c r="AJ10">
        <v>0</v>
      </c>
      <c r="AS10" t="s">
        <v>109</v>
      </c>
      <c r="AT10" s="3">
        <v>42784</v>
      </c>
      <c r="AU10">
        <v>5295</v>
      </c>
      <c r="AV10">
        <v>0</v>
      </c>
      <c r="AW10">
        <v>0</v>
      </c>
      <c r="AX10">
        <v>0</v>
      </c>
    </row>
    <row r="11" spans="1:74" x14ac:dyDescent="0.25">
      <c r="A11" t="s">
        <v>114</v>
      </c>
      <c r="B11" s="3">
        <v>42730</v>
      </c>
      <c r="C11" t="s">
        <v>87</v>
      </c>
      <c r="D11" t="s">
        <v>88</v>
      </c>
      <c r="E11" t="s">
        <v>89</v>
      </c>
      <c r="F11">
        <v>6498</v>
      </c>
      <c r="G11" t="s">
        <v>115</v>
      </c>
      <c r="H11" s="3">
        <v>42730</v>
      </c>
      <c r="I11" t="s">
        <v>91</v>
      </c>
      <c r="J11">
        <v>5300</v>
      </c>
      <c r="K11" s="1"/>
      <c r="M11" s="3">
        <v>42730</v>
      </c>
      <c r="N11" t="s">
        <v>57</v>
      </c>
      <c r="P11" t="s">
        <v>56</v>
      </c>
      <c r="Q11">
        <v>4200</v>
      </c>
      <c r="R11" s="3">
        <v>42742</v>
      </c>
      <c r="S11" t="s">
        <v>57</v>
      </c>
      <c r="U11" t="s">
        <v>60</v>
      </c>
      <c r="V11">
        <v>950</v>
      </c>
      <c r="AG11" t="s">
        <v>116</v>
      </c>
      <c r="AH11" s="3">
        <v>42742</v>
      </c>
      <c r="AI11">
        <v>6498</v>
      </c>
      <c r="AJ11">
        <v>0</v>
      </c>
      <c r="AS11" t="s">
        <v>109</v>
      </c>
      <c r="AT11" s="3">
        <v>42784</v>
      </c>
      <c r="AU11">
        <v>6498</v>
      </c>
      <c r="AV11">
        <v>0</v>
      </c>
      <c r="AW11">
        <v>0</v>
      </c>
      <c r="AX11">
        <v>0</v>
      </c>
    </row>
    <row r="12" spans="1:74" x14ac:dyDescent="0.25">
      <c r="A12" t="s">
        <v>117</v>
      </c>
      <c r="B12" s="3">
        <v>42730</v>
      </c>
      <c r="C12" t="s">
        <v>87</v>
      </c>
      <c r="D12" t="s">
        <v>111</v>
      </c>
      <c r="E12" t="s">
        <v>89</v>
      </c>
      <c r="F12">
        <v>5295</v>
      </c>
      <c r="G12" t="s">
        <v>118</v>
      </c>
      <c r="H12" s="3">
        <v>42730</v>
      </c>
      <c r="I12" t="s">
        <v>91</v>
      </c>
      <c r="J12">
        <v>4200</v>
      </c>
      <c r="K12" s="1"/>
      <c r="M12" s="3">
        <v>42730</v>
      </c>
      <c r="N12" t="s">
        <v>57</v>
      </c>
      <c r="P12" t="s">
        <v>56</v>
      </c>
      <c r="Q12">
        <v>3100</v>
      </c>
      <c r="R12" s="3">
        <v>42742</v>
      </c>
      <c r="S12" t="s">
        <v>57</v>
      </c>
      <c r="U12" t="s">
        <v>60</v>
      </c>
      <c r="V12">
        <v>950</v>
      </c>
      <c r="AG12" t="s">
        <v>119</v>
      </c>
      <c r="AH12" s="3">
        <v>42742</v>
      </c>
      <c r="AI12">
        <v>5295</v>
      </c>
      <c r="AJ12">
        <v>0</v>
      </c>
      <c r="AS12" t="s">
        <v>109</v>
      </c>
      <c r="AT12" s="3">
        <v>42784</v>
      </c>
      <c r="AU12">
        <v>5295</v>
      </c>
      <c r="AV12">
        <v>0</v>
      </c>
      <c r="AW12">
        <v>0</v>
      </c>
      <c r="AX12">
        <v>0</v>
      </c>
    </row>
    <row r="13" spans="1:74" x14ac:dyDescent="0.25">
      <c r="A13" t="s">
        <v>120</v>
      </c>
      <c r="B13" s="3">
        <v>42730</v>
      </c>
      <c r="C13" t="s">
        <v>87</v>
      </c>
      <c r="D13" t="s">
        <v>121</v>
      </c>
      <c r="E13" t="s">
        <v>89</v>
      </c>
      <c r="F13">
        <v>6498</v>
      </c>
      <c r="G13" t="s">
        <v>122</v>
      </c>
      <c r="H13" s="3">
        <v>42730</v>
      </c>
      <c r="I13" t="s">
        <v>91</v>
      </c>
      <c r="J13">
        <v>5400</v>
      </c>
      <c r="K13" s="1">
        <v>1</v>
      </c>
      <c r="M13" s="3">
        <v>42730</v>
      </c>
      <c r="N13" t="s">
        <v>57</v>
      </c>
      <c r="P13" t="s">
        <v>56</v>
      </c>
      <c r="Q13">
        <v>4300</v>
      </c>
      <c r="R13" s="3">
        <v>42735</v>
      </c>
      <c r="S13" t="s">
        <v>57</v>
      </c>
      <c r="U13" t="s">
        <v>60</v>
      </c>
      <c r="V13">
        <v>970</v>
      </c>
      <c r="AG13" t="s">
        <v>123</v>
      </c>
      <c r="AH13" s="3">
        <v>42739</v>
      </c>
      <c r="AI13">
        <v>6498</v>
      </c>
      <c r="AJ13">
        <v>0</v>
      </c>
      <c r="AS13" t="s">
        <v>109</v>
      </c>
      <c r="AT13" s="3">
        <v>42784</v>
      </c>
      <c r="AU13">
        <v>19494</v>
      </c>
      <c r="AV13">
        <v>0</v>
      </c>
      <c r="AW13">
        <v>0</v>
      </c>
      <c r="AX13">
        <v>0</v>
      </c>
    </row>
    <row r="14" spans="1:74" x14ac:dyDescent="0.25">
      <c r="A14" t="s">
        <v>124</v>
      </c>
      <c r="B14" s="3">
        <v>42730</v>
      </c>
      <c r="C14" t="s">
        <v>87</v>
      </c>
      <c r="D14" t="s">
        <v>125</v>
      </c>
      <c r="E14" t="s">
        <v>89</v>
      </c>
      <c r="F14">
        <v>6950</v>
      </c>
      <c r="G14" t="s">
        <v>126</v>
      </c>
      <c r="H14" s="3">
        <v>42730</v>
      </c>
      <c r="I14" t="s">
        <v>91</v>
      </c>
      <c r="J14">
        <v>4550</v>
      </c>
      <c r="K14" s="1"/>
      <c r="M14" s="3">
        <v>42730</v>
      </c>
      <c r="N14" t="s">
        <v>57</v>
      </c>
      <c r="P14" t="s">
        <v>56</v>
      </c>
      <c r="Q14">
        <v>3450</v>
      </c>
      <c r="R14" s="3">
        <v>42742</v>
      </c>
      <c r="S14" t="s">
        <v>57</v>
      </c>
      <c r="U14" t="s">
        <v>60</v>
      </c>
      <c r="V14">
        <v>950</v>
      </c>
      <c r="AG14" t="s">
        <v>127</v>
      </c>
      <c r="AH14" s="3">
        <v>42742</v>
      </c>
      <c r="AI14">
        <v>6950</v>
      </c>
      <c r="AJ14">
        <v>0</v>
      </c>
      <c r="AS14" t="s">
        <v>109</v>
      </c>
      <c r="AT14" s="3">
        <v>42784</v>
      </c>
      <c r="AU14">
        <v>6950</v>
      </c>
      <c r="AV14">
        <v>0</v>
      </c>
      <c r="AW14">
        <v>0</v>
      </c>
      <c r="AX14">
        <v>0</v>
      </c>
    </row>
    <row r="15" spans="1:74" x14ac:dyDescent="0.25">
      <c r="A15" t="s">
        <v>128</v>
      </c>
      <c r="B15" s="3">
        <v>42730</v>
      </c>
      <c r="C15" t="s">
        <v>87</v>
      </c>
      <c r="D15" t="s">
        <v>129</v>
      </c>
      <c r="E15" t="s">
        <v>89</v>
      </c>
      <c r="F15">
        <v>6498</v>
      </c>
      <c r="G15" t="s">
        <v>130</v>
      </c>
      <c r="H15" s="3">
        <v>42730</v>
      </c>
      <c r="I15" t="s">
        <v>91</v>
      </c>
      <c r="J15">
        <v>5400</v>
      </c>
      <c r="K15" s="1">
        <v>1</v>
      </c>
      <c r="M15" s="3">
        <v>42730</v>
      </c>
      <c r="N15" t="s">
        <v>57</v>
      </c>
      <c r="P15" t="s">
        <v>56</v>
      </c>
      <c r="Q15">
        <v>4300</v>
      </c>
      <c r="R15" s="3">
        <v>42735</v>
      </c>
      <c r="S15" t="s">
        <v>57</v>
      </c>
      <c r="U15" t="s">
        <v>60</v>
      </c>
      <c r="V15">
        <v>970</v>
      </c>
      <c r="AG15" t="s">
        <v>123</v>
      </c>
      <c r="AH15" s="3">
        <v>42739</v>
      </c>
      <c r="AI15">
        <v>6498</v>
      </c>
      <c r="AJ15">
        <v>0</v>
      </c>
      <c r="AS15" t="s">
        <v>109</v>
      </c>
      <c r="AT15" s="3">
        <v>42784</v>
      </c>
      <c r="AU15">
        <v>19494</v>
      </c>
      <c r="AV15">
        <v>0</v>
      </c>
      <c r="AW15">
        <v>0</v>
      </c>
      <c r="AX15">
        <v>0</v>
      </c>
    </row>
    <row r="16" spans="1:74" x14ac:dyDescent="0.25">
      <c r="A16" t="s">
        <v>131</v>
      </c>
      <c r="B16" s="3">
        <v>42734</v>
      </c>
      <c r="C16" t="s">
        <v>87</v>
      </c>
      <c r="D16" t="s">
        <v>121</v>
      </c>
      <c r="E16" t="s">
        <v>89</v>
      </c>
      <c r="F16">
        <v>6498</v>
      </c>
      <c r="G16" t="s">
        <v>132</v>
      </c>
      <c r="H16" s="3">
        <v>42734</v>
      </c>
      <c r="I16" t="s">
        <v>91</v>
      </c>
      <c r="J16">
        <v>4500</v>
      </c>
      <c r="K16" s="1"/>
      <c r="M16" s="3">
        <v>42734</v>
      </c>
      <c r="N16" t="s">
        <v>57</v>
      </c>
      <c r="P16" t="s">
        <v>56</v>
      </c>
      <c r="Q16">
        <v>3900</v>
      </c>
      <c r="R16" s="3">
        <v>42740</v>
      </c>
      <c r="S16" t="s">
        <v>57</v>
      </c>
      <c r="U16" t="s">
        <v>60</v>
      </c>
      <c r="V16">
        <v>470</v>
      </c>
      <c r="AG16" t="s">
        <v>123</v>
      </c>
      <c r="AH16" s="3">
        <v>42739</v>
      </c>
      <c r="AI16">
        <v>6498</v>
      </c>
      <c r="AJ16">
        <v>0</v>
      </c>
      <c r="AS16" t="s">
        <v>109</v>
      </c>
      <c r="AT16" s="3">
        <v>42784</v>
      </c>
      <c r="AU16">
        <v>19494</v>
      </c>
      <c r="AV16">
        <v>0</v>
      </c>
      <c r="AW16">
        <v>0</v>
      </c>
      <c r="AX16">
        <v>0</v>
      </c>
    </row>
    <row r="17" spans="1:56" x14ac:dyDescent="0.25">
      <c r="A17" t="s">
        <v>133</v>
      </c>
      <c r="B17" s="3">
        <v>42742</v>
      </c>
      <c r="C17" t="s">
        <v>87</v>
      </c>
      <c r="D17" t="s">
        <v>134</v>
      </c>
      <c r="E17" t="s">
        <v>89</v>
      </c>
      <c r="F17">
        <v>8050</v>
      </c>
      <c r="G17" t="s">
        <v>135</v>
      </c>
      <c r="H17" s="3">
        <v>42742</v>
      </c>
      <c r="I17" t="s">
        <v>136</v>
      </c>
      <c r="J17">
        <v>6750</v>
      </c>
      <c r="K17" s="1"/>
      <c r="M17" s="3">
        <v>42742</v>
      </c>
      <c r="N17" t="s">
        <v>57</v>
      </c>
      <c r="P17" t="s">
        <v>56</v>
      </c>
      <c r="Q17">
        <v>5300</v>
      </c>
      <c r="R17" s="3">
        <v>42775</v>
      </c>
      <c r="S17" t="s">
        <v>57</v>
      </c>
      <c r="U17" t="s">
        <v>60</v>
      </c>
      <c r="V17">
        <v>1200</v>
      </c>
      <c r="AG17" t="s">
        <v>137</v>
      </c>
      <c r="AH17" s="3">
        <v>42781</v>
      </c>
      <c r="AI17">
        <v>8050</v>
      </c>
      <c r="AJ17">
        <v>1129</v>
      </c>
      <c r="AK17" t="s">
        <v>138</v>
      </c>
      <c r="AL17" s="3">
        <v>42915</v>
      </c>
      <c r="AM17">
        <v>1129</v>
      </c>
      <c r="AN17">
        <v>0</v>
      </c>
      <c r="AS17" t="s">
        <v>139</v>
      </c>
      <c r="AT17" s="3">
        <v>42825</v>
      </c>
      <c r="AU17">
        <v>6760</v>
      </c>
      <c r="AV17">
        <v>0</v>
      </c>
      <c r="AW17">
        <v>161</v>
      </c>
      <c r="AX17">
        <v>1129</v>
      </c>
      <c r="AY17" t="s">
        <v>140</v>
      </c>
      <c r="AZ17" s="3">
        <v>43343</v>
      </c>
      <c r="BA17">
        <v>1106</v>
      </c>
      <c r="BB17">
        <v>0</v>
      </c>
      <c r="BC17">
        <v>23</v>
      </c>
      <c r="BD17">
        <v>0</v>
      </c>
    </row>
    <row r="18" spans="1:56" x14ac:dyDescent="0.25">
      <c r="A18" t="s">
        <v>141</v>
      </c>
      <c r="B18" s="3">
        <v>42759</v>
      </c>
      <c r="C18" t="s">
        <v>87</v>
      </c>
      <c r="D18" t="s">
        <v>142</v>
      </c>
      <c r="E18" t="s">
        <v>89</v>
      </c>
      <c r="F18">
        <v>7650</v>
      </c>
      <c r="G18" t="s">
        <v>143</v>
      </c>
      <c r="H18" s="3">
        <v>42759</v>
      </c>
      <c r="I18" t="s">
        <v>91</v>
      </c>
      <c r="J18">
        <v>5500</v>
      </c>
      <c r="K18" s="1"/>
      <c r="M18" s="3">
        <v>42759</v>
      </c>
      <c r="N18" t="s">
        <v>57</v>
      </c>
      <c r="P18" t="s">
        <v>56</v>
      </c>
      <c r="Q18">
        <v>4400</v>
      </c>
      <c r="R18" s="3">
        <v>42773</v>
      </c>
      <c r="S18" t="s">
        <v>57</v>
      </c>
      <c r="U18" t="s">
        <v>60</v>
      </c>
      <c r="V18">
        <v>970</v>
      </c>
      <c r="AG18" t="s">
        <v>144</v>
      </c>
      <c r="AH18" s="3">
        <v>42781</v>
      </c>
      <c r="AI18">
        <v>7650</v>
      </c>
      <c r="AJ18">
        <v>0</v>
      </c>
      <c r="AS18" t="s">
        <v>139</v>
      </c>
      <c r="AT18" s="3">
        <v>42825</v>
      </c>
      <c r="AU18">
        <v>7497</v>
      </c>
      <c r="AV18">
        <v>0</v>
      </c>
      <c r="AW18">
        <v>153</v>
      </c>
      <c r="AX18">
        <v>0</v>
      </c>
    </row>
    <row r="19" spans="1:56" x14ac:dyDescent="0.25">
      <c r="A19" t="s">
        <v>145</v>
      </c>
      <c r="B19" s="3">
        <v>42759</v>
      </c>
      <c r="C19" t="s">
        <v>87</v>
      </c>
      <c r="D19" t="s">
        <v>111</v>
      </c>
      <c r="E19" t="s">
        <v>89</v>
      </c>
      <c r="F19">
        <v>5295</v>
      </c>
      <c r="G19" t="s">
        <v>146</v>
      </c>
      <c r="H19" s="3">
        <v>42759</v>
      </c>
      <c r="I19" t="s">
        <v>107</v>
      </c>
      <c r="J19">
        <v>3700</v>
      </c>
      <c r="K19" s="1"/>
      <c r="M19" s="3">
        <v>42759</v>
      </c>
      <c r="N19" t="s">
        <v>57</v>
      </c>
      <c r="P19" t="s">
        <v>56</v>
      </c>
      <c r="Q19">
        <v>2900</v>
      </c>
      <c r="R19" s="3">
        <v>42773</v>
      </c>
      <c r="S19" t="s">
        <v>57</v>
      </c>
      <c r="U19" t="s">
        <v>60</v>
      </c>
      <c r="V19">
        <v>670</v>
      </c>
      <c r="AG19" t="s">
        <v>147</v>
      </c>
      <c r="AH19" s="3">
        <v>42781</v>
      </c>
      <c r="AI19">
        <v>5295</v>
      </c>
      <c r="AJ19">
        <v>0</v>
      </c>
      <c r="AS19" t="s">
        <v>139</v>
      </c>
      <c r="AT19" s="3">
        <v>42825</v>
      </c>
      <c r="AU19">
        <v>5189</v>
      </c>
      <c r="AV19">
        <v>0</v>
      </c>
      <c r="AW19">
        <v>106</v>
      </c>
      <c r="AX19">
        <v>0</v>
      </c>
    </row>
    <row r="20" spans="1:56" x14ac:dyDescent="0.25">
      <c r="A20" t="s">
        <v>148</v>
      </c>
      <c r="B20" s="3">
        <v>42759</v>
      </c>
      <c r="C20" t="s">
        <v>87</v>
      </c>
      <c r="D20" t="s">
        <v>125</v>
      </c>
      <c r="E20" t="s">
        <v>89</v>
      </c>
      <c r="F20">
        <v>6950</v>
      </c>
      <c r="G20" t="s">
        <v>149</v>
      </c>
      <c r="H20" s="3">
        <v>42759</v>
      </c>
      <c r="I20" t="s">
        <v>107</v>
      </c>
      <c r="J20">
        <v>5250</v>
      </c>
      <c r="K20" s="1"/>
      <c r="M20" s="3">
        <v>42759</v>
      </c>
      <c r="N20" t="s">
        <v>57</v>
      </c>
      <c r="P20" t="s">
        <v>56</v>
      </c>
      <c r="Q20">
        <v>4150</v>
      </c>
      <c r="R20" s="3">
        <v>42773</v>
      </c>
      <c r="S20" t="s">
        <v>57</v>
      </c>
      <c r="U20" t="s">
        <v>60</v>
      </c>
      <c r="V20">
        <v>970</v>
      </c>
      <c r="AG20" t="s">
        <v>150</v>
      </c>
      <c r="AH20" s="3">
        <v>42781</v>
      </c>
      <c r="AI20">
        <v>6950</v>
      </c>
      <c r="AJ20">
        <v>0</v>
      </c>
      <c r="AS20" t="s">
        <v>139</v>
      </c>
      <c r="AT20" s="3">
        <v>42825</v>
      </c>
      <c r="AU20">
        <v>6811</v>
      </c>
      <c r="AV20">
        <v>0</v>
      </c>
      <c r="AW20">
        <v>139</v>
      </c>
      <c r="AX20">
        <v>0</v>
      </c>
    </row>
    <row r="21" spans="1:56" x14ac:dyDescent="0.25">
      <c r="A21" t="s">
        <v>151</v>
      </c>
      <c r="B21" s="3">
        <v>42766</v>
      </c>
      <c r="C21" t="s">
        <v>87</v>
      </c>
      <c r="D21" t="s">
        <v>152</v>
      </c>
      <c r="E21" t="s">
        <v>89</v>
      </c>
      <c r="F21">
        <v>5295</v>
      </c>
      <c r="G21" t="s">
        <v>153</v>
      </c>
      <c r="H21" s="3">
        <v>42766</v>
      </c>
      <c r="I21" t="s">
        <v>91</v>
      </c>
      <c r="J21">
        <v>4000</v>
      </c>
      <c r="K21" s="1"/>
      <c r="M21" s="3">
        <v>42766</v>
      </c>
      <c r="N21" t="s">
        <v>57</v>
      </c>
      <c r="P21" t="s">
        <v>56</v>
      </c>
      <c r="Q21">
        <v>2900</v>
      </c>
      <c r="R21" s="3">
        <v>42773</v>
      </c>
      <c r="S21" t="s">
        <v>57</v>
      </c>
      <c r="U21" t="s">
        <v>60</v>
      </c>
      <c r="V21">
        <v>970</v>
      </c>
      <c r="AG21" t="s">
        <v>154</v>
      </c>
      <c r="AH21" s="3">
        <v>42781</v>
      </c>
      <c r="AI21">
        <v>5295</v>
      </c>
      <c r="AJ21">
        <v>0</v>
      </c>
      <c r="AS21" t="s">
        <v>139</v>
      </c>
      <c r="AT21" s="3">
        <v>42825</v>
      </c>
      <c r="AU21">
        <v>5189</v>
      </c>
      <c r="AV21">
        <v>0</v>
      </c>
      <c r="AW21">
        <v>106</v>
      </c>
      <c r="AX21">
        <v>0</v>
      </c>
    </row>
    <row r="22" spans="1:56" x14ac:dyDescent="0.25">
      <c r="A22" t="s">
        <v>155</v>
      </c>
      <c r="B22" s="3">
        <v>42772</v>
      </c>
      <c r="C22" t="s">
        <v>87</v>
      </c>
      <c r="D22" t="s">
        <v>88</v>
      </c>
      <c r="E22" t="s">
        <v>89</v>
      </c>
      <c r="F22">
        <v>6498</v>
      </c>
      <c r="G22" t="s">
        <v>156</v>
      </c>
      <c r="H22" s="3">
        <v>42772</v>
      </c>
      <c r="I22" t="s">
        <v>136</v>
      </c>
      <c r="J22">
        <v>4000</v>
      </c>
      <c r="K22" s="1"/>
      <c r="M22" s="3">
        <v>42772</v>
      </c>
      <c r="N22" t="s">
        <v>57</v>
      </c>
      <c r="P22" t="s">
        <v>56</v>
      </c>
      <c r="Q22">
        <v>2900</v>
      </c>
      <c r="R22" s="3">
        <v>42794</v>
      </c>
      <c r="S22" t="s">
        <v>57</v>
      </c>
      <c r="U22" t="s">
        <v>60</v>
      </c>
      <c r="V22">
        <v>950</v>
      </c>
      <c r="AG22" t="s">
        <v>157</v>
      </c>
      <c r="AH22" s="3">
        <v>42781</v>
      </c>
      <c r="AI22">
        <v>6498</v>
      </c>
      <c r="AJ22">
        <v>0</v>
      </c>
      <c r="AS22" t="s">
        <v>139</v>
      </c>
      <c r="AT22" s="3">
        <v>42825</v>
      </c>
      <c r="AU22">
        <v>6368</v>
      </c>
      <c r="AV22">
        <v>0</v>
      </c>
      <c r="AW22">
        <v>130</v>
      </c>
      <c r="AX22">
        <v>0</v>
      </c>
    </row>
    <row r="23" spans="1:56" x14ac:dyDescent="0.25">
      <c r="A23" t="s">
        <v>158</v>
      </c>
      <c r="B23" s="3">
        <v>42781</v>
      </c>
      <c r="C23" t="s">
        <v>87</v>
      </c>
      <c r="D23" t="s">
        <v>102</v>
      </c>
      <c r="E23" t="s">
        <v>89</v>
      </c>
      <c r="F23">
        <v>6950</v>
      </c>
      <c r="G23" t="s">
        <v>159</v>
      </c>
      <c r="H23" s="3">
        <v>42781</v>
      </c>
      <c r="I23" t="s">
        <v>107</v>
      </c>
      <c r="J23">
        <v>5500</v>
      </c>
      <c r="K23" s="1"/>
      <c r="M23" s="3">
        <v>42783</v>
      </c>
      <c r="N23" t="s">
        <v>57</v>
      </c>
      <c r="P23" t="s">
        <v>56</v>
      </c>
      <c r="Q23">
        <v>4300</v>
      </c>
      <c r="R23" s="3">
        <v>42794</v>
      </c>
      <c r="S23" t="s">
        <v>57</v>
      </c>
      <c r="U23" t="s">
        <v>60</v>
      </c>
      <c r="V23">
        <v>950</v>
      </c>
      <c r="AG23" t="s">
        <v>160</v>
      </c>
      <c r="AH23" s="3">
        <v>42825</v>
      </c>
      <c r="AI23">
        <v>6950</v>
      </c>
      <c r="AJ23">
        <v>0</v>
      </c>
      <c r="AS23" t="s">
        <v>161</v>
      </c>
      <c r="AT23" s="3">
        <v>42893</v>
      </c>
      <c r="AU23">
        <v>6820</v>
      </c>
      <c r="AV23">
        <v>0</v>
      </c>
      <c r="AW23">
        <v>130</v>
      </c>
      <c r="AX23">
        <v>0</v>
      </c>
    </row>
    <row r="24" spans="1:56" x14ac:dyDescent="0.25">
      <c r="A24" t="s">
        <v>162</v>
      </c>
      <c r="B24" s="3">
        <v>42788</v>
      </c>
      <c r="C24" t="s">
        <v>87</v>
      </c>
      <c r="D24" t="s">
        <v>152</v>
      </c>
      <c r="E24" t="s">
        <v>89</v>
      </c>
      <c r="F24">
        <v>5295</v>
      </c>
      <c r="G24" t="s">
        <v>163</v>
      </c>
      <c r="H24" s="3">
        <v>42788</v>
      </c>
      <c r="I24" t="s">
        <v>107</v>
      </c>
      <c r="J24">
        <v>4000</v>
      </c>
      <c r="K24" s="1"/>
      <c r="M24" s="3">
        <v>42788</v>
      </c>
      <c r="N24" t="s">
        <v>57</v>
      </c>
      <c r="P24" t="s">
        <v>56</v>
      </c>
      <c r="Q24">
        <v>2850</v>
      </c>
      <c r="R24" s="3">
        <v>42790</v>
      </c>
      <c r="S24" t="s">
        <v>57</v>
      </c>
      <c r="U24" t="s">
        <v>56</v>
      </c>
      <c r="V24">
        <v>0</v>
      </c>
      <c r="W24" s="3">
        <v>42794</v>
      </c>
      <c r="X24" t="s">
        <v>57</v>
      </c>
      <c r="Z24" t="s">
        <v>60</v>
      </c>
      <c r="AA24">
        <v>950</v>
      </c>
      <c r="AG24" t="s">
        <v>164</v>
      </c>
      <c r="AH24" s="3">
        <v>42825</v>
      </c>
      <c r="AI24">
        <v>5295</v>
      </c>
      <c r="AJ24">
        <v>0</v>
      </c>
      <c r="AS24" t="s">
        <v>161</v>
      </c>
      <c r="AT24" s="3">
        <v>42893</v>
      </c>
      <c r="AU24">
        <v>5188</v>
      </c>
      <c r="AV24">
        <v>0</v>
      </c>
      <c r="AW24">
        <v>107</v>
      </c>
      <c r="AX24">
        <v>0</v>
      </c>
    </row>
    <row r="25" spans="1:56" x14ac:dyDescent="0.25">
      <c r="A25" t="s">
        <v>165</v>
      </c>
      <c r="B25" s="3">
        <v>42789</v>
      </c>
      <c r="C25" t="s">
        <v>87</v>
      </c>
      <c r="D25" t="s">
        <v>88</v>
      </c>
      <c r="E25" t="s">
        <v>89</v>
      </c>
      <c r="F25">
        <v>6498</v>
      </c>
      <c r="G25" t="s">
        <v>166</v>
      </c>
      <c r="H25" s="3">
        <v>42789</v>
      </c>
      <c r="I25" t="s">
        <v>107</v>
      </c>
      <c r="J25">
        <v>5000</v>
      </c>
      <c r="K25" s="1"/>
      <c r="M25" s="3">
        <v>42790</v>
      </c>
      <c r="N25" t="s">
        <v>57</v>
      </c>
      <c r="P25" t="s">
        <v>56</v>
      </c>
      <c r="Q25">
        <v>3900</v>
      </c>
      <c r="R25" s="3">
        <v>42794</v>
      </c>
      <c r="S25" t="s">
        <v>57</v>
      </c>
      <c r="U25" t="s">
        <v>60</v>
      </c>
      <c r="V25">
        <v>950</v>
      </c>
      <c r="AG25" t="s">
        <v>167</v>
      </c>
      <c r="AH25" s="3">
        <v>42825</v>
      </c>
      <c r="AI25">
        <v>6498</v>
      </c>
      <c r="AJ25">
        <v>0</v>
      </c>
      <c r="AS25" t="s">
        <v>161</v>
      </c>
      <c r="AT25" s="3">
        <v>42893</v>
      </c>
      <c r="AU25">
        <v>6368</v>
      </c>
      <c r="AV25">
        <v>0</v>
      </c>
      <c r="AW25">
        <v>130</v>
      </c>
      <c r="AX25">
        <v>0</v>
      </c>
    </row>
    <row r="26" spans="1:56" x14ac:dyDescent="0.25">
      <c r="A26" t="s">
        <v>168</v>
      </c>
      <c r="B26" s="3">
        <v>42794</v>
      </c>
      <c r="C26" t="s">
        <v>87</v>
      </c>
      <c r="D26" t="s">
        <v>88</v>
      </c>
      <c r="E26" t="s">
        <v>89</v>
      </c>
      <c r="F26">
        <v>6498</v>
      </c>
      <c r="G26" t="s">
        <v>169</v>
      </c>
      <c r="H26" s="3">
        <v>42794</v>
      </c>
      <c r="I26" t="s">
        <v>107</v>
      </c>
      <c r="J26">
        <v>5600</v>
      </c>
      <c r="K26" s="1"/>
      <c r="M26" s="3">
        <v>42794</v>
      </c>
      <c r="N26" t="s">
        <v>57</v>
      </c>
      <c r="P26" t="s">
        <v>56</v>
      </c>
      <c r="Q26">
        <v>4500</v>
      </c>
      <c r="R26" s="3">
        <v>42878</v>
      </c>
      <c r="S26" t="s">
        <v>57</v>
      </c>
      <c r="U26" t="s">
        <v>60</v>
      </c>
      <c r="V26">
        <v>950</v>
      </c>
      <c r="AG26" t="s">
        <v>170</v>
      </c>
      <c r="AH26" s="3">
        <v>42825</v>
      </c>
      <c r="AI26">
        <v>6498</v>
      </c>
      <c r="AJ26">
        <v>0</v>
      </c>
      <c r="AS26" t="s">
        <v>161</v>
      </c>
      <c r="AT26" s="3">
        <v>42893</v>
      </c>
      <c r="AU26">
        <v>6368</v>
      </c>
      <c r="AV26">
        <v>0</v>
      </c>
      <c r="AW26">
        <v>130</v>
      </c>
      <c r="AX26">
        <v>0</v>
      </c>
    </row>
    <row r="27" spans="1:56" x14ac:dyDescent="0.25">
      <c r="A27" t="s">
        <v>171</v>
      </c>
      <c r="B27" s="3">
        <v>42804</v>
      </c>
      <c r="C27" t="s">
        <v>87</v>
      </c>
      <c r="D27" t="s">
        <v>152</v>
      </c>
      <c r="E27" t="s">
        <v>89</v>
      </c>
      <c r="F27">
        <v>5295</v>
      </c>
      <c r="G27" t="s">
        <v>172</v>
      </c>
      <c r="H27" s="3">
        <v>42804</v>
      </c>
      <c r="I27" t="s">
        <v>107</v>
      </c>
      <c r="J27">
        <v>4500</v>
      </c>
      <c r="K27" s="1"/>
      <c r="M27" s="3">
        <v>42810</v>
      </c>
      <c r="N27" t="s">
        <v>57</v>
      </c>
      <c r="P27" t="s">
        <v>56</v>
      </c>
      <c r="Q27">
        <v>3400</v>
      </c>
      <c r="R27" s="3">
        <v>42832</v>
      </c>
      <c r="S27" t="s">
        <v>57</v>
      </c>
      <c r="U27" t="s">
        <v>60</v>
      </c>
      <c r="V27">
        <v>970</v>
      </c>
      <c r="AG27" t="s">
        <v>173</v>
      </c>
      <c r="AH27" s="3">
        <v>42825</v>
      </c>
      <c r="AI27">
        <v>5295</v>
      </c>
      <c r="AJ27">
        <v>0</v>
      </c>
      <c r="AS27" t="s">
        <v>161</v>
      </c>
      <c r="AT27" s="3">
        <v>42893</v>
      </c>
      <c r="AU27">
        <v>5188</v>
      </c>
      <c r="AV27">
        <v>0</v>
      </c>
      <c r="AW27">
        <v>107</v>
      </c>
      <c r="AX27">
        <v>0</v>
      </c>
    </row>
    <row r="28" spans="1:56" x14ac:dyDescent="0.25">
      <c r="A28" t="s">
        <v>174</v>
      </c>
      <c r="B28" s="3">
        <v>42810</v>
      </c>
      <c r="C28" t="s">
        <v>87</v>
      </c>
      <c r="D28" t="s">
        <v>121</v>
      </c>
      <c r="E28" t="s">
        <v>89</v>
      </c>
      <c r="F28">
        <v>6498</v>
      </c>
      <c r="G28" t="s">
        <v>175</v>
      </c>
      <c r="H28" s="3">
        <v>42810</v>
      </c>
      <c r="I28" t="s">
        <v>107</v>
      </c>
      <c r="J28">
        <v>5500</v>
      </c>
      <c r="K28" s="1"/>
      <c r="M28" s="3">
        <v>42810</v>
      </c>
      <c r="N28" t="s">
        <v>57</v>
      </c>
      <c r="P28" t="s">
        <v>56</v>
      </c>
      <c r="Q28">
        <v>4400</v>
      </c>
      <c r="R28" s="3">
        <v>42832</v>
      </c>
      <c r="S28" t="s">
        <v>57</v>
      </c>
      <c r="U28" t="s">
        <v>60</v>
      </c>
      <c r="V28">
        <v>970</v>
      </c>
      <c r="AG28" t="s">
        <v>176</v>
      </c>
      <c r="AH28" s="3">
        <v>42831</v>
      </c>
      <c r="AI28">
        <v>6498</v>
      </c>
      <c r="AJ28">
        <v>0</v>
      </c>
      <c r="AS28" t="s">
        <v>161</v>
      </c>
      <c r="AT28" s="3">
        <v>42893</v>
      </c>
      <c r="AU28">
        <v>6368</v>
      </c>
      <c r="AV28">
        <v>0</v>
      </c>
      <c r="AW28">
        <v>130</v>
      </c>
      <c r="AX28">
        <v>0</v>
      </c>
    </row>
    <row r="29" spans="1:56" x14ac:dyDescent="0.25">
      <c r="A29" t="s">
        <v>177</v>
      </c>
      <c r="B29" s="3">
        <v>42812</v>
      </c>
      <c r="C29" t="s">
        <v>87</v>
      </c>
      <c r="D29" t="s">
        <v>152</v>
      </c>
      <c r="E29" t="s">
        <v>89</v>
      </c>
      <c r="F29">
        <v>5295</v>
      </c>
      <c r="G29" t="s">
        <v>178</v>
      </c>
      <c r="H29" s="3">
        <v>42812</v>
      </c>
      <c r="I29" t="s">
        <v>91</v>
      </c>
      <c r="J29">
        <v>4500</v>
      </c>
      <c r="K29" s="1"/>
      <c r="M29" s="3">
        <v>42812</v>
      </c>
      <c r="N29" t="s">
        <v>57</v>
      </c>
      <c r="P29" t="s">
        <v>56</v>
      </c>
      <c r="Q29">
        <v>3400</v>
      </c>
      <c r="R29" s="3">
        <v>42832</v>
      </c>
      <c r="S29" t="s">
        <v>57</v>
      </c>
      <c r="U29" t="s">
        <v>60</v>
      </c>
      <c r="V29">
        <v>970</v>
      </c>
      <c r="AG29" t="s">
        <v>179</v>
      </c>
      <c r="AH29" s="3">
        <v>42831</v>
      </c>
      <c r="AI29">
        <v>5295</v>
      </c>
      <c r="AJ29">
        <v>0</v>
      </c>
      <c r="AS29" t="s">
        <v>161</v>
      </c>
      <c r="AT29" s="3">
        <v>42893</v>
      </c>
      <c r="AU29">
        <v>5188</v>
      </c>
      <c r="AV29">
        <v>0</v>
      </c>
      <c r="AW29">
        <v>107</v>
      </c>
      <c r="AX29">
        <v>0</v>
      </c>
    </row>
    <row r="30" spans="1:56" x14ac:dyDescent="0.25">
      <c r="A30" t="s">
        <v>180</v>
      </c>
      <c r="B30" s="3">
        <v>42815</v>
      </c>
      <c r="C30" t="s">
        <v>87</v>
      </c>
      <c r="D30" t="s">
        <v>88</v>
      </c>
      <c r="E30" t="s">
        <v>89</v>
      </c>
      <c r="F30">
        <v>6498</v>
      </c>
      <c r="G30" t="s">
        <v>181</v>
      </c>
      <c r="H30" s="3">
        <v>42815</v>
      </c>
      <c r="I30" t="s">
        <v>107</v>
      </c>
      <c r="J30">
        <v>5500</v>
      </c>
      <c r="K30" s="1"/>
      <c r="M30" s="3">
        <v>42817</v>
      </c>
      <c r="N30" t="s">
        <v>57</v>
      </c>
      <c r="P30" t="s">
        <v>56</v>
      </c>
      <c r="Q30">
        <v>4400</v>
      </c>
      <c r="R30" s="3">
        <v>42832</v>
      </c>
      <c r="S30" t="s">
        <v>57</v>
      </c>
      <c r="U30" t="s">
        <v>60</v>
      </c>
      <c r="V30">
        <v>970</v>
      </c>
      <c r="AG30" t="s">
        <v>182</v>
      </c>
      <c r="AH30" s="3">
        <v>42831</v>
      </c>
      <c r="AI30">
        <v>6498</v>
      </c>
      <c r="AJ30">
        <v>0</v>
      </c>
      <c r="AS30" t="s">
        <v>161</v>
      </c>
      <c r="AT30" s="3">
        <v>42893</v>
      </c>
      <c r="AU30">
        <v>6368</v>
      </c>
      <c r="AV30">
        <v>0</v>
      </c>
      <c r="AW30">
        <v>130</v>
      </c>
      <c r="AX30">
        <v>0</v>
      </c>
    </row>
    <row r="31" spans="1:56" x14ac:dyDescent="0.25">
      <c r="A31" t="s">
        <v>183</v>
      </c>
      <c r="B31" s="3">
        <v>42822</v>
      </c>
      <c r="C31" t="s">
        <v>87</v>
      </c>
      <c r="D31" t="s">
        <v>152</v>
      </c>
      <c r="E31" t="s">
        <v>89</v>
      </c>
      <c r="F31">
        <v>5295</v>
      </c>
      <c r="G31" t="s">
        <v>184</v>
      </c>
      <c r="H31" s="3">
        <v>42822</v>
      </c>
      <c r="I31" t="s">
        <v>107</v>
      </c>
      <c r="J31">
        <v>4500</v>
      </c>
      <c r="K31" s="1"/>
      <c r="M31" s="3">
        <v>42822</v>
      </c>
      <c r="N31" t="s">
        <v>57</v>
      </c>
      <c r="P31" t="s">
        <v>56</v>
      </c>
      <c r="Q31">
        <v>3400</v>
      </c>
      <c r="R31" s="3">
        <v>42832</v>
      </c>
      <c r="S31" t="s">
        <v>57</v>
      </c>
      <c r="U31" t="s">
        <v>60</v>
      </c>
      <c r="V31">
        <v>970</v>
      </c>
      <c r="AG31" t="s">
        <v>185</v>
      </c>
      <c r="AH31" s="3">
        <v>42831</v>
      </c>
      <c r="AI31">
        <v>5295</v>
      </c>
      <c r="AJ31">
        <v>0</v>
      </c>
      <c r="AS31" t="s">
        <v>161</v>
      </c>
      <c r="AT31" s="3">
        <v>42893</v>
      </c>
      <c r="AU31">
        <v>5188</v>
      </c>
      <c r="AV31">
        <v>0</v>
      </c>
      <c r="AW31">
        <v>107</v>
      </c>
      <c r="AX31">
        <v>0</v>
      </c>
    </row>
    <row r="32" spans="1:56" x14ac:dyDescent="0.25">
      <c r="A32" t="s">
        <v>186</v>
      </c>
      <c r="B32" s="3">
        <v>42823</v>
      </c>
      <c r="C32" t="s">
        <v>87</v>
      </c>
      <c r="D32" t="s">
        <v>88</v>
      </c>
      <c r="E32" t="s">
        <v>89</v>
      </c>
      <c r="F32">
        <v>7650</v>
      </c>
      <c r="G32" t="s">
        <v>187</v>
      </c>
      <c r="H32" s="3">
        <v>42823</v>
      </c>
      <c r="I32" t="s">
        <v>107</v>
      </c>
      <c r="J32">
        <v>6300</v>
      </c>
      <c r="K32" s="1"/>
      <c r="M32" s="3">
        <v>42825</v>
      </c>
      <c r="N32" t="s">
        <v>57</v>
      </c>
      <c r="P32" t="s">
        <v>56</v>
      </c>
      <c r="Q32">
        <v>5200</v>
      </c>
      <c r="R32" s="3">
        <v>42832</v>
      </c>
      <c r="S32" t="s">
        <v>57</v>
      </c>
      <c r="U32" t="s">
        <v>60</v>
      </c>
      <c r="V32">
        <v>970</v>
      </c>
      <c r="AG32" t="s">
        <v>188</v>
      </c>
      <c r="AH32" s="3">
        <v>42831</v>
      </c>
      <c r="AI32">
        <v>7650</v>
      </c>
      <c r="AJ32">
        <v>0</v>
      </c>
      <c r="AS32" t="s">
        <v>161</v>
      </c>
      <c r="AT32" s="3">
        <v>42893</v>
      </c>
      <c r="AU32">
        <v>7493</v>
      </c>
      <c r="AV32">
        <v>0</v>
      </c>
      <c r="AW32">
        <v>157</v>
      </c>
      <c r="AX32">
        <v>0</v>
      </c>
    </row>
    <row r="33" spans="1:50" x14ac:dyDescent="0.25">
      <c r="A33" t="s">
        <v>189</v>
      </c>
      <c r="B33" s="3">
        <v>42850</v>
      </c>
      <c r="C33" t="s">
        <v>87</v>
      </c>
      <c r="D33" t="s">
        <v>152</v>
      </c>
      <c r="E33" t="s">
        <v>89</v>
      </c>
      <c r="F33">
        <v>5295</v>
      </c>
      <c r="G33" t="s">
        <v>190</v>
      </c>
      <c r="H33" s="3">
        <v>42850</v>
      </c>
      <c r="I33" t="s">
        <v>107</v>
      </c>
      <c r="J33">
        <v>4250</v>
      </c>
      <c r="K33" s="1"/>
      <c r="M33" s="3">
        <v>42850</v>
      </c>
      <c r="N33" t="s">
        <v>57</v>
      </c>
      <c r="O33" t="s">
        <v>191</v>
      </c>
      <c r="P33" t="s">
        <v>56</v>
      </c>
      <c r="Q33">
        <v>3000</v>
      </c>
      <c r="R33" s="3">
        <v>42878</v>
      </c>
      <c r="S33" t="s">
        <v>57</v>
      </c>
      <c r="T33" t="s">
        <v>192</v>
      </c>
      <c r="U33" t="s">
        <v>60</v>
      </c>
      <c r="V33">
        <v>950</v>
      </c>
      <c r="AG33" t="s">
        <v>193</v>
      </c>
      <c r="AH33" s="3">
        <v>42879</v>
      </c>
      <c r="AI33">
        <v>5295</v>
      </c>
      <c r="AJ33">
        <v>0</v>
      </c>
      <c r="AS33" t="s">
        <v>197</v>
      </c>
      <c r="AT33" s="3">
        <v>42958</v>
      </c>
      <c r="AU33">
        <v>24635</v>
      </c>
      <c r="AV33">
        <v>0</v>
      </c>
      <c r="AW33">
        <v>503</v>
      </c>
      <c r="AX33">
        <v>0</v>
      </c>
    </row>
    <row r="34" spans="1:50" x14ac:dyDescent="0.25">
      <c r="A34" t="s">
        <v>194</v>
      </c>
      <c r="B34" s="3">
        <v>42850</v>
      </c>
      <c r="C34" t="s">
        <v>87</v>
      </c>
      <c r="D34" t="s">
        <v>88</v>
      </c>
      <c r="E34" t="s">
        <v>89</v>
      </c>
      <c r="F34">
        <v>6498</v>
      </c>
      <c r="G34" t="s">
        <v>195</v>
      </c>
      <c r="H34" s="3">
        <v>42850</v>
      </c>
      <c r="I34" t="s">
        <v>107</v>
      </c>
      <c r="J34">
        <v>5250</v>
      </c>
      <c r="K34" s="1"/>
      <c r="M34" s="3">
        <v>42850</v>
      </c>
      <c r="N34" t="s">
        <v>57</v>
      </c>
      <c r="O34" t="s">
        <v>196</v>
      </c>
      <c r="P34" t="s">
        <v>56</v>
      </c>
      <c r="Q34">
        <v>4000</v>
      </c>
      <c r="R34" s="3">
        <v>42878</v>
      </c>
      <c r="S34" t="s">
        <v>57</v>
      </c>
      <c r="T34" t="s">
        <v>192</v>
      </c>
      <c r="U34" t="s">
        <v>60</v>
      </c>
      <c r="V34">
        <v>950</v>
      </c>
      <c r="AG34" t="s">
        <v>193</v>
      </c>
      <c r="AH34" s="3">
        <v>42879</v>
      </c>
      <c r="AI34">
        <v>6498</v>
      </c>
      <c r="AJ34">
        <v>0</v>
      </c>
      <c r="AS34" t="s">
        <v>197</v>
      </c>
      <c r="AT34" s="3">
        <v>42958</v>
      </c>
      <c r="AU34">
        <v>24635</v>
      </c>
      <c r="AV34">
        <v>0</v>
      </c>
      <c r="AW34">
        <v>503</v>
      </c>
      <c r="AX34">
        <v>0</v>
      </c>
    </row>
    <row r="35" spans="1:50" x14ac:dyDescent="0.25">
      <c r="A35" t="s">
        <v>198</v>
      </c>
      <c r="B35" s="3">
        <v>42857</v>
      </c>
      <c r="C35" t="s">
        <v>87</v>
      </c>
      <c r="D35" t="s">
        <v>134</v>
      </c>
      <c r="E35" t="s">
        <v>89</v>
      </c>
      <c r="F35">
        <v>8050</v>
      </c>
      <c r="G35" t="s">
        <v>199</v>
      </c>
      <c r="H35" s="3">
        <v>42858</v>
      </c>
      <c r="I35" t="s">
        <v>200</v>
      </c>
      <c r="J35">
        <v>7000</v>
      </c>
      <c r="K35" s="1"/>
      <c r="M35" s="3">
        <v>42859</v>
      </c>
      <c r="N35" t="s">
        <v>54</v>
      </c>
      <c r="O35" t="s">
        <v>201</v>
      </c>
      <c r="P35" t="s">
        <v>56</v>
      </c>
      <c r="Q35">
        <v>5900</v>
      </c>
      <c r="R35" s="3">
        <v>42892</v>
      </c>
      <c r="S35" t="s">
        <v>54</v>
      </c>
      <c r="T35" t="s">
        <v>202</v>
      </c>
      <c r="U35" t="s">
        <v>60</v>
      </c>
      <c r="V35">
        <v>950</v>
      </c>
      <c r="AG35" t="s">
        <v>193</v>
      </c>
      <c r="AH35" s="3">
        <v>42879</v>
      </c>
      <c r="AI35">
        <v>8050</v>
      </c>
      <c r="AJ35">
        <v>0</v>
      </c>
      <c r="AS35" t="s">
        <v>197</v>
      </c>
      <c r="AT35" s="3">
        <v>42958</v>
      </c>
      <c r="AU35">
        <v>24635</v>
      </c>
      <c r="AV35">
        <v>0</v>
      </c>
      <c r="AW35">
        <v>503</v>
      </c>
      <c r="AX35">
        <v>0</v>
      </c>
    </row>
    <row r="36" spans="1:50" x14ac:dyDescent="0.25">
      <c r="A36" t="s">
        <v>203</v>
      </c>
      <c r="B36" s="3">
        <v>42861</v>
      </c>
      <c r="C36" t="s">
        <v>87</v>
      </c>
      <c r="D36" t="s">
        <v>152</v>
      </c>
      <c r="E36" t="s">
        <v>89</v>
      </c>
      <c r="F36">
        <v>5295</v>
      </c>
      <c r="G36" t="s">
        <v>204</v>
      </c>
      <c r="H36" s="3">
        <v>42861</v>
      </c>
      <c r="I36" t="s">
        <v>107</v>
      </c>
      <c r="J36">
        <v>4500</v>
      </c>
      <c r="K36" s="1"/>
      <c r="M36" s="3">
        <v>42861</v>
      </c>
      <c r="N36" t="s">
        <v>57</v>
      </c>
      <c r="P36" t="s">
        <v>56</v>
      </c>
      <c r="Q36">
        <v>3400</v>
      </c>
      <c r="R36" s="3">
        <v>42878</v>
      </c>
      <c r="S36" t="s">
        <v>57</v>
      </c>
      <c r="T36" t="s">
        <v>192</v>
      </c>
      <c r="U36" t="s">
        <v>60</v>
      </c>
      <c r="V36">
        <v>950</v>
      </c>
      <c r="AG36" t="s">
        <v>193</v>
      </c>
      <c r="AH36" s="3">
        <v>42879</v>
      </c>
      <c r="AI36">
        <v>5295</v>
      </c>
      <c r="AJ36">
        <v>0</v>
      </c>
      <c r="AS36" t="s">
        <v>197</v>
      </c>
      <c r="AT36" s="3">
        <v>42958</v>
      </c>
      <c r="AU36">
        <v>24635</v>
      </c>
      <c r="AV36">
        <v>0</v>
      </c>
      <c r="AW36">
        <v>503</v>
      </c>
      <c r="AX36">
        <v>0</v>
      </c>
    </row>
    <row r="37" spans="1:50" x14ac:dyDescent="0.25">
      <c r="A37" t="s">
        <v>205</v>
      </c>
      <c r="B37" s="3">
        <v>42874</v>
      </c>
      <c r="C37" t="s">
        <v>87</v>
      </c>
      <c r="D37" t="s">
        <v>206</v>
      </c>
      <c r="E37" t="s">
        <v>89</v>
      </c>
      <c r="F37">
        <v>9150</v>
      </c>
      <c r="G37" t="s">
        <v>207</v>
      </c>
      <c r="H37" s="3">
        <v>42874</v>
      </c>
      <c r="I37" t="s">
        <v>107</v>
      </c>
      <c r="J37">
        <v>8000</v>
      </c>
      <c r="K37" s="1"/>
      <c r="M37" s="3">
        <v>42875</v>
      </c>
      <c r="N37" t="s">
        <v>57</v>
      </c>
      <c r="P37" t="s">
        <v>56</v>
      </c>
      <c r="Q37">
        <v>6800</v>
      </c>
      <c r="R37" s="3">
        <v>42909</v>
      </c>
      <c r="S37" t="s">
        <v>57</v>
      </c>
      <c r="U37" t="s">
        <v>60</v>
      </c>
      <c r="V37">
        <v>970</v>
      </c>
      <c r="AG37" t="s">
        <v>208</v>
      </c>
      <c r="AH37" s="3">
        <v>42905</v>
      </c>
      <c r="AI37">
        <v>9150</v>
      </c>
      <c r="AJ37">
        <v>0</v>
      </c>
      <c r="AS37" t="s">
        <v>209</v>
      </c>
      <c r="AT37" s="3">
        <v>42986</v>
      </c>
      <c r="AU37">
        <v>34735</v>
      </c>
      <c r="AV37">
        <v>0</v>
      </c>
      <c r="AW37">
        <v>756</v>
      </c>
      <c r="AX37">
        <v>0</v>
      </c>
    </row>
    <row r="38" spans="1:50" x14ac:dyDescent="0.25">
      <c r="A38" t="s">
        <v>210</v>
      </c>
      <c r="B38" s="3">
        <v>42878</v>
      </c>
      <c r="C38" t="s">
        <v>87</v>
      </c>
      <c r="D38" t="s">
        <v>152</v>
      </c>
      <c r="E38" t="s">
        <v>89</v>
      </c>
      <c r="F38">
        <v>5295</v>
      </c>
      <c r="G38" t="s">
        <v>211</v>
      </c>
      <c r="H38" s="3">
        <v>42878</v>
      </c>
      <c r="I38" t="s">
        <v>107</v>
      </c>
      <c r="J38">
        <v>4500</v>
      </c>
      <c r="K38" s="1"/>
      <c r="M38" s="3">
        <v>42878</v>
      </c>
      <c r="N38" t="s">
        <v>57</v>
      </c>
      <c r="O38" t="s">
        <v>191</v>
      </c>
      <c r="P38" t="s">
        <v>56</v>
      </c>
      <c r="Q38">
        <v>3400</v>
      </c>
      <c r="R38" s="3">
        <v>42909</v>
      </c>
      <c r="S38" t="s">
        <v>57</v>
      </c>
      <c r="U38" t="s">
        <v>60</v>
      </c>
      <c r="V38">
        <v>970</v>
      </c>
      <c r="AG38" t="s">
        <v>208</v>
      </c>
      <c r="AH38" s="3">
        <v>42905</v>
      </c>
      <c r="AI38">
        <v>5295</v>
      </c>
      <c r="AJ38">
        <v>0</v>
      </c>
      <c r="AS38" t="s">
        <v>209</v>
      </c>
      <c r="AT38" s="3">
        <v>42986</v>
      </c>
      <c r="AU38">
        <v>34735</v>
      </c>
      <c r="AV38">
        <v>0</v>
      </c>
      <c r="AW38">
        <v>756</v>
      </c>
      <c r="AX38">
        <v>0</v>
      </c>
    </row>
    <row r="39" spans="1:50" x14ac:dyDescent="0.25">
      <c r="A39" t="s">
        <v>212</v>
      </c>
      <c r="B39" s="3">
        <v>42879</v>
      </c>
      <c r="C39" t="s">
        <v>87</v>
      </c>
      <c r="D39" t="s">
        <v>134</v>
      </c>
      <c r="E39" t="s">
        <v>89</v>
      </c>
      <c r="F39">
        <v>8050</v>
      </c>
      <c r="G39" t="s">
        <v>213</v>
      </c>
      <c r="H39" s="3">
        <v>42879</v>
      </c>
      <c r="I39" t="s">
        <v>107</v>
      </c>
      <c r="J39">
        <v>7200</v>
      </c>
      <c r="K39" s="1"/>
      <c r="M39" s="3">
        <v>42879</v>
      </c>
      <c r="N39" t="s">
        <v>54</v>
      </c>
      <c r="O39" t="s">
        <v>214</v>
      </c>
      <c r="P39" t="s">
        <v>56</v>
      </c>
      <c r="Q39">
        <v>4800</v>
      </c>
      <c r="R39" s="3">
        <v>42926</v>
      </c>
      <c r="S39" t="s">
        <v>54</v>
      </c>
      <c r="T39" t="s">
        <v>215</v>
      </c>
      <c r="U39" t="s">
        <v>60</v>
      </c>
      <c r="V39">
        <v>2150</v>
      </c>
      <c r="AG39" t="s">
        <v>208</v>
      </c>
      <c r="AH39" s="3">
        <v>42905</v>
      </c>
      <c r="AI39">
        <v>8050</v>
      </c>
      <c r="AJ39">
        <v>0</v>
      </c>
      <c r="AS39" t="s">
        <v>209</v>
      </c>
      <c r="AT39" s="3">
        <v>42986</v>
      </c>
      <c r="AU39">
        <v>34735</v>
      </c>
      <c r="AV39">
        <v>0</v>
      </c>
      <c r="AW39">
        <v>756</v>
      </c>
      <c r="AX39">
        <v>0</v>
      </c>
    </row>
    <row r="40" spans="1:50" x14ac:dyDescent="0.25">
      <c r="A40" t="s">
        <v>216</v>
      </c>
      <c r="B40" s="3">
        <v>42879</v>
      </c>
      <c r="C40" t="s">
        <v>87</v>
      </c>
      <c r="D40" t="s">
        <v>88</v>
      </c>
      <c r="E40" t="s">
        <v>89</v>
      </c>
      <c r="F40">
        <v>6498</v>
      </c>
      <c r="G40" t="s">
        <v>217</v>
      </c>
      <c r="H40" s="3">
        <v>42879</v>
      </c>
      <c r="I40" t="s">
        <v>107</v>
      </c>
      <c r="J40">
        <v>5600</v>
      </c>
      <c r="K40" s="1"/>
      <c r="M40" s="3">
        <v>42879</v>
      </c>
      <c r="N40" t="s">
        <v>57</v>
      </c>
      <c r="P40" t="s">
        <v>56</v>
      </c>
      <c r="Q40">
        <v>4500</v>
      </c>
      <c r="R40" s="3">
        <v>42909</v>
      </c>
      <c r="S40" t="s">
        <v>57</v>
      </c>
      <c r="U40" t="s">
        <v>60</v>
      </c>
      <c r="V40">
        <v>970</v>
      </c>
      <c r="AG40" t="s">
        <v>208</v>
      </c>
      <c r="AH40" s="3">
        <v>42905</v>
      </c>
      <c r="AI40">
        <v>6498</v>
      </c>
      <c r="AJ40">
        <v>0</v>
      </c>
      <c r="AS40" t="s">
        <v>209</v>
      </c>
      <c r="AT40" s="3">
        <v>42986</v>
      </c>
      <c r="AU40">
        <v>34735</v>
      </c>
      <c r="AV40">
        <v>0</v>
      </c>
      <c r="AW40">
        <v>756</v>
      </c>
      <c r="AX40">
        <v>0</v>
      </c>
    </row>
    <row r="41" spans="1:50" x14ac:dyDescent="0.25">
      <c r="A41" t="s">
        <v>218</v>
      </c>
      <c r="B41" s="3">
        <v>42886</v>
      </c>
      <c r="C41" t="s">
        <v>87</v>
      </c>
      <c r="D41" t="s">
        <v>88</v>
      </c>
      <c r="E41" t="s">
        <v>89</v>
      </c>
      <c r="F41">
        <v>6498</v>
      </c>
      <c r="G41" t="s">
        <v>219</v>
      </c>
      <c r="H41" s="3">
        <v>42886</v>
      </c>
      <c r="I41" t="s">
        <v>107</v>
      </c>
      <c r="J41">
        <v>5800</v>
      </c>
      <c r="K41" s="1"/>
      <c r="M41" s="3">
        <v>42886</v>
      </c>
      <c r="N41" t="s">
        <v>57</v>
      </c>
      <c r="O41" t="s">
        <v>220</v>
      </c>
      <c r="P41" t="s">
        <v>56</v>
      </c>
      <c r="Q41">
        <v>4600</v>
      </c>
      <c r="R41" s="3">
        <v>42909</v>
      </c>
      <c r="S41" t="s">
        <v>57</v>
      </c>
      <c r="U41" t="s">
        <v>60</v>
      </c>
      <c r="V41">
        <v>970</v>
      </c>
      <c r="AG41" t="s">
        <v>208</v>
      </c>
      <c r="AH41" s="3">
        <v>42905</v>
      </c>
      <c r="AI41">
        <v>6498</v>
      </c>
      <c r="AJ41">
        <v>0</v>
      </c>
      <c r="AS41" t="s">
        <v>209</v>
      </c>
      <c r="AT41" s="3">
        <v>42986</v>
      </c>
      <c r="AU41">
        <v>34735</v>
      </c>
      <c r="AV41">
        <v>0</v>
      </c>
      <c r="AW41">
        <v>756</v>
      </c>
      <c r="AX41">
        <v>0</v>
      </c>
    </row>
    <row r="42" spans="1:50" x14ac:dyDescent="0.25">
      <c r="A42" t="s">
        <v>221</v>
      </c>
      <c r="B42" s="3">
        <v>42891</v>
      </c>
      <c r="C42" t="s">
        <v>87</v>
      </c>
      <c r="D42" t="s">
        <v>88</v>
      </c>
      <c r="E42" t="s">
        <v>89</v>
      </c>
      <c r="F42">
        <v>6498</v>
      </c>
      <c r="G42" t="s">
        <v>222</v>
      </c>
      <c r="H42" s="3">
        <v>42891</v>
      </c>
      <c r="I42" t="s">
        <v>107</v>
      </c>
      <c r="J42">
        <v>5800</v>
      </c>
      <c r="K42" s="1"/>
      <c r="M42" s="3">
        <v>42896</v>
      </c>
      <c r="N42" t="s">
        <v>57</v>
      </c>
      <c r="O42" t="s">
        <v>223</v>
      </c>
      <c r="P42" t="s">
        <v>56</v>
      </c>
      <c r="Q42">
        <v>4700</v>
      </c>
      <c r="R42" s="3">
        <v>42929</v>
      </c>
      <c r="S42" t="s">
        <v>57</v>
      </c>
      <c r="U42" t="s">
        <v>60</v>
      </c>
      <c r="V42">
        <v>970</v>
      </c>
      <c r="AG42" t="s">
        <v>224</v>
      </c>
      <c r="AH42" s="3">
        <v>42915</v>
      </c>
      <c r="AI42">
        <v>6498</v>
      </c>
      <c r="AJ42">
        <v>0</v>
      </c>
      <c r="AS42" t="s">
        <v>209</v>
      </c>
      <c r="AT42" s="3">
        <v>42986</v>
      </c>
      <c r="AU42">
        <v>19491</v>
      </c>
      <c r="AV42">
        <v>0</v>
      </c>
      <c r="AW42">
        <v>398</v>
      </c>
      <c r="AX42">
        <v>0</v>
      </c>
    </row>
    <row r="43" spans="1:50" x14ac:dyDescent="0.25">
      <c r="A43" t="s">
        <v>225</v>
      </c>
      <c r="B43" s="3">
        <v>42900</v>
      </c>
      <c r="C43" t="s">
        <v>87</v>
      </c>
      <c r="D43" t="s">
        <v>152</v>
      </c>
      <c r="E43" t="s">
        <v>89</v>
      </c>
      <c r="F43">
        <v>5295</v>
      </c>
      <c r="G43" t="s">
        <v>226</v>
      </c>
      <c r="H43" s="3">
        <v>42900</v>
      </c>
      <c r="I43" t="s">
        <v>107</v>
      </c>
      <c r="J43">
        <v>4600</v>
      </c>
      <c r="K43" s="1"/>
      <c r="M43" s="3">
        <v>42916</v>
      </c>
      <c r="N43" t="s">
        <v>57</v>
      </c>
      <c r="P43" t="s">
        <v>56</v>
      </c>
      <c r="Q43">
        <v>3500</v>
      </c>
      <c r="R43" s="3">
        <v>42920</v>
      </c>
      <c r="S43" t="s">
        <v>57</v>
      </c>
      <c r="U43" t="s">
        <v>60</v>
      </c>
      <c r="V43">
        <v>970</v>
      </c>
      <c r="AG43" t="s">
        <v>224</v>
      </c>
      <c r="AH43" s="3">
        <v>42915</v>
      </c>
      <c r="AI43">
        <v>5295</v>
      </c>
      <c r="AJ43">
        <v>0</v>
      </c>
      <c r="AS43" t="s">
        <v>209</v>
      </c>
      <c r="AT43" s="3">
        <v>42986</v>
      </c>
      <c r="AU43">
        <v>19491</v>
      </c>
      <c r="AV43">
        <v>0</v>
      </c>
      <c r="AW43">
        <v>398</v>
      </c>
      <c r="AX43">
        <v>0</v>
      </c>
    </row>
    <row r="44" spans="1:50" x14ac:dyDescent="0.25">
      <c r="A44" t="s">
        <v>227</v>
      </c>
      <c r="B44" s="3">
        <v>42903</v>
      </c>
      <c r="C44" t="s">
        <v>87</v>
      </c>
      <c r="D44" t="s">
        <v>228</v>
      </c>
      <c r="E44" t="s">
        <v>89</v>
      </c>
      <c r="F44">
        <v>8096</v>
      </c>
      <c r="G44" t="s">
        <v>229</v>
      </c>
      <c r="H44" s="3">
        <v>42903</v>
      </c>
      <c r="I44" t="s">
        <v>230</v>
      </c>
      <c r="J44">
        <v>7000</v>
      </c>
      <c r="K44" s="1"/>
      <c r="M44" s="3">
        <v>42907</v>
      </c>
      <c r="N44" t="s">
        <v>54</v>
      </c>
      <c r="O44" t="s">
        <v>201</v>
      </c>
      <c r="P44" t="s">
        <v>56</v>
      </c>
      <c r="Q44">
        <v>5800</v>
      </c>
      <c r="R44" s="3">
        <v>42929</v>
      </c>
      <c r="S44" t="s">
        <v>54</v>
      </c>
      <c r="T44" t="s">
        <v>201</v>
      </c>
      <c r="U44" t="s">
        <v>60</v>
      </c>
      <c r="V44">
        <v>950</v>
      </c>
      <c r="AG44" t="s">
        <v>224</v>
      </c>
      <c r="AH44" s="3">
        <v>42915</v>
      </c>
      <c r="AI44">
        <v>8096</v>
      </c>
      <c r="AJ44">
        <v>0</v>
      </c>
      <c r="AS44" t="s">
        <v>209</v>
      </c>
      <c r="AT44" s="3">
        <v>42986</v>
      </c>
      <c r="AU44">
        <v>19491</v>
      </c>
      <c r="AV44">
        <v>0</v>
      </c>
      <c r="AW44">
        <v>398</v>
      </c>
      <c r="AX44">
        <v>0</v>
      </c>
    </row>
    <row r="45" spans="1:50" x14ac:dyDescent="0.25">
      <c r="A45" t="s">
        <v>231</v>
      </c>
      <c r="B45" s="3">
        <v>42935</v>
      </c>
      <c r="C45" t="s">
        <v>87</v>
      </c>
      <c r="D45" t="s">
        <v>152</v>
      </c>
      <c r="E45" t="s">
        <v>89</v>
      </c>
      <c r="F45">
        <v>5295</v>
      </c>
      <c r="G45" t="s">
        <v>232</v>
      </c>
      <c r="H45" s="3">
        <v>42935</v>
      </c>
      <c r="I45" t="s">
        <v>107</v>
      </c>
      <c r="J45">
        <v>4400</v>
      </c>
      <c r="K45" s="1"/>
      <c r="M45" s="3">
        <v>42935</v>
      </c>
      <c r="N45" t="s">
        <v>57</v>
      </c>
      <c r="P45" t="s">
        <v>56</v>
      </c>
      <c r="Q45">
        <v>3300</v>
      </c>
      <c r="R45" s="3">
        <v>42971</v>
      </c>
      <c r="S45" t="s">
        <v>54</v>
      </c>
      <c r="T45" t="s">
        <v>233</v>
      </c>
      <c r="U45" t="s">
        <v>60</v>
      </c>
      <c r="V45">
        <v>970</v>
      </c>
      <c r="AG45" t="s">
        <v>234</v>
      </c>
      <c r="AH45" s="3">
        <v>42963</v>
      </c>
      <c r="AI45">
        <v>5295</v>
      </c>
      <c r="AJ45">
        <v>0</v>
      </c>
      <c r="AS45" t="s">
        <v>249</v>
      </c>
      <c r="AT45" s="3">
        <v>43062</v>
      </c>
      <c r="AU45">
        <v>48302</v>
      </c>
      <c r="AV45">
        <v>0</v>
      </c>
      <c r="AW45">
        <v>986</v>
      </c>
      <c r="AX45">
        <v>0</v>
      </c>
    </row>
    <row r="46" spans="1:50" x14ac:dyDescent="0.25">
      <c r="A46" t="s">
        <v>235</v>
      </c>
      <c r="B46" s="3">
        <v>42937</v>
      </c>
      <c r="C46" t="s">
        <v>87</v>
      </c>
      <c r="D46" t="s">
        <v>206</v>
      </c>
      <c r="E46" t="s">
        <v>89</v>
      </c>
      <c r="F46">
        <v>9150</v>
      </c>
      <c r="G46" t="s">
        <v>236</v>
      </c>
      <c r="H46" s="3">
        <v>42937</v>
      </c>
      <c r="I46" t="s">
        <v>107</v>
      </c>
      <c r="J46">
        <v>8000</v>
      </c>
      <c r="K46" s="1"/>
      <c r="M46" s="3">
        <v>42940</v>
      </c>
      <c r="N46" t="s">
        <v>57</v>
      </c>
      <c r="P46" t="s">
        <v>56</v>
      </c>
      <c r="Q46">
        <v>6800</v>
      </c>
      <c r="R46" s="3">
        <v>42971</v>
      </c>
      <c r="S46" t="s">
        <v>54</v>
      </c>
      <c r="T46" t="s">
        <v>233</v>
      </c>
      <c r="U46" t="s">
        <v>60</v>
      </c>
      <c r="V46">
        <v>970</v>
      </c>
      <c r="AG46" t="s">
        <v>234</v>
      </c>
      <c r="AH46" s="3">
        <v>42963</v>
      </c>
      <c r="AI46">
        <v>9150</v>
      </c>
      <c r="AJ46">
        <v>0</v>
      </c>
      <c r="AS46" t="s">
        <v>249</v>
      </c>
      <c r="AT46" s="3">
        <v>43062</v>
      </c>
      <c r="AU46">
        <v>48302</v>
      </c>
      <c r="AV46">
        <v>0</v>
      </c>
      <c r="AW46">
        <v>986</v>
      </c>
      <c r="AX46">
        <v>0</v>
      </c>
    </row>
    <row r="47" spans="1:50" x14ac:dyDescent="0.25">
      <c r="A47" t="s">
        <v>237</v>
      </c>
      <c r="B47" s="3">
        <v>42937</v>
      </c>
      <c r="C47" t="s">
        <v>87</v>
      </c>
      <c r="D47" t="s">
        <v>238</v>
      </c>
      <c r="E47" t="s">
        <v>89</v>
      </c>
      <c r="F47">
        <v>8050</v>
      </c>
      <c r="G47" t="s">
        <v>239</v>
      </c>
      <c r="H47" s="3">
        <v>42937</v>
      </c>
      <c r="I47" t="s">
        <v>107</v>
      </c>
      <c r="J47">
        <v>7000</v>
      </c>
      <c r="K47" s="1"/>
      <c r="M47" s="3">
        <v>42940</v>
      </c>
      <c r="N47" t="s">
        <v>57</v>
      </c>
      <c r="P47" t="s">
        <v>56</v>
      </c>
      <c r="Q47">
        <v>5850</v>
      </c>
      <c r="R47" s="3">
        <v>42971</v>
      </c>
      <c r="S47" t="s">
        <v>54</v>
      </c>
      <c r="T47" t="s">
        <v>233</v>
      </c>
      <c r="U47" t="s">
        <v>60</v>
      </c>
      <c r="V47">
        <v>970</v>
      </c>
      <c r="AG47" t="s">
        <v>234</v>
      </c>
      <c r="AH47" s="3">
        <v>42963</v>
      </c>
      <c r="AI47">
        <v>8050</v>
      </c>
      <c r="AJ47">
        <v>0</v>
      </c>
      <c r="AS47" t="s">
        <v>249</v>
      </c>
      <c r="AT47" s="3">
        <v>43062</v>
      </c>
      <c r="AU47">
        <v>48302</v>
      </c>
      <c r="AV47">
        <v>0</v>
      </c>
      <c r="AW47">
        <v>986</v>
      </c>
      <c r="AX47">
        <v>0</v>
      </c>
    </row>
    <row r="48" spans="1:50" x14ac:dyDescent="0.25">
      <c r="A48" t="s">
        <v>240</v>
      </c>
      <c r="B48" s="3">
        <v>42941</v>
      </c>
      <c r="C48" t="s">
        <v>87</v>
      </c>
      <c r="D48" t="s">
        <v>241</v>
      </c>
      <c r="E48" t="s">
        <v>89</v>
      </c>
      <c r="F48">
        <v>6498</v>
      </c>
      <c r="G48" t="s">
        <v>242</v>
      </c>
      <c r="H48" s="3">
        <v>42941</v>
      </c>
      <c r="I48" t="s">
        <v>243</v>
      </c>
      <c r="J48">
        <v>5000</v>
      </c>
      <c r="K48" s="1"/>
      <c r="M48" s="3">
        <v>42942</v>
      </c>
      <c r="N48" t="s">
        <v>57</v>
      </c>
      <c r="P48" t="s">
        <v>56</v>
      </c>
      <c r="Q48">
        <v>4200</v>
      </c>
      <c r="R48" s="3">
        <v>42966</v>
      </c>
      <c r="S48" t="s">
        <v>57</v>
      </c>
      <c r="U48" t="s">
        <v>60</v>
      </c>
      <c r="V48">
        <v>670</v>
      </c>
      <c r="AG48" t="s">
        <v>234</v>
      </c>
      <c r="AH48" s="3">
        <v>42963</v>
      </c>
      <c r="AI48">
        <v>6498</v>
      </c>
      <c r="AJ48">
        <v>0</v>
      </c>
      <c r="AS48" t="s">
        <v>249</v>
      </c>
      <c r="AT48" s="3">
        <v>43062</v>
      </c>
      <c r="AU48">
        <v>48302</v>
      </c>
      <c r="AV48">
        <v>0</v>
      </c>
      <c r="AW48">
        <v>986</v>
      </c>
      <c r="AX48">
        <v>0</v>
      </c>
    </row>
    <row r="49" spans="1:50" x14ac:dyDescent="0.25">
      <c r="A49" t="s">
        <v>244</v>
      </c>
      <c r="B49" s="3">
        <v>42941</v>
      </c>
      <c r="C49" t="s">
        <v>87</v>
      </c>
      <c r="D49" t="s">
        <v>245</v>
      </c>
      <c r="E49" t="s">
        <v>89</v>
      </c>
      <c r="F49">
        <v>6950</v>
      </c>
      <c r="G49" t="s">
        <v>246</v>
      </c>
      <c r="H49" s="3">
        <v>42941</v>
      </c>
      <c r="I49" t="s">
        <v>107</v>
      </c>
      <c r="J49">
        <v>5700</v>
      </c>
      <c r="K49" s="1"/>
      <c r="M49" s="3">
        <v>42942</v>
      </c>
      <c r="N49" t="s">
        <v>57</v>
      </c>
      <c r="P49" t="s">
        <v>56</v>
      </c>
      <c r="Q49">
        <v>4600</v>
      </c>
      <c r="R49" s="3">
        <v>42971</v>
      </c>
      <c r="S49" t="s">
        <v>54</v>
      </c>
      <c r="T49" t="s">
        <v>233</v>
      </c>
      <c r="U49" t="s">
        <v>60</v>
      </c>
      <c r="V49">
        <v>970</v>
      </c>
      <c r="AG49" t="s">
        <v>234</v>
      </c>
      <c r="AH49" s="3">
        <v>42963</v>
      </c>
      <c r="AI49">
        <v>6950</v>
      </c>
      <c r="AJ49">
        <v>0</v>
      </c>
      <c r="AS49" t="s">
        <v>249</v>
      </c>
      <c r="AT49" s="3">
        <v>43062</v>
      </c>
      <c r="AU49">
        <v>48302</v>
      </c>
      <c r="AV49">
        <v>0</v>
      </c>
      <c r="AW49">
        <v>986</v>
      </c>
      <c r="AX49">
        <v>0</v>
      </c>
    </row>
    <row r="50" spans="1:50" x14ac:dyDescent="0.25">
      <c r="A50" t="s">
        <v>247</v>
      </c>
      <c r="B50" s="3">
        <v>42942</v>
      </c>
      <c r="C50" t="s">
        <v>87</v>
      </c>
      <c r="D50" t="s">
        <v>152</v>
      </c>
      <c r="E50" t="s">
        <v>89</v>
      </c>
      <c r="F50">
        <v>5295</v>
      </c>
      <c r="G50" t="s">
        <v>248</v>
      </c>
      <c r="H50" s="3">
        <v>42942</v>
      </c>
      <c r="I50" t="s">
        <v>107</v>
      </c>
      <c r="J50">
        <v>4400</v>
      </c>
      <c r="K50" s="1"/>
      <c r="M50" s="3">
        <v>42942</v>
      </c>
      <c r="N50" t="s">
        <v>57</v>
      </c>
      <c r="P50" t="s">
        <v>56</v>
      </c>
      <c r="Q50">
        <v>3300</v>
      </c>
      <c r="R50" s="3">
        <v>42971</v>
      </c>
      <c r="S50" t="s">
        <v>54</v>
      </c>
      <c r="T50" t="s">
        <v>233</v>
      </c>
      <c r="U50" t="s">
        <v>60</v>
      </c>
      <c r="V50">
        <v>970</v>
      </c>
      <c r="AG50" t="s">
        <v>234</v>
      </c>
      <c r="AH50" s="3">
        <v>42963</v>
      </c>
      <c r="AI50">
        <v>5295</v>
      </c>
      <c r="AJ50">
        <v>0</v>
      </c>
      <c r="AS50" t="s">
        <v>249</v>
      </c>
      <c r="AT50" s="3">
        <v>43062</v>
      </c>
      <c r="AU50">
        <v>48302</v>
      </c>
      <c r="AV50">
        <v>0</v>
      </c>
      <c r="AW50">
        <v>986</v>
      </c>
      <c r="AX50">
        <v>0</v>
      </c>
    </row>
    <row r="51" spans="1:50" x14ac:dyDescent="0.25">
      <c r="A51" t="s">
        <v>250</v>
      </c>
      <c r="B51" s="3">
        <v>42945</v>
      </c>
      <c r="C51" t="s">
        <v>87</v>
      </c>
      <c r="D51" t="s">
        <v>251</v>
      </c>
      <c r="E51" t="s">
        <v>89</v>
      </c>
      <c r="F51">
        <v>6498</v>
      </c>
      <c r="G51" t="s">
        <v>252</v>
      </c>
      <c r="H51" s="3">
        <v>42945</v>
      </c>
      <c r="I51" t="s">
        <v>107</v>
      </c>
      <c r="J51">
        <v>5800</v>
      </c>
      <c r="K51" s="1"/>
      <c r="M51" s="3">
        <v>42947</v>
      </c>
      <c r="N51" t="s">
        <v>57</v>
      </c>
      <c r="O51" t="s">
        <v>253</v>
      </c>
      <c r="P51" t="s">
        <v>56</v>
      </c>
      <c r="Q51">
        <v>4700</v>
      </c>
      <c r="R51" s="3">
        <v>42986</v>
      </c>
      <c r="S51" t="s">
        <v>57</v>
      </c>
      <c r="U51" t="s">
        <v>60</v>
      </c>
      <c r="V51">
        <v>970</v>
      </c>
      <c r="AG51" t="s">
        <v>254</v>
      </c>
      <c r="AH51" s="3">
        <v>42985</v>
      </c>
      <c r="AI51">
        <v>6498</v>
      </c>
      <c r="AJ51">
        <v>0</v>
      </c>
      <c r="AS51" t="s">
        <v>249</v>
      </c>
      <c r="AT51" s="3">
        <v>43062</v>
      </c>
      <c r="AU51">
        <v>35705</v>
      </c>
      <c r="AV51">
        <v>0</v>
      </c>
      <c r="AW51">
        <v>729</v>
      </c>
      <c r="AX51">
        <v>0</v>
      </c>
    </row>
    <row r="52" spans="1:50" x14ac:dyDescent="0.25">
      <c r="A52" t="s">
        <v>255</v>
      </c>
      <c r="B52" s="3">
        <v>42947</v>
      </c>
      <c r="C52" t="s">
        <v>87</v>
      </c>
      <c r="D52" t="s">
        <v>256</v>
      </c>
      <c r="E52" t="s">
        <v>89</v>
      </c>
      <c r="F52">
        <v>12200</v>
      </c>
      <c r="G52" t="s">
        <v>257</v>
      </c>
      <c r="H52" s="3">
        <v>42947</v>
      </c>
      <c r="I52" t="s">
        <v>230</v>
      </c>
      <c r="J52">
        <v>16000</v>
      </c>
      <c r="K52" s="1"/>
      <c r="M52" s="3">
        <v>42947</v>
      </c>
      <c r="N52" t="s">
        <v>54</v>
      </c>
      <c r="O52" t="s">
        <v>258</v>
      </c>
      <c r="P52" t="s">
        <v>56</v>
      </c>
      <c r="Q52">
        <v>8850</v>
      </c>
      <c r="R52" s="3">
        <v>42947</v>
      </c>
      <c r="S52" t="s">
        <v>57</v>
      </c>
      <c r="U52" t="s">
        <v>56</v>
      </c>
      <c r="V52">
        <v>5500</v>
      </c>
      <c r="W52" s="3">
        <v>42968</v>
      </c>
      <c r="X52" t="s">
        <v>54</v>
      </c>
      <c r="Y52" t="s">
        <v>259</v>
      </c>
      <c r="Z52" t="s">
        <v>60</v>
      </c>
      <c r="AA52">
        <v>1450</v>
      </c>
      <c r="AG52" t="s">
        <v>260</v>
      </c>
      <c r="AH52" s="3">
        <v>42963</v>
      </c>
      <c r="AI52">
        <v>12200</v>
      </c>
      <c r="AJ52">
        <v>0</v>
      </c>
      <c r="AS52" t="s">
        <v>264</v>
      </c>
      <c r="AT52" s="3">
        <v>43049</v>
      </c>
      <c r="AU52">
        <v>11956</v>
      </c>
      <c r="AV52">
        <v>0</v>
      </c>
      <c r="AW52">
        <v>244</v>
      </c>
      <c r="AX52">
        <v>0</v>
      </c>
    </row>
    <row r="53" spans="1:50" x14ac:dyDescent="0.25">
      <c r="A53" t="s">
        <v>261</v>
      </c>
      <c r="B53" s="3">
        <v>42947</v>
      </c>
      <c r="C53" t="s">
        <v>87</v>
      </c>
      <c r="D53" t="s">
        <v>262</v>
      </c>
      <c r="E53" t="s">
        <v>89</v>
      </c>
      <c r="F53">
        <v>8050</v>
      </c>
      <c r="G53" t="s">
        <v>263</v>
      </c>
      <c r="H53" s="3">
        <v>42947</v>
      </c>
      <c r="I53" t="s">
        <v>230</v>
      </c>
      <c r="J53">
        <v>0</v>
      </c>
      <c r="K53" s="1"/>
      <c r="AG53" t="s">
        <v>234</v>
      </c>
      <c r="AH53" s="3">
        <v>42963</v>
      </c>
      <c r="AI53">
        <v>8050</v>
      </c>
      <c r="AJ53">
        <v>0</v>
      </c>
      <c r="AS53" t="s">
        <v>249</v>
      </c>
      <c r="AT53" s="3">
        <v>43062</v>
      </c>
      <c r="AU53">
        <v>48302</v>
      </c>
      <c r="AV53">
        <v>0</v>
      </c>
      <c r="AW53">
        <v>986</v>
      </c>
      <c r="AX53">
        <v>0</v>
      </c>
    </row>
    <row r="54" spans="1:50" x14ac:dyDescent="0.25">
      <c r="A54" t="s">
        <v>265</v>
      </c>
      <c r="B54" s="3">
        <v>42952</v>
      </c>
      <c r="C54" t="s">
        <v>87</v>
      </c>
      <c r="D54" t="s">
        <v>152</v>
      </c>
      <c r="E54" t="s">
        <v>89</v>
      </c>
      <c r="F54">
        <v>5295</v>
      </c>
      <c r="G54" t="s">
        <v>266</v>
      </c>
      <c r="H54" s="3">
        <v>42952</v>
      </c>
      <c r="I54" t="s">
        <v>107</v>
      </c>
      <c r="J54">
        <v>4500</v>
      </c>
      <c r="K54" s="1"/>
      <c r="M54" s="3">
        <v>42952</v>
      </c>
      <c r="N54" t="s">
        <v>57</v>
      </c>
      <c r="O54" t="s">
        <v>267</v>
      </c>
      <c r="P54" t="s">
        <v>56</v>
      </c>
      <c r="Q54">
        <v>3400</v>
      </c>
      <c r="R54" s="3">
        <v>42971</v>
      </c>
      <c r="S54" t="s">
        <v>54</v>
      </c>
      <c r="T54" t="s">
        <v>233</v>
      </c>
      <c r="U54" t="s">
        <v>60</v>
      </c>
      <c r="V54">
        <v>970</v>
      </c>
      <c r="AG54" t="s">
        <v>268</v>
      </c>
      <c r="AH54" s="3">
        <v>42969</v>
      </c>
      <c r="AI54">
        <v>5295</v>
      </c>
      <c r="AJ54">
        <v>0</v>
      </c>
      <c r="AS54" t="s">
        <v>249</v>
      </c>
      <c r="AT54" s="3">
        <v>43062</v>
      </c>
      <c r="AU54">
        <v>25814</v>
      </c>
      <c r="AV54">
        <v>0</v>
      </c>
      <c r="AW54">
        <v>527</v>
      </c>
      <c r="AX54">
        <v>0</v>
      </c>
    </row>
    <row r="55" spans="1:50" x14ac:dyDescent="0.25">
      <c r="A55" t="s">
        <v>269</v>
      </c>
      <c r="B55" s="3">
        <v>42955</v>
      </c>
      <c r="C55" t="s">
        <v>87</v>
      </c>
      <c r="D55" t="s">
        <v>142</v>
      </c>
      <c r="E55" t="s">
        <v>89</v>
      </c>
      <c r="F55">
        <v>6498</v>
      </c>
      <c r="G55" t="s">
        <v>270</v>
      </c>
      <c r="H55" s="3">
        <v>42955</v>
      </c>
      <c r="I55" t="s">
        <v>107</v>
      </c>
      <c r="J55">
        <v>5600</v>
      </c>
      <c r="K55" s="1"/>
      <c r="M55" s="3">
        <v>42958</v>
      </c>
      <c r="N55" t="s">
        <v>57</v>
      </c>
      <c r="P55" t="s">
        <v>56</v>
      </c>
      <c r="Q55">
        <v>4500</v>
      </c>
      <c r="R55" s="3">
        <v>42971</v>
      </c>
      <c r="S55" t="s">
        <v>54</v>
      </c>
      <c r="T55" t="s">
        <v>233</v>
      </c>
      <c r="U55" t="s">
        <v>60</v>
      </c>
      <c r="V55">
        <v>970</v>
      </c>
      <c r="AG55" t="s">
        <v>268</v>
      </c>
      <c r="AH55" s="3">
        <v>42969</v>
      </c>
      <c r="AI55">
        <v>6498</v>
      </c>
      <c r="AJ55">
        <v>0</v>
      </c>
      <c r="AS55" t="s">
        <v>249</v>
      </c>
      <c r="AT55" s="3">
        <v>43062</v>
      </c>
      <c r="AU55">
        <v>25814</v>
      </c>
      <c r="AV55">
        <v>0</v>
      </c>
      <c r="AW55">
        <v>527</v>
      </c>
      <c r="AX55">
        <v>0</v>
      </c>
    </row>
    <row r="56" spans="1:50" x14ac:dyDescent="0.25">
      <c r="A56" t="s">
        <v>271</v>
      </c>
      <c r="B56" s="3">
        <v>42964</v>
      </c>
      <c r="C56" t="s">
        <v>87</v>
      </c>
      <c r="D56" t="s">
        <v>251</v>
      </c>
      <c r="E56" t="s">
        <v>89</v>
      </c>
      <c r="F56">
        <v>6498</v>
      </c>
      <c r="G56" t="s">
        <v>272</v>
      </c>
      <c r="H56" s="3">
        <v>42964</v>
      </c>
      <c r="I56" t="s">
        <v>107</v>
      </c>
      <c r="J56">
        <v>5600</v>
      </c>
      <c r="K56" s="1"/>
      <c r="M56" s="3">
        <v>42966</v>
      </c>
      <c r="N56" t="s">
        <v>57</v>
      </c>
      <c r="P56" t="s">
        <v>56</v>
      </c>
      <c r="Q56">
        <v>4500</v>
      </c>
      <c r="R56" s="3">
        <v>42971</v>
      </c>
      <c r="S56" t="s">
        <v>54</v>
      </c>
      <c r="T56" t="s">
        <v>233</v>
      </c>
      <c r="U56" t="s">
        <v>60</v>
      </c>
      <c r="V56">
        <v>970</v>
      </c>
      <c r="AG56" t="s">
        <v>268</v>
      </c>
      <c r="AH56" s="3">
        <v>42969</v>
      </c>
      <c r="AI56">
        <v>6498</v>
      </c>
      <c r="AJ56">
        <v>0</v>
      </c>
      <c r="AS56" t="s">
        <v>249</v>
      </c>
      <c r="AT56" s="3">
        <v>43062</v>
      </c>
      <c r="AU56">
        <v>25814</v>
      </c>
      <c r="AV56">
        <v>0</v>
      </c>
      <c r="AW56">
        <v>527</v>
      </c>
      <c r="AX56">
        <v>0</v>
      </c>
    </row>
    <row r="57" spans="1:50" x14ac:dyDescent="0.25">
      <c r="A57" t="s">
        <v>273</v>
      </c>
      <c r="B57" s="3">
        <v>42964</v>
      </c>
      <c r="C57" t="s">
        <v>87</v>
      </c>
      <c r="D57" t="s">
        <v>238</v>
      </c>
      <c r="E57" t="s">
        <v>89</v>
      </c>
      <c r="F57">
        <v>8050</v>
      </c>
      <c r="G57" t="s">
        <v>274</v>
      </c>
      <c r="H57" s="3">
        <v>42964</v>
      </c>
      <c r="I57" t="s">
        <v>107</v>
      </c>
      <c r="J57">
        <v>7250</v>
      </c>
      <c r="K57" s="1"/>
      <c r="M57" s="3">
        <v>42966</v>
      </c>
      <c r="N57" t="s">
        <v>57</v>
      </c>
      <c r="P57" t="s">
        <v>56</v>
      </c>
      <c r="Q57">
        <v>6150</v>
      </c>
      <c r="R57" s="3">
        <v>42971</v>
      </c>
      <c r="S57" t="s">
        <v>54</v>
      </c>
      <c r="T57" t="s">
        <v>233</v>
      </c>
      <c r="U57" t="s">
        <v>60</v>
      </c>
      <c r="V57">
        <v>970</v>
      </c>
      <c r="AG57" t="s">
        <v>268</v>
      </c>
      <c r="AH57" s="3">
        <v>42969</v>
      </c>
      <c r="AI57">
        <v>8050</v>
      </c>
      <c r="AJ57">
        <v>0</v>
      </c>
      <c r="AS57" t="s">
        <v>249</v>
      </c>
      <c r="AT57" s="3">
        <v>43062</v>
      </c>
      <c r="AU57">
        <v>25814</v>
      </c>
      <c r="AV57">
        <v>0</v>
      </c>
      <c r="AW57">
        <v>527</v>
      </c>
      <c r="AX57">
        <v>0</v>
      </c>
    </row>
    <row r="58" spans="1:50" x14ac:dyDescent="0.25">
      <c r="A58" t="s">
        <v>275</v>
      </c>
      <c r="B58" s="3">
        <v>42965</v>
      </c>
      <c r="C58" t="s">
        <v>87</v>
      </c>
      <c r="D58" t="s">
        <v>276</v>
      </c>
      <c r="E58" t="s">
        <v>89</v>
      </c>
      <c r="F58">
        <v>25500</v>
      </c>
      <c r="G58" t="s">
        <v>277</v>
      </c>
      <c r="H58" s="3">
        <v>42965</v>
      </c>
      <c r="I58" t="s">
        <v>278</v>
      </c>
      <c r="J58">
        <v>18000</v>
      </c>
      <c r="K58" s="1"/>
      <c r="M58" s="3">
        <v>42966</v>
      </c>
      <c r="N58" t="s">
        <v>54</v>
      </c>
      <c r="O58" t="s">
        <v>279</v>
      </c>
      <c r="P58" t="s">
        <v>56</v>
      </c>
      <c r="Q58">
        <v>14700</v>
      </c>
      <c r="R58" s="3">
        <v>43049</v>
      </c>
      <c r="S58" t="s">
        <v>54</v>
      </c>
      <c r="T58" t="s">
        <v>280</v>
      </c>
      <c r="U58" t="s">
        <v>60</v>
      </c>
      <c r="V58">
        <v>2900</v>
      </c>
      <c r="AG58" t="s">
        <v>281</v>
      </c>
      <c r="AH58" s="3">
        <v>42998</v>
      </c>
      <c r="AI58">
        <v>25500</v>
      </c>
      <c r="AJ58">
        <v>0</v>
      </c>
      <c r="AS58" t="s">
        <v>292</v>
      </c>
      <c r="AT58" s="3">
        <v>43343</v>
      </c>
      <c r="AU58">
        <v>24990</v>
      </c>
      <c r="AV58">
        <v>0</v>
      </c>
      <c r="AW58">
        <v>510</v>
      </c>
      <c r="AX58">
        <v>0</v>
      </c>
    </row>
    <row r="59" spans="1:50" x14ac:dyDescent="0.25">
      <c r="A59" t="s">
        <v>282</v>
      </c>
      <c r="B59" s="3">
        <v>42965</v>
      </c>
      <c r="C59" t="s">
        <v>87</v>
      </c>
      <c r="D59" t="s">
        <v>142</v>
      </c>
      <c r="E59" t="s">
        <v>89</v>
      </c>
      <c r="F59">
        <v>7650</v>
      </c>
      <c r="G59" t="s">
        <v>283</v>
      </c>
      <c r="H59" s="3">
        <v>42965</v>
      </c>
      <c r="I59" t="s">
        <v>107</v>
      </c>
      <c r="J59">
        <v>6900</v>
      </c>
      <c r="K59" s="1"/>
      <c r="M59" s="3">
        <v>42966</v>
      </c>
      <c r="N59" t="s">
        <v>57</v>
      </c>
      <c r="P59" t="s">
        <v>56</v>
      </c>
      <c r="Q59">
        <v>5800</v>
      </c>
      <c r="R59" s="3">
        <v>42986</v>
      </c>
      <c r="S59" t="s">
        <v>57</v>
      </c>
      <c r="U59" t="s">
        <v>60</v>
      </c>
      <c r="V59">
        <v>970</v>
      </c>
      <c r="AG59" t="s">
        <v>284</v>
      </c>
      <c r="AH59" s="3">
        <v>42990</v>
      </c>
      <c r="AI59">
        <v>7650</v>
      </c>
      <c r="AJ59">
        <v>0</v>
      </c>
      <c r="AS59" t="s">
        <v>293</v>
      </c>
      <c r="AT59" s="3">
        <v>43151</v>
      </c>
      <c r="AU59">
        <v>7498</v>
      </c>
      <c r="AV59">
        <v>0</v>
      </c>
      <c r="AW59">
        <v>152</v>
      </c>
      <c r="AX59">
        <v>0</v>
      </c>
    </row>
    <row r="60" spans="1:50" x14ac:dyDescent="0.25">
      <c r="A60" t="s">
        <v>285</v>
      </c>
      <c r="B60" s="3">
        <v>42965</v>
      </c>
      <c r="C60" t="s">
        <v>87</v>
      </c>
      <c r="D60" t="s">
        <v>152</v>
      </c>
      <c r="E60" t="s">
        <v>89</v>
      </c>
      <c r="F60">
        <v>5295</v>
      </c>
      <c r="G60" t="s">
        <v>286</v>
      </c>
      <c r="H60" s="3">
        <v>42965</v>
      </c>
      <c r="I60" t="s">
        <v>107</v>
      </c>
      <c r="J60">
        <v>4600</v>
      </c>
      <c r="K60" s="1"/>
      <c r="M60" s="3">
        <v>42966</v>
      </c>
      <c r="N60" t="s">
        <v>57</v>
      </c>
      <c r="P60" t="s">
        <v>56</v>
      </c>
      <c r="Q60">
        <v>3500</v>
      </c>
      <c r="R60" s="3">
        <v>42986</v>
      </c>
      <c r="S60" t="s">
        <v>57</v>
      </c>
      <c r="U60" t="s">
        <v>60</v>
      </c>
      <c r="V60">
        <v>970</v>
      </c>
      <c r="AG60" t="s">
        <v>254</v>
      </c>
      <c r="AH60" s="3">
        <v>42985</v>
      </c>
      <c r="AI60">
        <v>5295</v>
      </c>
      <c r="AJ60">
        <v>0</v>
      </c>
      <c r="AS60" t="s">
        <v>249</v>
      </c>
      <c r="AT60" s="3">
        <v>43062</v>
      </c>
      <c r="AU60">
        <v>35705</v>
      </c>
      <c r="AV60">
        <v>0</v>
      </c>
      <c r="AW60">
        <v>729</v>
      </c>
      <c r="AX60">
        <v>0</v>
      </c>
    </row>
    <row r="61" spans="1:50" x14ac:dyDescent="0.25">
      <c r="A61" t="s">
        <v>287</v>
      </c>
      <c r="B61" s="3">
        <v>42965</v>
      </c>
      <c r="C61" t="s">
        <v>87</v>
      </c>
      <c r="D61" t="s">
        <v>288</v>
      </c>
      <c r="E61" t="s">
        <v>89</v>
      </c>
      <c r="F61">
        <v>8049</v>
      </c>
      <c r="G61" t="s">
        <v>289</v>
      </c>
      <c r="H61" s="3">
        <v>42965</v>
      </c>
      <c r="I61" t="s">
        <v>290</v>
      </c>
      <c r="J61">
        <v>0</v>
      </c>
      <c r="K61" s="1"/>
      <c r="AG61" t="s">
        <v>291</v>
      </c>
      <c r="AH61" s="3">
        <v>42998</v>
      </c>
      <c r="AI61">
        <v>8049</v>
      </c>
      <c r="AJ61">
        <v>0</v>
      </c>
      <c r="AS61" t="s">
        <v>294</v>
      </c>
      <c r="AT61" s="3">
        <v>43089</v>
      </c>
      <c r="AU61">
        <v>46438</v>
      </c>
      <c r="AV61">
        <v>0</v>
      </c>
      <c r="AW61">
        <v>2304</v>
      </c>
      <c r="AX61">
        <v>0</v>
      </c>
    </row>
    <row r="62" spans="1:50" x14ac:dyDescent="0.25">
      <c r="A62" t="s">
        <v>295</v>
      </c>
      <c r="B62" s="3">
        <v>42968</v>
      </c>
      <c r="C62" t="s">
        <v>87</v>
      </c>
      <c r="D62" t="s">
        <v>276</v>
      </c>
      <c r="E62" t="s">
        <v>89</v>
      </c>
      <c r="F62">
        <v>9500</v>
      </c>
      <c r="G62" t="s">
        <v>296</v>
      </c>
      <c r="H62" s="3">
        <v>42968</v>
      </c>
      <c r="I62" t="s">
        <v>278</v>
      </c>
      <c r="J62">
        <v>6000</v>
      </c>
      <c r="K62" s="1"/>
      <c r="M62" s="3">
        <v>42968</v>
      </c>
      <c r="N62" t="s">
        <v>54</v>
      </c>
      <c r="O62" t="s">
        <v>297</v>
      </c>
      <c r="P62" t="s">
        <v>56</v>
      </c>
      <c r="Q62">
        <v>4900</v>
      </c>
      <c r="R62" s="3">
        <v>42984</v>
      </c>
      <c r="S62" t="s">
        <v>57</v>
      </c>
      <c r="U62" t="s">
        <v>60</v>
      </c>
      <c r="V62">
        <v>970</v>
      </c>
      <c r="AG62" t="s">
        <v>298</v>
      </c>
      <c r="AH62" s="3">
        <v>42975</v>
      </c>
      <c r="AI62">
        <v>9500</v>
      </c>
      <c r="AJ62">
        <v>0</v>
      </c>
      <c r="AS62" t="s">
        <v>293</v>
      </c>
      <c r="AT62" s="3">
        <v>43151</v>
      </c>
      <c r="AU62">
        <v>9310</v>
      </c>
      <c r="AV62">
        <v>0</v>
      </c>
      <c r="AW62">
        <v>190</v>
      </c>
      <c r="AX62">
        <v>0</v>
      </c>
    </row>
    <row r="63" spans="1:50" x14ac:dyDescent="0.25">
      <c r="A63" t="s">
        <v>299</v>
      </c>
      <c r="B63" s="3">
        <v>42971</v>
      </c>
      <c r="C63" t="s">
        <v>87</v>
      </c>
      <c r="D63" t="s">
        <v>300</v>
      </c>
      <c r="E63" t="s">
        <v>89</v>
      </c>
      <c r="F63">
        <v>3595</v>
      </c>
      <c r="G63" t="s">
        <v>301</v>
      </c>
      <c r="H63" s="3">
        <v>42971</v>
      </c>
      <c r="I63" t="s">
        <v>107</v>
      </c>
      <c r="J63">
        <v>3000</v>
      </c>
      <c r="K63" s="1"/>
      <c r="M63" s="3">
        <v>42971</v>
      </c>
      <c r="N63" t="s">
        <v>57</v>
      </c>
      <c r="P63" t="s">
        <v>56</v>
      </c>
      <c r="Q63">
        <v>1900</v>
      </c>
      <c r="R63" s="3">
        <v>42986</v>
      </c>
      <c r="S63" t="s">
        <v>57</v>
      </c>
      <c r="U63" t="s">
        <v>60</v>
      </c>
      <c r="V63">
        <v>970</v>
      </c>
      <c r="AG63" t="s">
        <v>254</v>
      </c>
      <c r="AH63" s="3">
        <v>42985</v>
      </c>
      <c r="AI63">
        <v>3595</v>
      </c>
      <c r="AJ63">
        <v>0</v>
      </c>
      <c r="AS63" t="s">
        <v>249</v>
      </c>
      <c r="AT63" s="3">
        <v>43062</v>
      </c>
      <c r="AU63">
        <v>35705</v>
      </c>
      <c r="AV63">
        <v>0</v>
      </c>
      <c r="AW63">
        <v>729</v>
      </c>
      <c r="AX63">
        <v>0</v>
      </c>
    </row>
    <row r="64" spans="1:50" x14ac:dyDescent="0.25">
      <c r="A64" t="s">
        <v>302</v>
      </c>
      <c r="B64" s="3">
        <v>42971</v>
      </c>
      <c r="C64" t="s">
        <v>87</v>
      </c>
      <c r="D64" t="s">
        <v>262</v>
      </c>
      <c r="E64" t="s">
        <v>89</v>
      </c>
      <c r="F64">
        <v>8050</v>
      </c>
      <c r="G64" t="s">
        <v>303</v>
      </c>
      <c r="H64" s="3">
        <v>42971</v>
      </c>
      <c r="I64" t="s">
        <v>230</v>
      </c>
      <c r="J64">
        <v>7500</v>
      </c>
      <c r="K64" s="1"/>
      <c r="M64" s="3">
        <v>42977</v>
      </c>
      <c r="N64" t="s">
        <v>54</v>
      </c>
      <c r="O64" t="s">
        <v>304</v>
      </c>
      <c r="P64" t="s">
        <v>56</v>
      </c>
      <c r="Q64">
        <v>6400</v>
      </c>
      <c r="R64" s="3">
        <v>42996</v>
      </c>
      <c r="S64" t="s">
        <v>54</v>
      </c>
      <c r="T64" t="s">
        <v>305</v>
      </c>
      <c r="U64" t="s">
        <v>60</v>
      </c>
      <c r="V64">
        <v>970</v>
      </c>
      <c r="AG64" t="s">
        <v>254</v>
      </c>
      <c r="AH64" s="3">
        <v>42985</v>
      </c>
      <c r="AI64">
        <v>8050</v>
      </c>
      <c r="AJ64">
        <v>0</v>
      </c>
      <c r="AS64" t="s">
        <v>249</v>
      </c>
      <c r="AT64" s="3">
        <v>43062</v>
      </c>
      <c r="AU64">
        <v>35705</v>
      </c>
      <c r="AV64">
        <v>0</v>
      </c>
      <c r="AW64">
        <v>729</v>
      </c>
      <c r="AX64">
        <v>0</v>
      </c>
    </row>
    <row r="65" spans="1:50" x14ac:dyDescent="0.25">
      <c r="A65" t="s">
        <v>306</v>
      </c>
      <c r="B65" s="3">
        <v>42976</v>
      </c>
      <c r="C65" t="s">
        <v>87</v>
      </c>
      <c r="D65" t="s">
        <v>241</v>
      </c>
      <c r="E65" t="s">
        <v>89</v>
      </c>
      <c r="F65">
        <v>7650</v>
      </c>
      <c r="G65" t="s">
        <v>307</v>
      </c>
      <c r="H65" s="3">
        <v>42977</v>
      </c>
      <c r="I65" t="s">
        <v>290</v>
      </c>
      <c r="J65">
        <v>6000</v>
      </c>
      <c r="K65" s="1"/>
      <c r="M65" s="3">
        <v>42977</v>
      </c>
      <c r="N65" t="s">
        <v>57</v>
      </c>
      <c r="P65" t="s">
        <v>56</v>
      </c>
      <c r="Q65">
        <v>4400</v>
      </c>
      <c r="R65" s="3">
        <v>43006</v>
      </c>
      <c r="S65" t="s">
        <v>54</v>
      </c>
      <c r="T65" t="s">
        <v>308</v>
      </c>
      <c r="U65" t="s">
        <v>60</v>
      </c>
      <c r="V65">
        <v>1450</v>
      </c>
      <c r="AG65" t="s">
        <v>309</v>
      </c>
      <c r="AH65" s="3">
        <v>42998</v>
      </c>
      <c r="AI65">
        <v>7650</v>
      </c>
      <c r="AJ65">
        <v>0</v>
      </c>
      <c r="AS65" t="s">
        <v>294</v>
      </c>
      <c r="AT65" s="3">
        <v>43089</v>
      </c>
      <c r="AU65">
        <v>7497</v>
      </c>
      <c r="AV65">
        <v>0</v>
      </c>
      <c r="AW65">
        <v>153</v>
      </c>
      <c r="AX65">
        <v>0</v>
      </c>
    </row>
    <row r="66" spans="1:50" x14ac:dyDescent="0.25">
      <c r="A66" t="s">
        <v>310</v>
      </c>
      <c r="B66" s="3">
        <v>42977</v>
      </c>
      <c r="C66" t="s">
        <v>87</v>
      </c>
      <c r="D66" t="s">
        <v>251</v>
      </c>
      <c r="E66" t="s">
        <v>89</v>
      </c>
      <c r="F66">
        <v>6498</v>
      </c>
      <c r="G66" t="s">
        <v>311</v>
      </c>
      <c r="H66" s="3">
        <v>42977</v>
      </c>
      <c r="I66" t="s">
        <v>91</v>
      </c>
      <c r="J66">
        <v>5500</v>
      </c>
      <c r="K66" s="1"/>
      <c r="M66" s="3">
        <v>42978</v>
      </c>
      <c r="N66" t="s">
        <v>57</v>
      </c>
      <c r="P66" t="s">
        <v>56</v>
      </c>
      <c r="Q66">
        <v>4400</v>
      </c>
      <c r="R66" s="3">
        <v>42986</v>
      </c>
      <c r="S66" t="s">
        <v>57</v>
      </c>
      <c r="U66" t="s">
        <v>60</v>
      </c>
      <c r="V66">
        <v>970</v>
      </c>
      <c r="AG66" t="s">
        <v>254</v>
      </c>
      <c r="AH66" s="3">
        <v>42985</v>
      </c>
      <c r="AI66">
        <v>6498</v>
      </c>
      <c r="AJ66">
        <v>0</v>
      </c>
      <c r="AS66" t="s">
        <v>249</v>
      </c>
      <c r="AT66" s="3">
        <v>43062</v>
      </c>
      <c r="AU66">
        <v>35705</v>
      </c>
      <c r="AV66">
        <v>0</v>
      </c>
      <c r="AW66">
        <v>729</v>
      </c>
      <c r="AX66">
        <v>0</v>
      </c>
    </row>
    <row r="67" spans="1:50" x14ac:dyDescent="0.25">
      <c r="A67" t="s">
        <v>312</v>
      </c>
      <c r="B67" s="3">
        <v>42976</v>
      </c>
      <c r="C67" t="s">
        <v>87</v>
      </c>
      <c r="D67" t="s">
        <v>313</v>
      </c>
      <c r="E67" t="s">
        <v>89</v>
      </c>
      <c r="F67">
        <v>6950</v>
      </c>
      <c r="G67" t="s">
        <v>314</v>
      </c>
      <c r="H67" s="3">
        <v>42977</v>
      </c>
      <c r="I67" t="s">
        <v>290</v>
      </c>
      <c r="J67">
        <v>7500</v>
      </c>
      <c r="K67" s="1"/>
      <c r="M67" s="3">
        <v>42977</v>
      </c>
      <c r="N67" t="s">
        <v>57</v>
      </c>
      <c r="P67" t="s">
        <v>56</v>
      </c>
      <c r="Q67">
        <v>4000</v>
      </c>
      <c r="R67" s="3">
        <v>43006</v>
      </c>
      <c r="S67" t="s">
        <v>54</v>
      </c>
      <c r="T67" t="s">
        <v>308</v>
      </c>
      <c r="U67" t="s">
        <v>60</v>
      </c>
      <c r="V67">
        <v>3200</v>
      </c>
      <c r="AG67" t="s">
        <v>291</v>
      </c>
      <c r="AH67" s="3">
        <v>42998</v>
      </c>
      <c r="AI67">
        <v>6950</v>
      </c>
      <c r="AJ67">
        <v>0</v>
      </c>
      <c r="AS67" t="s">
        <v>294</v>
      </c>
      <c r="AT67" s="3">
        <v>43089</v>
      </c>
      <c r="AU67">
        <v>46438</v>
      </c>
      <c r="AV67">
        <v>0</v>
      </c>
      <c r="AW67">
        <v>2304</v>
      </c>
      <c r="AX67">
        <v>0</v>
      </c>
    </row>
    <row r="68" spans="1:50" x14ac:dyDescent="0.25">
      <c r="A68" t="s">
        <v>315</v>
      </c>
      <c r="B68" s="3">
        <v>42976</v>
      </c>
      <c r="C68" t="s">
        <v>87</v>
      </c>
      <c r="D68" t="s">
        <v>245</v>
      </c>
      <c r="E68" t="s">
        <v>89</v>
      </c>
      <c r="F68">
        <v>6950</v>
      </c>
      <c r="K68" s="1"/>
      <c r="AG68" t="s">
        <v>291</v>
      </c>
      <c r="AH68" s="3">
        <v>42998</v>
      </c>
      <c r="AI68">
        <v>6950</v>
      </c>
      <c r="AJ68">
        <v>0</v>
      </c>
      <c r="AS68" t="s">
        <v>294</v>
      </c>
      <c r="AT68" s="3">
        <v>43089</v>
      </c>
      <c r="AU68">
        <v>46438</v>
      </c>
      <c r="AV68">
        <v>0</v>
      </c>
      <c r="AW68">
        <v>2304</v>
      </c>
      <c r="AX68">
        <v>0</v>
      </c>
    </row>
    <row r="69" spans="1:50" x14ac:dyDescent="0.25">
      <c r="A69" t="s">
        <v>316</v>
      </c>
      <c r="B69" s="3">
        <v>42978</v>
      </c>
      <c r="C69" t="s">
        <v>87</v>
      </c>
      <c r="D69" t="s">
        <v>152</v>
      </c>
      <c r="E69" t="s">
        <v>89</v>
      </c>
      <c r="F69">
        <v>7500</v>
      </c>
      <c r="G69" t="s">
        <v>317</v>
      </c>
      <c r="H69" s="3">
        <v>42978</v>
      </c>
      <c r="I69" t="s">
        <v>91</v>
      </c>
      <c r="J69">
        <v>6400</v>
      </c>
      <c r="K69" s="1"/>
      <c r="M69" s="3">
        <v>42983</v>
      </c>
      <c r="N69" t="s">
        <v>57</v>
      </c>
      <c r="P69" t="s">
        <v>56</v>
      </c>
      <c r="Q69">
        <v>5300</v>
      </c>
      <c r="R69" s="3">
        <v>42986</v>
      </c>
      <c r="S69" t="s">
        <v>57</v>
      </c>
      <c r="U69" t="s">
        <v>60</v>
      </c>
      <c r="V69">
        <v>970</v>
      </c>
      <c r="AG69" t="s">
        <v>318</v>
      </c>
      <c r="AH69" s="3">
        <v>42985</v>
      </c>
      <c r="AI69">
        <v>7500</v>
      </c>
      <c r="AJ69">
        <v>0</v>
      </c>
      <c r="AS69" t="s">
        <v>294</v>
      </c>
      <c r="AT69" s="3">
        <v>43089</v>
      </c>
      <c r="AU69">
        <v>7350</v>
      </c>
      <c r="AV69">
        <v>0</v>
      </c>
      <c r="AW69">
        <v>150</v>
      </c>
      <c r="AX69">
        <v>0</v>
      </c>
    </row>
    <row r="70" spans="1:50" x14ac:dyDescent="0.25">
      <c r="A70" t="s">
        <v>319</v>
      </c>
      <c r="B70" s="3">
        <v>42978</v>
      </c>
      <c r="C70" t="s">
        <v>87</v>
      </c>
      <c r="D70" t="s">
        <v>251</v>
      </c>
      <c r="E70" t="s">
        <v>89</v>
      </c>
      <c r="F70">
        <v>6498</v>
      </c>
      <c r="G70" t="s">
        <v>320</v>
      </c>
      <c r="H70" s="3">
        <v>42978</v>
      </c>
      <c r="I70" t="s">
        <v>91</v>
      </c>
      <c r="J70">
        <v>5400</v>
      </c>
      <c r="K70" s="1"/>
      <c r="M70" s="3">
        <v>42978</v>
      </c>
      <c r="N70" t="s">
        <v>57</v>
      </c>
      <c r="P70" t="s">
        <v>56</v>
      </c>
      <c r="Q70">
        <v>4300</v>
      </c>
      <c r="R70" s="3">
        <v>42986</v>
      </c>
      <c r="S70" t="s">
        <v>57</v>
      </c>
      <c r="U70" t="s">
        <v>60</v>
      </c>
      <c r="V70">
        <v>970</v>
      </c>
      <c r="AG70" t="s">
        <v>254</v>
      </c>
      <c r="AH70" s="3">
        <v>42985</v>
      </c>
      <c r="AI70">
        <v>6498</v>
      </c>
      <c r="AJ70">
        <v>0</v>
      </c>
      <c r="AS70" t="s">
        <v>249</v>
      </c>
      <c r="AT70" s="3">
        <v>43062</v>
      </c>
      <c r="AU70">
        <v>35705</v>
      </c>
      <c r="AV70">
        <v>0</v>
      </c>
      <c r="AW70">
        <v>729</v>
      </c>
      <c r="AX70">
        <v>0</v>
      </c>
    </row>
    <row r="71" spans="1:50" x14ac:dyDescent="0.25">
      <c r="A71" t="s">
        <v>321</v>
      </c>
      <c r="B71" s="3">
        <v>42979</v>
      </c>
      <c r="C71" t="s">
        <v>87</v>
      </c>
      <c r="D71" t="s">
        <v>256</v>
      </c>
      <c r="E71" t="s">
        <v>89</v>
      </c>
      <c r="F71">
        <v>15000</v>
      </c>
      <c r="G71" t="s">
        <v>322</v>
      </c>
      <c r="H71" s="3">
        <v>42979</v>
      </c>
      <c r="I71" t="s">
        <v>230</v>
      </c>
      <c r="J71">
        <v>9000</v>
      </c>
      <c r="K71" s="1"/>
      <c r="M71" s="3">
        <v>42983</v>
      </c>
      <c r="N71" t="s">
        <v>54</v>
      </c>
      <c r="O71" t="s">
        <v>305</v>
      </c>
      <c r="P71" t="s">
        <v>56</v>
      </c>
      <c r="Q71">
        <v>7800</v>
      </c>
      <c r="R71" s="3">
        <v>42996</v>
      </c>
      <c r="S71" t="s">
        <v>54</v>
      </c>
      <c r="T71" t="s">
        <v>305</v>
      </c>
      <c r="U71" t="s">
        <v>60</v>
      </c>
      <c r="V71">
        <v>970</v>
      </c>
      <c r="AG71" t="s">
        <v>323</v>
      </c>
      <c r="AH71" s="3">
        <v>42985</v>
      </c>
      <c r="AI71">
        <v>15000</v>
      </c>
      <c r="AJ71">
        <v>0</v>
      </c>
      <c r="AS71" t="s">
        <v>324</v>
      </c>
      <c r="AT71" s="3">
        <v>43176</v>
      </c>
      <c r="AU71">
        <v>14700</v>
      </c>
      <c r="AV71">
        <v>0</v>
      </c>
      <c r="AW71">
        <v>300</v>
      </c>
      <c r="AX71">
        <v>0</v>
      </c>
    </row>
    <row r="72" spans="1:50" x14ac:dyDescent="0.25">
      <c r="A72" t="s">
        <v>325</v>
      </c>
      <c r="B72" s="3">
        <v>42984</v>
      </c>
      <c r="C72" t="s">
        <v>87</v>
      </c>
      <c r="D72" t="s">
        <v>288</v>
      </c>
      <c r="E72" t="s">
        <v>89</v>
      </c>
      <c r="F72">
        <v>8049</v>
      </c>
      <c r="G72" t="s">
        <v>326</v>
      </c>
      <c r="H72" s="3">
        <v>42984</v>
      </c>
      <c r="I72" t="s">
        <v>230</v>
      </c>
      <c r="J72">
        <v>7000</v>
      </c>
      <c r="K72" s="1"/>
      <c r="M72" s="3">
        <v>42986</v>
      </c>
      <c r="N72" t="s">
        <v>54</v>
      </c>
      <c r="O72" t="s">
        <v>327</v>
      </c>
      <c r="P72" t="s">
        <v>56</v>
      </c>
      <c r="Q72">
        <v>5900</v>
      </c>
      <c r="R72" s="3">
        <v>43021</v>
      </c>
      <c r="S72" t="s">
        <v>54</v>
      </c>
      <c r="T72" t="s">
        <v>328</v>
      </c>
      <c r="U72" t="s">
        <v>60</v>
      </c>
      <c r="V72">
        <v>970</v>
      </c>
      <c r="AG72" t="s">
        <v>329</v>
      </c>
      <c r="AH72" s="3">
        <v>43029</v>
      </c>
      <c r="AI72">
        <v>8049</v>
      </c>
      <c r="AJ72">
        <v>0</v>
      </c>
      <c r="AS72" t="s">
        <v>294</v>
      </c>
      <c r="AT72" s="3">
        <v>43089</v>
      </c>
      <c r="AU72">
        <v>59703</v>
      </c>
      <c r="AV72">
        <v>0</v>
      </c>
      <c r="AW72">
        <v>2530</v>
      </c>
      <c r="AX72">
        <v>0</v>
      </c>
    </row>
    <row r="73" spans="1:50" x14ac:dyDescent="0.25">
      <c r="A73" t="s">
        <v>330</v>
      </c>
      <c r="B73" s="3">
        <v>42984</v>
      </c>
      <c r="C73" t="s">
        <v>87</v>
      </c>
      <c r="D73" t="s">
        <v>251</v>
      </c>
      <c r="E73" t="s">
        <v>89</v>
      </c>
      <c r="F73">
        <v>6498</v>
      </c>
      <c r="G73" t="s">
        <v>331</v>
      </c>
      <c r="H73" s="3">
        <v>42984</v>
      </c>
      <c r="I73" t="s">
        <v>107</v>
      </c>
      <c r="J73">
        <v>5300</v>
      </c>
      <c r="K73" s="1"/>
      <c r="M73" s="3">
        <v>42984</v>
      </c>
      <c r="N73" t="s">
        <v>57</v>
      </c>
      <c r="P73" t="s">
        <v>56</v>
      </c>
      <c r="Q73">
        <v>4200</v>
      </c>
      <c r="R73" s="3">
        <v>43018</v>
      </c>
      <c r="S73" t="s">
        <v>57</v>
      </c>
      <c r="T73" t="s">
        <v>253</v>
      </c>
      <c r="U73" t="s">
        <v>60</v>
      </c>
      <c r="V73">
        <v>970</v>
      </c>
      <c r="AG73" t="s">
        <v>332</v>
      </c>
      <c r="AH73" s="3">
        <v>42990</v>
      </c>
      <c r="AI73">
        <v>6498</v>
      </c>
      <c r="AJ73">
        <v>0</v>
      </c>
      <c r="AS73" t="s">
        <v>293</v>
      </c>
      <c r="AT73" s="3">
        <v>43151</v>
      </c>
      <c r="AU73">
        <v>6368</v>
      </c>
      <c r="AV73">
        <v>0</v>
      </c>
      <c r="AW73">
        <v>130</v>
      </c>
      <c r="AX73">
        <v>0</v>
      </c>
    </row>
    <row r="74" spans="1:50" x14ac:dyDescent="0.25">
      <c r="A74" t="s">
        <v>333</v>
      </c>
      <c r="B74" s="3">
        <v>42987</v>
      </c>
      <c r="C74" t="s">
        <v>87</v>
      </c>
      <c r="D74" t="s">
        <v>262</v>
      </c>
      <c r="E74" t="s">
        <v>89</v>
      </c>
      <c r="F74">
        <v>8050</v>
      </c>
      <c r="G74" t="s">
        <v>334</v>
      </c>
      <c r="H74" s="3">
        <v>42987</v>
      </c>
      <c r="I74" t="s">
        <v>230</v>
      </c>
      <c r="J74">
        <v>7000</v>
      </c>
      <c r="K74" s="1"/>
      <c r="M74" s="3">
        <v>42990</v>
      </c>
      <c r="N74" t="s">
        <v>54</v>
      </c>
      <c r="O74" t="s">
        <v>335</v>
      </c>
      <c r="P74" t="s">
        <v>56</v>
      </c>
      <c r="Q74">
        <v>5900</v>
      </c>
      <c r="R74" s="3">
        <v>42997</v>
      </c>
      <c r="S74" t="s">
        <v>54</v>
      </c>
      <c r="T74" t="s">
        <v>305</v>
      </c>
      <c r="U74" t="s">
        <v>60</v>
      </c>
      <c r="V74">
        <v>970</v>
      </c>
      <c r="AG74" t="s">
        <v>336</v>
      </c>
      <c r="AH74" s="3">
        <v>42997</v>
      </c>
      <c r="AI74">
        <v>8050</v>
      </c>
      <c r="AJ74">
        <v>0</v>
      </c>
      <c r="AS74" t="s">
        <v>294</v>
      </c>
      <c r="AT74" s="3">
        <v>43089</v>
      </c>
      <c r="AU74">
        <v>7889</v>
      </c>
      <c r="AV74">
        <v>0</v>
      </c>
      <c r="AW74">
        <v>161</v>
      </c>
      <c r="AX74">
        <v>0</v>
      </c>
    </row>
    <row r="75" spans="1:50" x14ac:dyDescent="0.25">
      <c r="A75" t="s">
        <v>337</v>
      </c>
      <c r="B75" s="3">
        <v>42987</v>
      </c>
      <c r="C75" t="s">
        <v>87</v>
      </c>
      <c r="D75" t="s">
        <v>238</v>
      </c>
      <c r="E75" t="s">
        <v>89</v>
      </c>
      <c r="F75">
        <v>8050</v>
      </c>
      <c r="G75" t="s">
        <v>338</v>
      </c>
      <c r="H75" s="3">
        <v>42987</v>
      </c>
      <c r="I75" t="s">
        <v>339</v>
      </c>
      <c r="J75">
        <v>7250</v>
      </c>
      <c r="K75" s="1"/>
      <c r="M75" s="3">
        <v>42990</v>
      </c>
      <c r="N75" t="s">
        <v>57</v>
      </c>
      <c r="P75" t="s">
        <v>56</v>
      </c>
      <c r="Q75">
        <v>6150</v>
      </c>
      <c r="R75" s="3">
        <v>42997</v>
      </c>
      <c r="S75" t="s">
        <v>57</v>
      </c>
      <c r="U75" t="s">
        <v>60</v>
      </c>
      <c r="V75">
        <v>970</v>
      </c>
      <c r="AG75" t="s">
        <v>291</v>
      </c>
      <c r="AH75" s="3">
        <v>42998</v>
      </c>
      <c r="AI75">
        <v>8050</v>
      </c>
      <c r="AJ75">
        <v>0</v>
      </c>
      <c r="AS75" t="s">
        <v>294</v>
      </c>
      <c r="AT75" s="3">
        <v>43089</v>
      </c>
      <c r="AU75">
        <v>46438</v>
      </c>
      <c r="AV75">
        <v>0</v>
      </c>
      <c r="AW75">
        <v>2304</v>
      </c>
      <c r="AX75">
        <v>0</v>
      </c>
    </row>
    <row r="76" spans="1:50" x14ac:dyDescent="0.25">
      <c r="A76" t="s">
        <v>340</v>
      </c>
      <c r="B76" s="3">
        <v>42990</v>
      </c>
      <c r="C76" t="s">
        <v>87</v>
      </c>
      <c r="D76" t="s">
        <v>142</v>
      </c>
      <c r="E76" t="s">
        <v>89</v>
      </c>
      <c r="F76">
        <v>6498</v>
      </c>
      <c r="G76" t="s">
        <v>341</v>
      </c>
      <c r="H76" s="3">
        <v>42990</v>
      </c>
      <c r="I76" t="s">
        <v>136</v>
      </c>
      <c r="J76">
        <v>5600</v>
      </c>
      <c r="K76" s="1"/>
      <c r="M76" s="3">
        <v>42990</v>
      </c>
      <c r="N76" t="s">
        <v>57</v>
      </c>
      <c r="P76" t="s">
        <v>56</v>
      </c>
      <c r="Q76">
        <v>4500</v>
      </c>
      <c r="R76" s="3">
        <v>42997</v>
      </c>
      <c r="S76" t="s">
        <v>57</v>
      </c>
      <c r="U76" t="s">
        <v>60</v>
      </c>
      <c r="V76">
        <v>970</v>
      </c>
      <c r="AG76" t="s">
        <v>291</v>
      </c>
      <c r="AH76" s="3">
        <v>42998</v>
      </c>
      <c r="AI76">
        <v>6498</v>
      </c>
      <c r="AJ76">
        <v>0</v>
      </c>
      <c r="AS76" t="s">
        <v>294</v>
      </c>
      <c r="AT76" s="3">
        <v>43089</v>
      </c>
      <c r="AU76">
        <v>46438</v>
      </c>
      <c r="AV76">
        <v>0</v>
      </c>
      <c r="AW76">
        <v>2304</v>
      </c>
      <c r="AX76">
        <v>0</v>
      </c>
    </row>
    <row r="77" spans="1:50" x14ac:dyDescent="0.25">
      <c r="A77" t="s">
        <v>342</v>
      </c>
      <c r="B77" s="3">
        <v>42990</v>
      </c>
      <c r="C77" t="s">
        <v>87</v>
      </c>
      <c r="D77" t="s">
        <v>206</v>
      </c>
      <c r="E77" t="s">
        <v>89</v>
      </c>
      <c r="F77">
        <v>9150</v>
      </c>
      <c r="G77" t="s">
        <v>343</v>
      </c>
      <c r="H77" s="3">
        <v>42990</v>
      </c>
      <c r="I77" t="s">
        <v>344</v>
      </c>
      <c r="J77">
        <v>7500</v>
      </c>
      <c r="K77" s="1"/>
      <c r="M77" s="3">
        <v>42990</v>
      </c>
      <c r="N77" t="s">
        <v>54</v>
      </c>
      <c r="O77" t="s">
        <v>344</v>
      </c>
      <c r="P77" t="s">
        <v>56</v>
      </c>
      <c r="Q77">
        <v>6900</v>
      </c>
      <c r="R77" s="3">
        <v>43020</v>
      </c>
      <c r="S77" t="s">
        <v>57</v>
      </c>
      <c r="T77" t="s">
        <v>345</v>
      </c>
      <c r="U77" t="s">
        <v>60</v>
      </c>
      <c r="V77">
        <v>470</v>
      </c>
      <c r="AG77" t="s">
        <v>346</v>
      </c>
      <c r="AH77" s="3">
        <v>43001</v>
      </c>
      <c r="AI77">
        <v>9150</v>
      </c>
      <c r="AJ77">
        <v>0</v>
      </c>
      <c r="AS77" t="s">
        <v>294</v>
      </c>
      <c r="AT77" s="3">
        <v>43089</v>
      </c>
      <c r="AU77">
        <v>8967</v>
      </c>
      <c r="AV77">
        <v>0</v>
      </c>
      <c r="AW77">
        <v>183</v>
      </c>
      <c r="AX77">
        <v>0</v>
      </c>
    </row>
    <row r="78" spans="1:50" x14ac:dyDescent="0.25">
      <c r="A78" t="s">
        <v>347</v>
      </c>
      <c r="B78" s="3">
        <v>42991</v>
      </c>
      <c r="C78" t="s">
        <v>87</v>
      </c>
      <c r="D78" t="s">
        <v>152</v>
      </c>
      <c r="E78" t="s">
        <v>89</v>
      </c>
      <c r="F78">
        <v>5295</v>
      </c>
      <c r="G78" t="s">
        <v>348</v>
      </c>
      <c r="H78" s="3">
        <v>42991</v>
      </c>
      <c r="I78" t="s">
        <v>136</v>
      </c>
      <c r="J78">
        <v>4500</v>
      </c>
      <c r="K78" s="1"/>
      <c r="M78" s="3">
        <v>42993</v>
      </c>
      <c r="N78" t="s">
        <v>57</v>
      </c>
      <c r="P78" t="s">
        <v>56</v>
      </c>
      <c r="Q78">
        <v>3400</v>
      </c>
      <c r="R78" s="3">
        <v>42997</v>
      </c>
      <c r="S78" t="s">
        <v>57</v>
      </c>
      <c r="U78" t="s">
        <v>60</v>
      </c>
      <c r="V78">
        <v>970</v>
      </c>
      <c r="AG78" t="s">
        <v>291</v>
      </c>
      <c r="AH78" s="3">
        <v>42998</v>
      </c>
      <c r="AI78">
        <v>5295</v>
      </c>
      <c r="AJ78">
        <v>0</v>
      </c>
      <c r="AS78" t="s">
        <v>294</v>
      </c>
      <c r="AT78" s="3">
        <v>43089</v>
      </c>
      <c r="AU78">
        <v>46438</v>
      </c>
      <c r="AV78">
        <v>0</v>
      </c>
      <c r="AW78">
        <v>2304</v>
      </c>
      <c r="AX78">
        <v>0</v>
      </c>
    </row>
    <row r="79" spans="1:50" x14ac:dyDescent="0.25">
      <c r="A79" t="s">
        <v>349</v>
      </c>
      <c r="B79" s="3">
        <v>42993</v>
      </c>
      <c r="C79" t="s">
        <v>87</v>
      </c>
      <c r="D79" t="s">
        <v>245</v>
      </c>
      <c r="E79" t="s">
        <v>89</v>
      </c>
      <c r="F79">
        <v>6950</v>
      </c>
      <c r="G79" t="s">
        <v>350</v>
      </c>
      <c r="H79" s="3">
        <v>42993</v>
      </c>
      <c r="I79" t="s">
        <v>136</v>
      </c>
      <c r="J79">
        <v>5800</v>
      </c>
      <c r="K79" s="1"/>
      <c r="M79" s="3">
        <v>42993</v>
      </c>
      <c r="N79" t="s">
        <v>57</v>
      </c>
      <c r="P79" t="s">
        <v>56</v>
      </c>
      <c r="Q79">
        <v>4700</v>
      </c>
      <c r="R79" s="3">
        <v>42997</v>
      </c>
      <c r="S79" t="s">
        <v>57</v>
      </c>
      <c r="U79" t="s">
        <v>60</v>
      </c>
      <c r="V79">
        <v>970</v>
      </c>
      <c r="AG79" t="s">
        <v>291</v>
      </c>
      <c r="AH79" s="3">
        <v>42998</v>
      </c>
      <c r="AI79">
        <v>6950</v>
      </c>
      <c r="AJ79">
        <v>0</v>
      </c>
      <c r="AS79" t="s">
        <v>294</v>
      </c>
      <c r="AT79" s="3">
        <v>43089</v>
      </c>
      <c r="AU79">
        <v>46438</v>
      </c>
      <c r="AV79">
        <v>0</v>
      </c>
      <c r="AW79">
        <v>2304</v>
      </c>
      <c r="AX79">
        <v>0</v>
      </c>
    </row>
    <row r="80" spans="1:50" x14ac:dyDescent="0.25">
      <c r="A80" t="s">
        <v>351</v>
      </c>
      <c r="B80" s="3">
        <v>42997</v>
      </c>
      <c r="C80" t="s">
        <v>87</v>
      </c>
      <c r="D80" t="s">
        <v>152</v>
      </c>
      <c r="E80" t="s">
        <v>89</v>
      </c>
      <c r="F80">
        <v>5298</v>
      </c>
      <c r="G80" t="s">
        <v>352</v>
      </c>
      <c r="H80" s="3">
        <v>42997</v>
      </c>
      <c r="I80" t="s">
        <v>230</v>
      </c>
      <c r="J80">
        <v>0</v>
      </c>
      <c r="K80" s="1"/>
      <c r="AG80" t="s">
        <v>353</v>
      </c>
      <c r="AH80" s="3">
        <v>43038</v>
      </c>
      <c r="AI80">
        <v>5298</v>
      </c>
      <c r="AJ80">
        <v>0</v>
      </c>
      <c r="AS80" t="s">
        <v>294</v>
      </c>
      <c r="AT80" s="3">
        <v>43089</v>
      </c>
      <c r="AU80">
        <v>22048</v>
      </c>
      <c r="AV80">
        <v>0</v>
      </c>
      <c r="AW80">
        <v>450</v>
      </c>
      <c r="AX80">
        <v>0</v>
      </c>
    </row>
    <row r="81" spans="1:50" x14ac:dyDescent="0.25">
      <c r="A81" t="s">
        <v>354</v>
      </c>
      <c r="B81" s="3">
        <v>42997</v>
      </c>
      <c r="C81" t="s">
        <v>87</v>
      </c>
      <c r="D81" t="s">
        <v>262</v>
      </c>
      <c r="E81" t="s">
        <v>89</v>
      </c>
      <c r="F81">
        <v>8050</v>
      </c>
      <c r="G81" t="s">
        <v>355</v>
      </c>
      <c r="H81" s="3">
        <v>42997</v>
      </c>
      <c r="I81" t="s">
        <v>230</v>
      </c>
      <c r="J81">
        <v>10500</v>
      </c>
      <c r="K81" s="1"/>
      <c r="M81" s="3">
        <v>42997</v>
      </c>
      <c r="N81" t="s">
        <v>54</v>
      </c>
      <c r="O81" t="s">
        <v>305</v>
      </c>
      <c r="P81" t="s">
        <v>56</v>
      </c>
      <c r="Q81">
        <v>9300</v>
      </c>
      <c r="R81" s="3">
        <v>43061</v>
      </c>
      <c r="S81" t="s">
        <v>54</v>
      </c>
      <c r="T81" t="s">
        <v>356</v>
      </c>
      <c r="U81" t="s">
        <v>60</v>
      </c>
      <c r="V81">
        <v>970</v>
      </c>
      <c r="AG81" t="s">
        <v>353</v>
      </c>
      <c r="AH81" s="3">
        <v>43038</v>
      </c>
      <c r="AI81">
        <v>8050</v>
      </c>
      <c r="AJ81">
        <v>0</v>
      </c>
      <c r="AS81" t="s">
        <v>294</v>
      </c>
      <c r="AT81" s="3">
        <v>43089</v>
      </c>
      <c r="AU81">
        <v>22048</v>
      </c>
      <c r="AV81">
        <v>0</v>
      </c>
      <c r="AW81">
        <v>450</v>
      </c>
      <c r="AX81">
        <v>0</v>
      </c>
    </row>
    <row r="82" spans="1:50" x14ac:dyDescent="0.25">
      <c r="A82" t="s">
        <v>357</v>
      </c>
      <c r="B82" s="3">
        <v>43000</v>
      </c>
      <c r="C82" t="s">
        <v>87</v>
      </c>
      <c r="D82" t="s">
        <v>241</v>
      </c>
      <c r="E82" t="s">
        <v>89</v>
      </c>
      <c r="F82">
        <v>6498</v>
      </c>
      <c r="G82" t="s">
        <v>358</v>
      </c>
      <c r="H82" s="3">
        <v>43000</v>
      </c>
      <c r="I82" t="s">
        <v>344</v>
      </c>
      <c r="J82">
        <v>7500</v>
      </c>
      <c r="K82" s="1"/>
      <c r="M82" s="3">
        <v>43000</v>
      </c>
      <c r="N82" t="s">
        <v>57</v>
      </c>
      <c r="P82" t="s">
        <v>56</v>
      </c>
      <c r="Q82">
        <v>6300</v>
      </c>
      <c r="R82" s="3">
        <v>43020</v>
      </c>
      <c r="S82" t="s">
        <v>54</v>
      </c>
      <c r="T82" t="s">
        <v>359</v>
      </c>
      <c r="U82" t="s">
        <v>60</v>
      </c>
      <c r="V82">
        <v>970</v>
      </c>
      <c r="AG82" t="s">
        <v>329</v>
      </c>
      <c r="AH82" s="3">
        <v>43029</v>
      </c>
      <c r="AI82">
        <v>6498</v>
      </c>
      <c r="AJ82">
        <v>0</v>
      </c>
      <c r="AS82" t="s">
        <v>294</v>
      </c>
      <c r="AT82" s="3">
        <v>43089</v>
      </c>
      <c r="AU82">
        <v>59703</v>
      </c>
      <c r="AV82">
        <v>0</v>
      </c>
      <c r="AW82">
        <v>2530</v>
      </c>
      <c r="AX82">
        <v>0</v>
      </c>
    </row>
    <row r="83" spans="1:50" x14ac:dyDescent="0.25">
      <c r="A83" t="s">
        <v>360</v>
      </c>
      <c r="B83" s="3">
        <v>43000</v>
      </c>
      <c r="C83" t="s">
        <v>87</v>
      </c>
      <c r="D83" t="s">
        <v>152</v>
      </c>
      <c r="E83" t="s">
        <v>89</v>
      </c>
      <c r="F83">
        <v>5295</v>
      </c>
      <c r="G83" t="s">
        <v>361</v>
      </c>
      <c r="H83" s="3">
        <v>43000</v>
      </c>
      <c r="I83" t="s">
        <v>344</v>
      </c>
      <c r="J83">
        <v>0</v>
      </c>
      <c r="K83" s="1"/>
      <c r="AG83" t="s">
        <v>329</v>
      </c>
      <c r="AH83" s="3">
        <v>43029</v>
      </c>
      <c r="AI83">
        <v>5295</v>
      </c>
      <c r="AJ83">
        <v>0</v>
      </c>
      <c r="AS83" t="s">
        <v>294</v>
      </c>
      <c r="AT83" s="3">
        <v>43089</v>
      </c>
      <c r="AU83">
        <v>59703</v>
      </c>
      <c r="AV83">
        <v>0</v>
      </c>
      <c r="AW83">
        <v>2530</v>
      </c>
      <c r="AX83">
        <v>0</v>
      </c>
    </row>
    <row r="84" spans="1:50" x14ac:dyDescent="0.25">
      <c r="A84" t="s">
        <v>362</v>
      </c>
      <c r="B84" s="3">
        <v>43001</v>
      </c>
      <c r="C84" t="s">
        <v>87</v>
      </c>
      <c r="D84" t="s">
        <v>142</v>
      </c>
      <c r="E84" t="s">
        <v>89</v>
      </c>
      <c r="F84">
        <v>6498</v>
      </c>
      <c r="G84" t="s">
        <v>363</v>
      </c>
      <c r="H84" s="3">
        <v>43001</v>
      </c>
      <c r="I84" t="s">
        <v>66</v>
      </c>
      <c r="J84">
        <v>5500</v>
      </c>
      <c r="K84" s="1"/>
      <c r="M84" s="3">
        <v>43005</v>
      </c>
      <c r="N84" t="s">
        <v>57</v>
      </c>
      <c r="P84" t="s">
        <v>56</v>
      </c>
      <c r="Q84">
        <v>4400</v>
      </c>
      <c r="R84" s="3">
        <v>43029</v>
      </c>
      <c r="S84" t="s">
        <v>57</v>
      </c>
      <c r="U84" t="s">
        <v>60</v>
      </c>
      <c r="V84">
        <v>970</v>
      </c>
      <c r="AG84" t="s">
        <v>329</v>
      </c>
      <c r="AH84" s="3">
        <v>43029</v>
      </c>
      <c r="AI84">
        <v>6498</v>
      </c>
      <c r="AJ84">
        <v>0</v>
      </c>
      <c r="AS84" t="s">
        <v>294</v>
      </c>
      <c r="AT84" s="3">
        <v>43089</v>
      </c>
      <c r="AU84">
        <v>59703</v>
      </c>
      <c r="AV84">
        <v>0</v>
      </c>
      <c r="AW84">
        <v>2530</v>
      </c>
      <c r="AX84">
        <v>0</v>
      </c>
    </row>
    <row r="85" spans="1:50" x14ac:dyDescent="0.25">
      <c r="A85" t="s">
        <v>364</v>
      </c>
      <c r="B85" s="3">
        <v>43003</v>
      </c>
      <c r="C85" t="s">
        <v>87</v>
      </c>
      <c r="D85" t="s">
        <v>262</v>
      </c>
      <c r="E85" t="s">
        <v>89</v>
      </c>
      <c r="F85">
        <v>9150</v>
      </c>
      <c r="G85" t="s">
        <v>365</v>
      </c>
      <c r="H85" s="3">
        <v>43003</v>
      </c>
      <c r="I85" t="s">
        <v>230</v>
      </c>
      <c r="J85">
        <v>7000</v>
      </c>
      <c r="K85" s="1"/>
      <c r="M85" s="3">
        <v>43013</v>
      </c>
      <c r="N85" t="s">
        <v>54</v>
      </c>
      <c r="O85" t="s">
        <v>366</v>
      </c>
      <c r="P85" t="s">
        <v>56</v>
      </c>
      <c r="Q85">
        <v>5950</v>
      </c>
      <c r="R85" s="3">
        <v>43061</v>
      </c>
      <c r="S85" t="s">
        <v>54</v>
      </c>
      <c r="T85" t="s">
        <v>356</v>
      </c>
      <c r="U85" t="s">
        <v>60</v>
      </c>
      <c r="V85">
        <v>970</v>
      </c>
      <c r="AG85" t="s">
        <v>353</v>
      </c>
      <c r="AH85" s="3">
        <v>43038</v>
      </c>
      <c r="AI85">
        <v>9150</v>
      </c>
      <c r="AJ85">
        <v>0</v>
      </c>
      <c r="AS85" t="s">
        <v>294</v>
      </c>
      <c r="AT85" s="3">
        <v>43089</v>
      </c>
      <c r="AU85">
        <v>22048</v>
      </c>
      <c r="AV85">
        <v>0</v>
      </c>
      <c r="AW85">
        <v>450</v>
      </c>
      <c r="AX85">
        <v>0</v>
      </c>
    </row>
    <row r="86" spans="1:50" x14ac:dyDescent="0.25">
      <c r="A86" t="s">
        <v>367</v>
      </c>
      <c r="B86" s="3">
        <v>43003</v>
      </c>
      <c r="C86" t="s">
        <v>87</v>
      </c>
      <c r="D86" t="s">
        <v>245</v>
      </c>
      <c r="E86" t="s">
        <v>89</v>
      </c>
      <c r="F86">
        <v>6950</v>
      </c>
      <c r="G86" t="s">
        <v>368</v>
      </c>
      <c r="H86" s="3">
        <v>43003</v>
      </c>
      <c r="I86" t="s">
        <v>66</v>
      </c>
      <c r="J86">
        <v>6000</v>
      </c>
      <c r="K86" s="1"/>
      <c r="M86" s="3">
        <v>43005</v>
      </c>
      <c r="N86" t="s">
        <v>57</v>
      </c>
      <c r="P86" t="s">
        <v>56</v>
      </c>
      <c r="Q86">
        <v>4900</v>
      </c>
      <c r="R86" s="3">
        <v>43029</v>
      </c>
      <c r="S86" t="s">
        <v>57</v>
      </c>
      <c r="U86" t="s">
        <v>60</v>
      </c>
      <c r="V86">
        <v>970</v>
      </c>
      <c r="AG86" t="s">
        <v>329</v>
      </c>
      <c r="AH86" s="3">
        <v>43029</v>
      </c>
      <c r="AI86">
        <v>6950</v>
      </c>
      <c r="AJ86">
        <v>0</v>
      </c>
      <c r="AS86" t="s">
        <v>294</v>
      </c>
      <c r="AT86" s="3">
        <v>43089</v>
      </c>
      <c r="AU86">
        <v>59703</v>
      </c>
      <c r="AV86">
        <v>0</v>
      </c>
      <c r="AW86">
        <v>2530</v>
      </c>
      <c r="AX86">
        <v>0</v>
      </c>
    </row>
    <row r="87" spans="1:50" x14ac:dyDescent="0.25">
      <c r="A87" t="s">
        <v>369</v>
      </c>
      <c r="B87" s="3">
        <v>43005</v>
      </c>
      <c r="C87" t="s">
        <v>87</v>
      </c>
      <c r="D87" t="s">
        <v>206</v>
      </c>
      <c r="E87" t="s">
        <v>89</v>
      </c>
      <c r="F87">
        <v>9100</v>
      </c>
      <c r="G87" t="s">
        <v>370</v>
      </c>
      <c r="H87" s="3">
        <v>43005</v>
      </c>
      <c r="I87" t="s">
        <v>66</v>
      </c>
      <c r="J87">
        <v>8200</v>
      </c>
      <c r="K87" s="1"/>
      <c r="M87" s="3">
        <v>43005</v>
      </c>
      <c r="N87" t="s">
        <v>54</v>
      </c>
      <c r="O87" t="s">
        <v>223</v>
      </c>
      <c r="P87" t="s">
        <v>56</v>
      </c>
      <c r="Q87">
        <v>7100</v>
      </c>
      <c r="R87" s="3">
        <v>43024</v>
      </c>
      <c r="S87" t="s">
        <v>57</v>
      </c>
      <c r="T87" t="s">
        <v>371</v>
      </c>
      <c r="U87" t="s">
        <v>60</v>
      </c>
      <c r="V87">
        <v>970</v>
      </c>
      <c r="AG87" t="s">
        <v>329</v>
      </c>
      <c r="AH87" s="3">
        <v>43029</v>
      </c>
      <c r="AI87">
        <v>9100</v>
      </c>
      <c r="AJ87">
        <v>0</v>
      </c>
      <c r="AS87" t="s">
        <v>294</v>
      </c>
      <c r="AT87" s="3">
        <v>43089</v>
      </c>
      <c r="AU87">
        <v>59703</v>
      </c>
      <c r="AV87">
        <v>0</v>
      </c>
      <c r="AW87">
        <v>2530</v>
      </c>
      <c r="AX87">
        <v>0</v>
      </c>
    </row>
    <row r="88" spans="1:50" x14ac:dyDescent="0.25">
      <c r="A88" t="s">
        <v>372</v>
      </c>
      <c r="B88" s="3">
        <v>43005</v>
      </c>
      <c r="C88" t="s">
        <v>87</v>
      </c>
      <c r="D88" t="s">
        <v>251</v>
      </c>
      <c r="E88" t="s">
        <v>89</v>
      </c>
      <c r="F88">
        <v>6498</v>
      </c>
      <c r="G88" t="s">
        <v>373</v>
      </c>
      <c r="H88" s="3">
        <v>43005</v>
      </c>
      <c r="I88" t="s">
        <v>66</v>
      </c>
      <c r="J88">
        <v>5800</v>
      </c>
      <c r="K88" s="1"/>
      <c r="M88" s="3">
        <v>43005</v>
      </c>
      <c r="N88" t="s">
        <v>57</v>
      </c>
      <c r="P88" t="s">
        <v>56</v>
      </c>
      <c r="Q88">
        <v>4700</v>
      </c>
      <c r="R88" s="3">
        <v>43029</v>
      </c>
      <c r="S88" t="s">
        <v>57</v>
      </c>
      <c r="U88" t="s">
        <v>60</v>
      </c>
      <c r="V88">
        <v>970</v>
      </c>
      <c r="AG88" t="s">
        <v>329</v>
      </c>
      <c r="AH88" s="3">
        <v>43029</v>
      </c>
      <c r="AI88">
        <v>6498</v>
      </c>
      <c r="AJ88">
        <v>0</v>
      </c>
      <c r="AS88" t="s">
        <v>294</v>
      </c>
      <c r="AT88" s="3">
        <v>43089</v>
      </c>
      <c r="AU88">
        <v>59703</v>
      </c>
      <c r="AV88">
        <v>0</v>
      </c>
      <c r="AW88">
        <v>2530</v>
      </c>
      <c r="AX88">
        <v>0</v>
      </c>
    </row>
    <row r="89" spans="1:50" x14ac:dyDescent="0.25">
      <c r="A89" t="s">
        <v>374</v>
      </c>
      <c r="B89" s="3">
        <v>43013</v>
      </c>
      <c r="C89" t="s">
        <v>87</v>
      </c>
      <c r="D89" t="s">
        <v>262</v>
      </c>
      <c r="E89" t="s">
        <v>89</v>
      </c>
      <c r="F89">
        <v>8050</v>
      </c>
      <c r="G89" t="s">
        <v>375</v>
      </c>
      <c r="H89" s="3">
        <v>43013</v>
      </c>
      <c r="I89" t="s">
        <v>230</v>
      </c>
      <c r="J89">
        <v>7000</v>
      </c>
      <c r="K89" s="1"/>
      <c r="M89" s="3">
        <v>43013</v>
      </c>
      <c r="N89" t="s">
        <v>54</v>
      </c>
      <c r="O89" t="s">
        <v>366</v>
      </c>
      <c r="P89" t="s">
        <v>56</v>
      </c>
      <c r="Q89">
        <v>5950</v>
      </c>
      <c r="R89" s="3">
        <v>43024</v>
      </c>
      <c r="S89" t="s">
        <v>54</v>
      </c>
      <c r="T89" t="s">
        <v>376</v>
      </c>
      <c r="U89" t="s">
        <v>60</v>
      </c>
      <c r="V89">
        <v>970</v>
      </c>
      <c r="AG89" t="s">
        <v>329</v>
      </c>
      <c r="AH89" s="3">
        <v>43029</v>
      </c>
      <c r="AI89">
        <v>8050</v>
      </c>
      <c r="AJ89">
        <v>0</v>
      </c>
      <c r="AS89" t="s">
        <v>294</v>
      </c>
      <c r="AT89" s="3">
        <v>43089</v>
      </c>
      <c r="AU89">
        <v>59703</v>
      </c>
      <c r="AV89">
        <v>0</v>
      </c>
      <c r="AW89">
        <v>2530</v>
      </c>
      <c r="AX89">
        <v>0</v>
      </c>
    </row>
    <row r="90" spans="1:50" x14ac:dyDescent="0.25">
      <c r="A90" t="s">
        <v>377</v>
      </c>
      <c r="B90" s="3">
        <v>43014</v>
      </c>
      <c r="C90" t="s">
        <v>87</v>
      </c>
      <c r="D90" t="s">
        <v>378</v>
      </c>
      <c r="E90" t="s">
        <v>89</v>
      </c>
      <c r="F90">
        <v>7450</v>
      </c>
      <c r="G90" t="s">
        <v>379</v>
      </c>
      <c r="H90" s="3">
        <v>43014</v>
      </c>
      <c r="I90" t="s">
        <v>66</v>
      </c>
      <c r="J90">
        <v>11000</v>
      </c>
      <c r="K90" s="1"/>
      <c r="M90" s="3">
        <v>43046</v>
      </c>
      <c r="N90" t="s">
        <v>54</v>
      </c>
      <c r="O90" t="s">
        <v>380</v>
      </c>
      <c r="P90" t="s">
        <v>60</v>
      </c>
      <c r="Q90">
        <v>950</v>
      </c>
      <c r="R90" s="3">
        <v>43046</v>
      </c>
      <c r="S90" t="s">
        <v>54</v>
      </c>
      <c r="T90" t="s">
        <v>381</v>
      </c>
      <c r="U90" t="s">
        <v>56</v>
      </c>
      <c r="V90">
        <v>9850</v>
      </c>
      <c r="AG90" t="s">
        <v>382</v>
      </c>
      <c r="AH90" s="3">
        <v>43029</v>
      </c>
      <c r="AI90">
        <v>7450</v>
      </c>
      <c r="AJ90">
        <v>0</v>
      </c>
      <c r="AS90" t="s">
        <v>294</v>
      </c>
      <c r="AT90" s="3">
        <v>43089</v>
      </c>
      <c r="AU90">
        <v>14602</v>
      </c>
      <c r="AV90">
        <v>0</v>
      </c>
      <c r="AW90">
        <v>298</v>
      </c>
      <c r="AX90">
        <v>0</v>
      </c>
    </row>
    <row r="91" spans="1:50" x14ac:dyDescent="0.25">
      <c r="A91" t="s">
        <v>383</v>
      </c>
      <c r="B91" s="3">
        <v>43014</v>
      </c>
      <c r="C91" t="s">
        <v>87</v>
      </c>
      <c r="D91" t="s">
        <v>384</v>
      </c>
      <c r="E91" t="s">
        <v>89</v>
      </c>
      <c r="F91">
        <v>7450</v>
      </c>
      <c r="K91" s="1"/>
      <c r="AG91" t="s">
        <v>382</v>
      </c>
      <c r="AH91" s="3">
        <v>43029</v>
      </c>
      <c r="AI91">
        <v>7450</v>
      </c>
      <c r="AJ91">
        <v>0</v>
      </c>
      <c r="AS91" t="s">
        <v>294</v>
      </c>
      <c r="AT91" s="3">
        <v>43089</v>
      </c>
      <c r="AU91">
        <v>14602</v>
      </c>
      <c r="AV91">
        <v>0</v>
      </c>
      <c r="AW91">
        <v>298</v>
      </c>
      <c r="AX91">
        <v>0</v>
      </c>
    </row>
    <row r="92" spans="1:50" x14ac:dyDescent="0.25">
      <c r="A92" t="s">
        <v>385</v>
      </c>
      <c r="B92" s="3">
        <v>43015</v>
      </c>
      <c r="C92" t="s">
        <v>87</v>
      </c>
      <c r="D92" t="s">
        <v>152</v>
      </c>
      <c r="E92" t="s">
        <v>89</v>
      </c>
      <c r="F92">
        <v>5295</v>
      </c>
      <c r="G92" t="s">
        <v>386</v>
      </c>
      <c r="H92" s="3">
        <v>43015</v>
      </c>
      <c r="I92" t="s">
        <v>200</v>
      </c>
      <c r="J92">
        <v>4800</v>
      </c>
      <c r="K92" s="1"/>
      <c r="M92" s="3">
        <v>43015</v>
      </c>
      <c r="N92" t="s">
        <v>57</v>
      </c>
      <c r="O92" t="s">
        <v>387</v>
      </c>
      <c r="P92" t="s">
        <v>56</v>
      </c>
      <c r="Q92">
        <v>3700</v>
      </c>
      <c r="R92" s="3">
        <v>43024</v>
      </c>
      <c r="S92" t="s">
        <v>54</v>
      </c>
      <c r="T92" t="s">
        <v>376</v>
      </c>
      <c r="U92" t="s">
        <v>60</v>
      </c>
      <c r="V92">
        <v>970</v>
      </c>
      <c r="AG92" t="s">
        <v>329</v>
      </c>
      <c r="AH92" s="3">
        <v>43029</v>
      </c>
      <c r="AI92">
        <v>5295</v>
      </c>
      <c r="AJ92">
        <v>0</v>
      </c>
      <c r="AS92" t="s">
        <v>294</v>
      </c>
      <c r="AT92" s="3">
        <v>43089</v>
      </c>
      <c r="AU92">
        <v>59703</v>
      </c>
      <c r="AV92">
        <v>0</v>
      </c>
      <c r="AW92">
        <v>2530</v>
      </c>
      <c r="AX92">
        <v>0</v>
      </c>
    </row>
    <row r="93" spans="1:50" x14ac:dyDescent="0.25">
      <c r="A93" t="s">
        <v>388</v>
      </c>
      <c r="B93" s="3">
        <v>43021</v>
      </c>
      <c r="C93" t="s">
        <v>87</v>
      </c>
      <c r="D93" t="s">
        <v>152</v>
      </c>
      <c r="E93" t="s">
        <v>89</v>
      </c>
      <c r="F93">
        <v>5295</v>
      </c>
      <c r="G93" t="s">
        <v>389</v>
      </c>
      <c r="H93" s="3">
        <v>43021</v>
      </c>
      <c r="I93" t="s">
        <v>66</v>
      </c>
      <c r="J93">
        <v>4800</v>
      </c>
      <c r="K93" s="1"/>
      <c r="M93" s="3">
        <v>43024</v>
      </c>
      <c r="N93" t="s">
        <v>57</v>
      </c>
      <c r="O93" t="s">
        <v>390</v>
      </c>
      <c r="P93" t="s">
        <v>56</v>
      </c>
      <c r="Q93">
        <v>3700</v>
      </c>
      <c r="R93" s="3">
        <v>43049</v>
      </c>
      <c r="S93" t="s">
        <v>57</v>
      </c>
      <c r="T93" t="s">
        <v>391</v>
      </c>
      <c r="U93" t="s">
        <v>60</v>
      </c>
      <c r="V93">
        <v>980</v>
      </c>
      <c r="AG93" t="s">
        <v>392</v>
      </c>
      <c r="AH93" s="3">
        <v>43035</v>
      </c>
      <c r="AI93">
        <v>5295</v>
      </c>
      <c r="AJ93">
        <v>0</v>
      </c>
      <c r="AS93" t="s">
        <v>294</v>
      </c>
      <c r="AT93" s="3">
        <v>43089</v>
      </c>
      <c r="AU93">
        <v>19446</v>
      </c>
      <c r="AV93">
        <v>0</v>
      </c>
      <c r="AW93">
        <v>397</v>
      </c>
      <c r="AX93">
        <v>0</v>
      </c>
    </row>
    <row r="94" spans="1:50" x14ac:dyDescent="0.25">
      <c r="A94" t="s">
        <v>393</v>
      </c>
      <c r="B94" s="3">
        <v>43022</v>
      </c>
      <c r="C94" t="s">
        <v>87</v>
      </c>
      <c r="D94" t="s">
        <v>288</v>
      </c>
      <c r="E94" t="s">
        <v>89</v>
      </c>
      <c r="F94">
        <v>8050</v>
      </c>
      <c r="G94" t="s">
        <v>394</v>
      </c>
      <c r="H94" s="3">
        <v>43022</v>
      </c>
      <c r="I94" t="s">
        <v>344</v>
      </c>
      <c r="J94">
        <v>7200</v>
      </c>
      <c r="K94" s="1"/>
      <c r="M94" s="3">
        <v>43024</v>
      </c>
      <c r="N94" t="s">
        <v>54</v>
      </c>
      <c r="O94" t="s">
        <v>395</v>
      </c>
      <c r="P94" t="s">
        <v>56</v>
      </c>
      <c r="Q94">
        <v>6100</v>
      </c>
      <c r="R94" s="3">
        <v>43033</v>
      </c>
      <c r="S94" t="s">
        <v>54</v>
      </c>
      <c r="T94" t="s">
        <v>396</v>
      </c>
      <c r="U94" t="s">
        <v>60</v>
      </c>
      <c r="V94">
        <v>950</v>
      </c>
      <c r="AG94" t="s">
        <v>392</v>
      </c>
      <c r="AH94" s="3">
        <v>43035</v>
      </c>
      <c r="AI94">
        <v>8050</v>
      </c>
      <c r="AJ94">
        <v>0</v>
      </c>
      <c r="AS94" t="s">
        <v>294</v>
      </c>
      <c r="AT94" s="3">
        <v>43089</v>
      </c>
      <c r="AU94">
        <v>19446</v>
      </c>
      <c r="AV94">
        <v>0</v>
      </c>
      <c r="AW94">
        <v>397</v>
      </c>
      <c r="AX94">
        <v>0</v>
      </c>
    </row>
    <row r="95" spans="1:50" x14ac:dyDescent="0.25">
      <c r="A95" t="s">
        <v>397</v>
      </c>
      <c r="B95" s="3">
        <v>43029</v>
      </c>
      <c r="C95" t="s">
        <v>87</v>
      </c>
      <c r="D95" t="s">
        <v>152</v>
      </c>
      <c r="E95" t="s">
        <v>89</v>
      </c>
      <c r="F95">
        <v>5295</v>
      </c>
      <c r="G95" t="s">
        <v>398</v>
      </c>
      <c r="H95" s="3">
        <v>43029</v>
      </c>
      <c r="I95" t="s">
        <v>399</v>
      </c>
      <c r="J95">
        <v>10300</v>
      </c>
      <c r="K95" s="1"/>
      <c r="M95" s="3">
        <v>43029</v>
      </c>
      <c r="N95" t="s">
        <v>54</v>
      </c>
      <c r="O95" t="s">
        <v>399</v>
      </c>
      <c r="P95" t="s">
        <v>56</v>
      </c>
      <c r="Q95">
        <v>9000</v>
      </c>
      <c r="R95" s="3">
        <v>43066</v>
      </c>
      <c r="S95" t="s">
        <v>54</v>
      </c>
      <c r="T95" t="s">
        <v>400</v>
      </c>
      <c r="U95" t="s">
        <v>60</v>
      </c>
      <c r="V95">
        <v>1000</v>
      </c>
      <c r="AG95" t="s">
        <v>401</v>
      </c>
      <c r="AH95" s="3">
        <v>43060</v>
      </c>
      <c r="AI95">
        <v>5295</v>
      </c>
      <c r="AJ95">
        <v>0</v>
      </c>
      <c r="AS95" t="s">
        <v>403</v>
      </c>
      <c r="AT95" s="3">
        <v>43111</v>
      </c>
      <c r="AU95">
        <v>42491</v>
      </c>
      <c r="AV95">
        <v>0</v>
      </c>
      <c r="AW95">
        <v>867</v>
      </c>
      <c r="AX95">
        <v>0</v>
      </c>
    </row>
    <row r="96" spans="1:50" x14ac:dyDescent="0.25">
      <c r="A96" t="s">
        <v>402</v>
      </c>
      <c r="B96" s="3">
        <v>43029</v>
      </c>
      <c r="C96" t="s">
        <v>87</v>
      </c>
      <c r="D96" t="s">
        <v>262</v>
      </c>
      <c r="E96" t="s">
        <v>89</v>
      </c>
      <c r="F96">
        <v>8050</v>
      </c>
      <c r="K96" s="1"/>
      <c r="AG96" t="s">
        <v>401</v>
      </c>
      <c r="AH96" s="3">
        <v>43060</v>
      </c>
      <c r="AI96">
        <v>8050</v>
      </c>
      <c r="AJ96">
        <v>0</v>
      </c>
      <c r="AS96" t="s">
        <v>403</v>
      </c>
      <c r="AT96" s="3">
        <v>43111</v>
      </c>
      <c r="AU96">
        <v>42491</v>
      </c>
      <c r="AV96">
        <v>0</v>
      </c>
      <c r="AW96">
        <v>867</v>
      </c>
      <c r="AX96">
        <v>0</v>
      </c>
    </row>
    <row r="97" spans="1:50" x14ac:dyDescent="0.25">
      <c r="A97" t="s">
        <v>404</v>
      </c>
      <c r="B97" s="3">
        <v>43032</v>
      </c>
      <c r="C97" t="s">
        <v>87</v>
      </c>
      <c r="D97" t="s">
        <v>251</v>
      </c>
      <c r="E97" t="s">
        <v>89</v>
      </c>
      <c r="F97">
        <v>6498</v>
      </c>
      <c r="G97" t="s">
        <v>405</v>
      </c>
      <c r="H97" s="3">
        <v>43032</v>
      </c>
      <c r="I97" t="s">
        <v>66</v>
      </c>
      <c r="J97">
        <v>5400</v>
      </c>
      <c r="K97" s="1"/>
      <c r="M97" s="3">
        <v>43033</v>
      </c>
      <c r="N97" t="s">
        <v>57</v>
      </c>
      <c r="O97" t="s">
        <v>253</v>
      </c>
      <c r="P97" t="s">
        <v>56</v>
      </c>
      <c r="Q97">
        <v>4250</v>
      </c>
      <c r="R97" s="3">
        <v>43049</v>
      </c>
      <c r="S97" t="s">
        <v>57</v>
      </c>
      <c r="T97" t="s">
        <v>406</v>
      </c>
      <c r="U97" t="s">
        <v>60</v>
      </c>
      <c r="V97">
        <v>1000</v>
      </c>
      <c r="AG97" t="s">
        <v>392</v>
      </c>
      <c r="AH97" s="3">
        <v>43035</v>
      </c>
      <c r="AI97">
        <v>6498</v>
      </c>
      <c r="AJ97">
        <v>0</v>
      </c>
      <c r="AS97" t="s">
        <v>294</v>
      </c>
      <c r="AT97" s="3">
        <v>43089</v>
      </c>
      <c r="AU97">
        <v>19446</v>
      </c>
      <c r="AV97">
        <v>0</v>
      </c>
      <c r="AW97">
        <v>397</v>
      </c>
      <c r="AX97">
        <v>0</v>
      </c>
    </row>
    <row r="98" spans="1:50" x14ac:dyDescent="0.25">
      <c r="A98" t="s">
        <v>407</v>
      </c>
      <c r="B98" s="3">
        <v>43032</v>
      </c>
      <c r="C98" t="s">
        <v>87</v>
      </c>
      <c r="D98" t="s">
        <v>408</v>
      </c>
      <c r="E98" t="s">
        <v>89</v>
      </c>
      <c r="F98">
        <v>9718</v>
      </c>
      <c r="G98" t="s">
        <v>409</v>
      </c>
      <c r="H98" s="3">
        <v>43032</v>
      </c>
      <c r="I98" t="s">
        <v>344</v>
      </c>
      <c r="J98">
        <v>7500</v>
      </c>
      <c r="K98" s="1"/>
      <c r="M98" s="3">
        <v>43033</v>
      </c>
      <c r="N98" t="s">
        <v>54</v>
      </c>
      <c r="O98" t="s">
        <v>410</v>
      </c>
      <c r="P98" t="s">
        <v>56</v>
      </c>
      <c r="Q98">
        <v>6400</v>
      </c>
      <c r="R98" s="3">
        <v>43057</v>
      </c>
      <c r="S98" t="s">
        <v>54</v>
      </c>
      <c r="T98" t="s">
        <v>411</v>
      </c>
      <c r="U98" t="s">
        <v>60</v>
      </c>
      <c r="V98">
        <v>970</v>
      </c>
      <c r="AG98" t="s">
        <v>401</v>
      </c>
      <c r="AH98" s="3">
        <v>43060</v>
      </c>
      <c r="AI98">
        <v>9718</v>
      </c>
      <c r="AJ98">
        <v>0</v>
      </c>
      <c r="AS98" t="s">
        <v>403</v>
      </c>
      <c r="AT98" s="3">
        <v>43111</v>
      </c>
      <c r="AU98">
        <v>42491</v>
      </c>
      <c r="AV98">
        <v>0</v>
      </c>
      <c r="AW98">
        <v>867</v>
      </c>
      <c r="AX98">
        <v>0</v>
      </c>
    </row>
    <row r="99" spans="1:50" x14ac:dyDescent="0.25">
      <c r="A99" t="s">
        <v>412</v>
      </c>
      <c r="B99" s="3">
        <v>43034</v>
      </c>
      <c r="C99" t="s">
        <v>87</v>
      </c>
      <c r="D99" t="s">
        <v>238</v>
      </c>
      <c r="E99" t="s">
        <v>89</v>
      </c>
      <c r="F99">
        <v>8050</v>
      </c>
      <c r="G99" t="s">
        <v>413</v>
      </c>
      <c r="H99" s="3">
        <v>43034</v>
      </c>
      <c r="I99" t="s">
        <v>399</v>
      </c>
      <c r="J99">
        <v>7000</v>
      </c>
      <c r="K99" s="1"/>
      <c r="M99" s="3">
        <v>43035</v>
      </c>
      <c r="N99" t="s">
        <v>54</v>
      </c>
      <c r="O99" t="s">
        <v>414</v>
      </c>
      <c r="P99" t="s">
        <v>56</v>
      </c>
      <c r="Q99">
        <v>5900</v>
      </c>
      <c r="R99" s="3">
        <v>43066</v>
      </c>
      <c r="S99" t="s">
        <v>54</v>
      </c>
      <c r="T99" t="s">
        <v>400</v>
      </c>
      <c r="U99" t="s">
        <v>60</v>
      </c>
      <c r="V99">
        <v>970</v>
      </c>
      <c r="AG99" t="s">
        <v>401</v>
      </c>
      <c r="AH99" s="3">
        <v>43060</v>
      </c>
      <c r="AI99">
        <v>8050</v>
      </c>
      <c r="AJ99">
        <v>0</v>
      </c>
      <c r="AS99" t="s">
        <v>403</v>
      </c>
      <c r="AT99" s="3">
        <v>43111</v>
      </c>
      <c r="AU99">
        <v>42491</v>
      </c>
      <c r="AV99">
        <v>0</v>
      </c>
      <c r="AW99">
        <v>867</v>
      </c>
      <c r="AX99">
        <v>0</v>
      </c>
    </row>
    <row r="100" spans="1:50" x14ac:dyDescent="0.25">
      <c r="A100" t="s">
        <v>415</v>
      </c>
      <c r="B100" s="3">
        <v>43039</v>
      </c>
      <c r="C100" t="s">
        <v>87</v>
      </c>
      <c r="D100" t="s">
        <v>142</v>
      </c>
      <c r="E100" t="s">
        <v>89</v>
      </c>
      <c r="F100">
        <v>7650</v>
      </c>
      <c r="G100" t="s">
        <v>416</v>
      </c>
      <c r="H100" s="3">
        <v>43039</v>
      </c>
      <c r="I100" t="s">
        <v>417</v>
      </c>
      <c r="J100">
        <v>8500</v>
      </c>
      <c r="K100" s="1"/>
      <c r="M100" s="3">
        <v>43039</v>
      </c>
      <c r="N100" t="s">
        <v>57</v>
      </c>
      <c r="O100" t="s">
        <v>418</v>
      </c>
      <c r="P100" t="s">
        <v>56</v>
      </c>
      <c r="Q100">
        <v>7300</v>
      </c>
      <c r="R100" s="3">
        <v>43073</v>
      </c>
      <c r="S100" t="s">
        <v>57</v>
      </c>
      <c r="T100" t="s">
        <v>417</v>
      </c>
      <c r="U100" t="s">
        <v>60</v>
      </c>
      <c r="V100">
        <v>970</v>
      </c>
      <c r="AG100" t="s">
        <v>419</v>
      </c>
      <c r="AH100" s="3">
        <v>43084</v>
      </c>
      <c r="AI100">
        <v>7650</v>
      </c>
      <c r="AJ100">
        <v>0</v>
      </c>
      <c r="AS100" t="s">
        <v>434</v>
      </c>
      <c r="AT100" s="3">
        <v>43151</v>
      </c>
      <c r="AU100">
        <v>22363</v>
      </c>
      <c r="AV100">
        <v>0</v>
      </c>
      <c r="AW100">
        <v>587</v>
      </c>
      <c r="AX100">
        <v>0</v>
      </c>
    </row>
    <row r="101" spans="1:50" x14ac:dyDescent="0.25">
      <c r="A101" t="s">
        <v>420</v>
      </c>
      <c r="B101" s="3">
        <v>43039</v>
      </c>
      <c r="C101" t="s">
        <v>87</v>
      </c>
      <c r="D101" t="s">
        <v>251</v>
      </c>
      <c r="E101" t="s">
        <v>89</v>
      </c>
      <c r="F101">
        <v>7650</v>
      </c>
      <c r="K101" s="1"/>
      <c r="AG101" t="s">
        <v>419</v>
      </c>
      <c r="AH101" s="3">
        <v>43084</v>
      </c>
      <c r="AI101">
        <v>7650</v>
      </c>
      <c r="AJ101">
        <v>0</v>
      </c>
      <c r="AS101" t="s">
        <v>434</v>
      </c>
      <c r="AT101" s="3">
        <v>43151</v>
      </c>
      <c r="AU101">
        <v>22363</v>
      </c>
      <c r="AV101">
        <v>0</v>
      </c>
      <c r="AW101">
        <v>587</v>
      </c>
      <c r="AX101">
        <v>0</v>
      </c>
    </row>
    <row r="102" spans="1:50" x14ac:dyDescent="0.25">
      <c r="A102" t="s">
        <v>421</v>
      </c>
      <c r="B102" s="3">
        <v>43039</v>
      </c>
      <c r="C102" t="s">
        <v>87</v>
      </c>
      <c r="D102" t="s">
        <v>313</v>
      </c>
      <c r="E102" t="s">
        <v>89</v>
      </c>
      <c r="F102">
        <v>9300</v>
      </c>
      <c r="G102" t="s">
        <v>422</v>
      </c>
      <c r="H102" s="3">
        <v>43039</v>
      </c>
      <c r="I102" t="s">
        <v>66</v>
      </c>
      <c r="J102">
        <v>6200</v>
      </c>
      <c r="K102" s="1"/>
      <c r="M102" s="3">
        <v>43046</v>
      </c>
      <c r="N102" t="s">
        <v>57</v>
      </c>
      <c r="O102" t="s">
        <v>66</v>
      </c>
      <c r="P102" t="s">
        <v>56</v>
      </c>
      <c r="Q102">
        <v>5000</v>
      </c>
      <c r="R102" s="3">
        <v>43049</v>
      </c>
      <c r="S102" t="s">
        <v>57</v>
      </c>
      <c r="T102" t="s">
        <v>391</v>
      </c>
      <c r="U102" t="s">
        <v>60</v>
      </c>
      <c r="V102">
        <v>1000</v>
      </c>
      <c r="AG102" t="s">
        <v>423</v>
      </c>
      <c r="AH102" s="3">
        <v>43057</v>
      </c>
      <c r="AI102">
        <v>9300</v>
      </c>
      <c r="AJ102">
        <v>0</v>
      </c>
      <c r="AS102" t="s">
        <v>403</v>
      </c>
      <c r="AT102" s="3">
        <v>43111</v>
      </c>
      <c r="AU102">
        <v>9114</v>
      </c>
      <c r="AV102">
        <v>0</v>
      </c>
      <c r="AW102">
        <v>186</v>
      </c>
      <c r="AX102">
        <v>0</v>
      </c>
    </row>
    <row r="103" spans="1:50" x14ac:dyDescent="0.25">
      <c r="A103" t="s">
        <v>424</v>
      </c>
      <c r="B103" s="3">
        <v>43039</v>
      </c>
      <c r="C103" t="s">
        <v>87</v>
      </c>
      <c r="D103" t="s">
        <v>288</v>
      </c>
      <c r="E103" t="s">
        <v>89</v>
      </c>
      <c r="F103">
        <v>8049</v>
      </c>
      <c r="G103" t="s">
        <v>425</v>
      </c>
      <c r="H103" s="3">
        <v>43039</v>
      </c>
      <c r="I103" t="s">
        <v>426</v>
      </c>
      <c r="J103">
        <v>13500</v>
      </c>
      <c r="K103" s="1"/>
      <c r="M103" s="3">
        <v>43043</v>
      </c>
      <c r="N103" t="s">
        <v>54</v>
      </c>
      <c r="O103" t="s">
        <v>427</v>
      </c>
      <c r="P103" t="s">
        <v>56</v>
      </c>
      <c r="Q103">
        <v>11000</v>
      </c>
      <c r="R103" s="3">
        <v>43076</v>
      </c>
      <c r="S103" t="s">
        <v>54</v>
      </c>
      <c r="T103" t="s">
        <v>428</v>
      </c>
      <c r="U103" t="s">
        <v>60</v>
      </c>
      <c r="V103">
        <v>2000</v>
      </c>
      <c r="AG103" t="s">
        <v>429</v>
      </c>
      <c r="AH103" s="3">
        <v>43076</v>
      </c>
      <c r="AI103">
        <v>8049</v>
      </c>
      <c r="AJ103">
        <v>0</v>
      </c>
      <c r="AS103" t="s">
        <v>434</v>
      </c>
      <c r="AT103" s="3">
        <v>43151</v>
      </c>
      <c r="AU103">
        <v>36244</v>
      </c>
      <c r="AV103">
        <v>0</v>
      </c>
      <c r="AW103">
        <v>1250</v>
      </c>
      <c r="AX103">
        <v>0</v>
      </c>
    </row>
    <row r="104" spans="1:50" x14ac:dyDescent="0.25">
      <c r="A104" t="s">
        <v>430</v>
      </c>
      <c r="B104" s="3">
        <v>43039</v>
      </c>
      <c r="C104" t="s">
        <v>87</v>
      </c>
      <c r="D104" t="s">
        <v>262</v>
      </c>
      <c r="E104" t="s">
        <v>89</v>
      </c>
      <c r="F104">
        <v>14200</v>
      </c>
      <c r="K104" s="1"/>
      <c r="AG104" t="s">
        <v>431</v>
      </c>
      <c r="AH104" s="3">
        <v>43076</v>
      </c>
      <c r="AI104">
        <v>14200</v>
      </c>
      <c r="AJ104">
        <v>0</v>
      </c>
      <c r="AS104" t="s">
        <v>434</v>
      </c>
      <c r="AT104" s="3">
        <v>43151</v>
      </c>
      <c r="AU104">
        <v>13916</v>
      </c>
      <c r="AV104">
        <v>0</v>
      </c>
      <c r="AW104">
        <v>284</v>
      </c>
      <c r="AX104">
        <v>0</v>
      </c>
    </row>
    <row r="105" spans="1:50" x14ac:dyDescent="0.25">
      <c r="A105" t="s">
        <v>432</v>
      </c>
      <c r="B105" s="3">
        <v>43041</v>
      </c>
      <c r="C105" t="s">
        <v>87</v>
      </c>
      <c r="D105" t="s">
        <v>206</v>
      </c>
      <c r="E105" t="s">
        <v>89</v>
      </c>
      <c r="F105">
        <v>9150</v>
      </c>
      <c r="G105" t="s">
        <v>433</v>
      </c>
      <c r="H105" s="3">
        <v>43041</v>
      </c>
      <c r="I105" t="s">
        <v>399</v>
      </c>
      <c r="J105">
        <v>8000</v>
      </c>
      <c r="K105" s="1"/>
      <c r="M105" s="3">
        <v>43046</v>
      </c>
      <c r="N105" t="s">
        <v>54</v>
      </c>
      <c r="O105" t="s">
        <v>399</v>
      </c>
      <c r="P105" t="s">
        <v>56</v>
      </c>
      <c r="Q105">
        <v>6900</v>
      </c>
      <c r="R105" s="3">
        <v>43066</v>
      </c>
      <c r="S105" t="s">
        <v>54</v>
      </c>
      <c r="T105" t="s">
        <v>400</v>
      </c>
      <c r="U105" t="s">
        <v>60</v>
      </c>
      <c r="V105">
        <v>970</v>
      </c>
      <c r="AG105" t="s">
        <v>429</v>
      </c>
      <c r="AH105" s="3">
        <v>43076</v>
      </c>
      <c r="AI105">
        <v>9150</v>
      </c>
      <c r="AJ105">
        <v>0</v>
      </c>
      <c r="AS105" t="s">
        <v>434</v>
      </c>
      <c r="AT105" s="3">
        <v>43151</v>
      </c>
      <c r="AU105">
        <v>36244</v>
      </c>
      <c r="AV105">
        <v>0</v>
      </c>
      <c r="AW105">
        <v>1250</v>
      </c>
      <c r="AX105">
        <v>0</v>
      </c>
    </row>
    <row r="106" spans="1:50" x14ac:dyDescent="0.25">
      <c r="A106" t="s">
        <v>435</v>
      </c>
      <c r="B106" s="3">
        <v>43053</v>
      </c>
      <c r="C106" t="s">
        <v>87</v>
      </c>
      <c r="D106" t="s">
        <v>245</v>
      </c>
      <c r="E106" t="s">
        <v>89</v>
      </c>
      <c r="F106">
        <v>6950</v>
      </c>
      <c r="G106" t="s">
        <v>436</v>
      </c>
      <c r="H106" s="3">
        <v>43053</v>
      </c>
      <c r="I106" t="s">
        <v>66</v>
      </c>
      <c r="J106">
        <v>6200</v>
      </c>
      <c r="K106" s="1"/>
      <c r="M106" s="3">
        <v>43057</v>
      </c>
      <c r="N106" t="s">
        <v>57</v>
      </c>
      <c r="O106" t="s">
        <v>253</v>
      </c>
      <c r="P106" t="s">
        <v>56</v>
      </c>
      <c r="Q106">
        <v>5000</v>
      </c>
      <c r="R106" s="3">
        <v>43061</v>
      </c>
      <c r="S106" t="s">
        <v>57</v>
      </c>
      <c r="T106" t="s">
        <v>69</v>
      </c>
      <c r="U106" t="s">
        <v>60</v>
      </c>
      <c r="V106">
        <v>1000</v>
      </c>
      <c r="AG106" t="s">
        <v>401</v>
      </c>
      <c r="AH106" s="3">
        <v>43060</v>
      </c>
      <c r="AI106">
        <v>6950</v>
      </c>
      <c r="AJ106">
        <v>0</v>
      </c>
      <c r="AS106" t="s">
        <v>403</v>
      </c>
      <c r="AT106" s="3">
        <v>43111</v>
      </c>
      <c r="AU106">
        <v>42491</v>
      </c>
      <c r="AV106">
        <v>0</v>
      </c>
      <c r="AW106">
        <v>867</v>
      </c>
      <c r="AX106">
        <v>0</v>
      </c>
    </row>
    <row r="107" spans="1:50" x14ac:dyDescent="0.25">
      <c r="A107" t="s">
        <v>437</v>
      </c>
      <c r="B107" s="3">
        <v>43053</v>
      </c>
      <c r="C107" t="s">
        <v>87</v>
      </c>
      <c r="D107" t="s">
        <v>152</v>
      </c>
      <c r="E107" t="s">
        <v>89</v>
      </c>
      <c r="F107">
        <v>5295</v>
      </c>
      <c r="G107" t="s">
        <v>438</v>
      </c>
      <c r="H107" s="3">
        <v>43053</v>
      </c>
      <c r="I107" t="s">
        <v>66</v>
      </c>
      <c r="J107">
        <v>4600</v>
      </c>
      <c r="K107" s="1"/>
      <c r="M107" s="3">
        <v>43057</v>
      </c>
      <c r="N107" t="s">
        <v>57</v>
      </c>
      <c r="O107" t="s">
        <v>439</v>
      </c>
      <c r="P107" t="s">
        <v>56</v>
      </c>
      <c r="Q107">
        <v>3500</v>
      </c>
      <c r="R107" s="3">
        <v>43061</v>
      </c>
      <c r="S107" t="s">
        <v>57</v>
      </c>
      <c r="T107" t="s">
        <v>69</v>
      </c>
      <c r="U107" t="s">
        <v>60</v>
      </c>
      <c r="V107">
        <v>970</v>
      </c>
      <c r="AG107" t="s">
        <v>401</v>
      </c>
      <c r="AH107" s="3">
        <v>43060</v>
      </c>
      <c r="AI107">
        <v>5295</v>
      </c>
      <c r="AJ107">
        <v>0</v>
      </c>
      <c r="AS107" t="s">
        <v>403</v>
      </c>
      <c r="AT107" s="3">
        <v>43111</v>
      </c>
      <c r="AU107">
        <v>42491</v>
      </c>
      <c r="AV107">
        <v>0</v>
      </c>
      <c r="AW107">
        <v>867</v>
      </c>
      <c r="AX107">
        <v>0</v>
      </c>
    </row>
    <row r="108" spans="1:50" x14ac:dyDescent="0.25">
      <c r="A108" t="s">
        <v>440</v>
      </c>
      <c r="B108" s="3">
        <v>43056</v>
      </c>
      <c r="C108" t="s">
        <v>87</v>
      </c>
      <c r="D108" t="s">
        <v>251</v>
      </c>
      <c r="E108" t="s">
        <v>89</v>
      </c>
      <c r="F108">
        <v>6498</v>
      </c>
      <c r="G108" t="s">
        <v>441</v>
      </c>
      <c r="H108" s="3">
        <v>43056</v>
      </c>
      <c r="I108" t="s">
        <v>344</v>
      </c>
      <c r="J108">
        <v>7000</v>
      </c>
      <c r="K108" s="1"/>
      <c r="M108" s="3">
        <v>43057</v>
      </c>
      <c r="N108" t="s">
        <v>54</v>
      </c>
      <c r="O108" t="s">
        <v>442</v>
      </c>
      <c r="P108" t="s">
        <v>56</v>
      </c>
      <c r="Q108">
        <v>5400</v>
      </c>
      <c r="R108" s="3">
        <v>43073</v>
      </c>
      <c r="S108" t="s">
        <v>57</v>
      </c>
      <c r="T108" t="s">
        <v>443</v>
      </c>
      <c r="U108" t="s">
        <v>60</v>
      </c>
      <c r="V108">
        <v>1450</v>
      </c>
      <c r="AG108" t="s">
        <v>444</v>
      </c>
      <c r="AH108" s="3">
        <v>43084</v>
      </c>
      <c r="AI108">
        <v>6498</v>
      </c>
      <c r="AJ108">
        <v>0</v>
      </c>
      <c r="AS108" t="s">
        <v>434</v>
      </c>
      <c r="AT108" s="3">
        <v>43151</v>
      </c>
      <c r="AU108">
        <v>54906</v>
      </c>
      <c r="AV108">
        <v>0</v>
      </c>
      <c r="AW108">
        <v>1631</v>
      </c>
      <c r="AX108">
        <v>0</v>
      </c>
    </row>
    <row r="109" spans="1:50" x14ac:dyDescent="0.25">
      <c r="A109" t="s">
        <v>445</v>
      </c>
      <c r="B109" s="3">
        <v>43056</v>
      </c>
      <c r="C109" t="s">
        <v>87</v>
      </c>
      <c r="D109" t="s">
        <v>241</v>
      </c>
      <c r="E109" t="s">
        <v>89</v>
      </c>
      <c r="F109">
        <v>6498</v>
      </c>
      <c r="K109" s="1"/>
      <c r="AG109" t="s">
        <v>444</v>
      </c>
      <c r="AH109" s="3">
        <v>43084</v>
      </c>
      <c r="AI109">
        <v>6498</v>
      </c>
      <c r="AJ109">
        <v>0</v>
      </c>
      <c r="AS109" t="s">
        <v>434</v>
      </c>
      <c r="AT109" s="3">
        <v>43151</v>
      </c>
      <c r="AU109">
        <v>54906</v>
      </c>
      <c r="AV109">
        <v>0</v>
      </c>
      <c r="AW109">
        <v>1631</v>
      </c>
      <c r="AX109">
        <v>0</v>
      </c>
    </row>
    <row r="110" spans="1:50" x14ac:dyDescent="0.25">
      <c r="A110" t="s">
        <v>446</v>
      </c>
      <c r="B110" s="3">
        <v>43056</v>
      </c>
      <c r="C110" t="s">
        <v>87</v>
      </c>
      <c r="D110" t="s">
        <v>276</v>
      </c>
      <c r="E110" t="s">
        <v>89</v>
      </c>
      <c r="F110">
        <v>7450</v>
      </c>
      <c r="G110" t="s">
        <v>447</v>
      </c>
      <c r="H110" s="3">
        <v>43056</v>
      </c>
      <c r="I110" t="s">
        <v>344</v>
      </c>
      <c r="J110">
        <v>5500</v>
      </c>
      <c r="K110" s="1"/>
      <c r="M110" s="3">
        <v>43082</v>
      </c>
      <c r="N110" t="s">
        <v>54</v>
      </c>
      <c r="O110" t="s">
        <v>448</v>
      </c>
      <c r="P110" t="s">
        <v>60</v>
      </c>
      <c r="Q110">
        <v>5400</v>
      </c>
      <c r="AG110" t="s">
        <v>449</v>
      </c>
      <c r="AH110" s="3">
        <v>43076</v>
      </c>
      <c r="AI110">
        <v>7450</v>
      </c>
      <c r="AJ110">
        <v>0</v>
      </c>
      <c r="AS110" t="s">
        <v>324</v>
      </c>
      <c r="AT110" s="3">
        <v>43176</v>
      </c>
      <c r="AU110">
        <v>7301</v>
      </c>
      <c r="AV110">
        <v>0</v>
      </c>
      <c r="AW110">
        <v>149</v>
      </c>
      <c r="AX110">
        <v>0</v>
      </c>
    </row>
    <row r="111" spans="1:50" x14ac:dyDescent="0.25">
      <c r="A111" t="s">
        <v>450</v>
      </c>
      <c r="B111" s="3">
        <v>43060</v>
      </c>
      <c r="C111" t="s">
        <v>87</v>
      </c>
      <c r="D111" t="s">
        <v>152</v>
      </c>
      <c r="E111" t="s">
        <v>89</v>
      </c>
      <c r="F111">
        <v>5295</v>
      </c>
      <c r="G111" t="s">
        <v>451</v>
      </c>
      <c r="H111" s="3">
        <v>43060</v>
      </c>
      <c r="I111" t="s">
        <v>66</v>
      </c>
      <c r="J111">
        <v>4800</v>
      </c>
      <c r="K111" s="1"/>
      <c r="M111" s="3">
        <v>43061</v>
      </c>
      <c r="N111" t="s">
        <v>57</v>
      </c>
      <c r="O111" t="s">
        <v>69</v>
      </c>
      <c r="P111" t="s">
        <v>56</v>
      </c>
      <c r="Q111">
        <v>3700</v>
      </c>
      <c r="R111" s="3">
        <v>43099</v>
      </c>
      <c r="S111" t="s">
        <v>57</v>
      </c>
      <c r="T111" t="s">
        <v>452</v>
      </c>
      <c r="U111" t="s">
        <v>60</v>
      </c>
      <c r="V111">
        <v>970</v>
      </c>
      <c r="AG111" t="s">
        <v>429</v>
      </c>
      <c r="AH111" s="3">
        <v>43076</v>
      </c>
      <c r="AI111">
        <v>5295</v>
      </c>
      <c r="AJ111">
        <v>0</v>
      </c>
      <c r="AS111" t="s">
        <v>434</v>
      </c>
      <c r="AT111" s="3">
        <v>43151</v>
      </c>
      <c r="AU111">
        <v>36244</v>
      </c>
      <c r="AV111">
        <v>0</v>
      </c>
      <c r="AW111">
        <v>1250</v>
      </c>
      <c r="AX111">
        <v>0</v>
      </c>
    </row>
    <row r="112" spans="1:50" x14ac:dyDescent="0.25">
      <c r="A112" t="s">
        <v>453</v>
      </c>
      <c r="B112" s="3">
        <v>43061</v>
      </c>
      <c r="C112" t="s">
        <v>87</v>
      </c>
      <c r="D112" t="s">
        <v>408</v>
      </c>
      <c r="E112" t="s">
        <v>89</v>
      </c>
      <c r="F112">
        <v>9718</v>
      </c>
      <c r="G112" t="s">
        <v>454</v>
      </c>
      <c r="H112" s="3">
        <v>43061</v>
      </c>
      <c r="I112" t="s">
        <v>344</v>
      </c>
      <c r="J112">
        <v>8000</v>
      </c>
      <c r="K112" s="1"/>
      <c r="M112" s="3">
        <v>43062</v>
      </c>
      <c r="N112" t="s">
        <v>54</v>
      </c>
      <c r="O112" t="s">
        <v>455</v>
      </c>
      <c r="P112" t="s">
        <v>56</v>
      </c>
      <c r="Q112">
        <v>6900</v>
      </c>
      <c r="R112" s="3">
        <v>43084</v>
      </c>
      <c r="S112" t="s">
        <v>54</v>
      </c>
      <c r="T112" t="s">
        <v>410</v>
      </c>
      <c r="U112" t="s">
        <v>60</v>
      </c>
      <c r="V112">
        <v>970</v>
      </c>
      <c r="AG112" t="s">
        <v>456</v>
      </c>
      <c r="AH112" s="3">
        <v>43084</v>
      </c>
      <c r="AI112">
        <v>9718</v>
      </c>
      <c r="AJ112">
        <v>0</v>
      </c>
      <c r="AS112" t="s">
        <v>324</v>
      </c>
      <c r="AT112" s="3">
        <v>43176</v>
      </c>
      <c r="AU112">
        <v>9524</v>
      </c>
      <c r="AV112">
        <v>0</v>
      </c>
      <c r="AW112">
        <v>194</v>
      </c>
      <c r="AX112">
        <v>0</v>
      </c>
    </row>
    <row r="113" spans="1:50" x14ac:dyDescent="0.25">
      <c r="A113" t="s">
        <v>457</v>
      </c>
      <c r="B113" s="3">
        <v>43066</v>
      </c>
      <c r="C113" t="s">
        <v>87</v>
      </c>
      <c r="D113" t="s">
        <v>313</v>
      </c>
      <c r="E113" t="s">
        <v>89</v>
      </c>
      <c r="F113">
        <v>6950</v>
      </c>
      <c r="G113" t="s">
        <v>458</v>
      </c>
      <c r="H113" s="3">
        <v>43066</v>
      </c>
      <c r="I113" t="s">
        <v>66</v>
      </c>
      <c r="J113">
        <v>6000</v>
      </c>
      <c r="K113" s="1"/>
      <c r="M113" s="3">
        <v>43071</v>
      </c>
      <c r="N113" t="s">
        <v>57</v>
      </c>
      <c r="O113" t="s">
        <v>459</v>
      </c>
      <c r="P113" t="s">
        <v>56</v>
      </c>
      <c r="Q113">
        <v>4900</v>
      </c>
      <c r="R113" s="3">
        <v>43099</v>
      </c>
      <c r="S113" t="s">
        <v>57</v>
      </c>
      <c r="T113" t="s">
        <v>452</v>
      </c>
      <c r="U113" t="s">
        <v>60</v>
      </c>
      <c r="V113">
        <v>970</v>
      </c>
      <c r="AG113" t="s">
        <v>429</v>
      </c>
      <c r="AH113" s="3">
        <v>43076</v>
      </c>
      <c r="AI113">
        <v>6950</v>
      </c>
      <c r="AJ113">
        <v>0</v>
      </c>
      <c r="AS113" t="s">
        <v>434</v>
      </c>
      <c r="AT113" s="3">
        <v>43151</v>
      </c>
      <c r="AU113">
        <v>36244</v>
      </c>
      <c r="AV113">
        <v>0</v>
      </c>
      <c r="AW113">
        <v>1250</v>
      </c>
      <c r="AX113">
        <v>0</v>
      </c>
    </row>
    <row r="114" spans="1:50" x14ac:dyDescent="0.25">
      <c r="A114" t="s">
        <v>460</v>
      </c>
      <c r="B114" s="3">
        <v>43067</v>
      </c>
      <c r="C114" t="s">
        <v>87</v>
      </c>
      <c r="D114" t="s">
        <v>238</v>
      </c>
      <c r="E114" t="s">
        <v>89</v>
      </c>
      <c r="F114">
        <v>8050</v>
      </c>
      <c r="G114" t="s">
        <v>461</v>
      </c>
      <c r="H114" s="3">
        <v>43067</v>
      </c>
      <c r="I114" t="s">
        <v>344</v>
      </c>
      <c r="J114">
        <v>8000</v>
      </c>
      <c r="K114" s="1"/>
      <c r="M114" s="3">
        <v>43070</v>
      </c>
      <c r="N114" t="s">
        <v>54</v>
      </c>
      <c r="O114" t="s">
        <v>462</v>
      </c>
      <c r="P114" t="s">
        <v>56</v>
      </c>
      <c r="Q114">
        <v>6800</v>
      </c>
      <c r="R114" s="3">
        <v>43084</v>
      </c>
      <c r="S114" t="s">
        <v>54</v>
      </c>
      <c r="T114" t="s">
        <v>410</v>
      </c>
      <c r="U114" t="s">
        <v>60</v>
      </c>
      <c r="V114">
        <v>970</v>
      </c>
      <c r="AG114" t="s">
        <v>444</v>
      </c>
      <c r="AH114" s="3">
        <v>43084</v>
      </c>
      <c r="AI114">
        <v>8050</v>
      </c>
      <c r="AJ114">
        <v>0</v>
      </c>
      <c r="AS114" t="s">
        <v>434</v>
      </c>
      <c r="AT114" s="3">
        <v>43151</v>
      </c>
      <c r="AU114">
        <v>54906</v>
      </c>
      <c r="AV114">
        <v>0</v>
      </c>
      <c r="AW114">
        <v>1631</v>
      </c>
      <c r="AX114">
        <v>0</v>
      </c>
    </row>
    <row r="115" spans="1:50" x14ac:dyDescent="0.25">
      <c r="A115" t="s">
        <v>463</v>
      </c>
      <c r="B115" s="3">
        <v>43067</v>
      </c>
      <c r="C115" t="s">
        <v>87</v>
      </c>
      <c r="D115" t="s">
        <v>241</v>
      </c>
      <c r="E115" t="s">
        <v>89</v>
      </c>
      <c r="F115">
        <v>7650</v>
      </c>
      <c r="G115" t="s">
        <v>464</v>
      </c>
      <c r="H115" s="3">
        <v>43067</v>
      </c>
      <c r="I115" t="s">
        <v>344</v>
      </c>
      <c r="J115">
        <v>5500</v>
      </c>
      <c r="K115" s="1"/>
      <c r="M115" s="3">
        <v>43070</v>
      </c>
      <c r="N115" t="s">
        <v>54</v>
      </c>
      <c r="O115" t="s">
        <v>462</v>
      </c>
      <c r="P115" t="s">
        <v>56</v>
      </c>
      <c r="Q115">
        <v>4400</v>
      </c>
      <c r="R115" s="3">
        <v>43084</v>
      </c>
      <c r="S115" t="s">
        <v>54</v>
      </c>
      <c r="T115" t="s">
        <v>410</v>
      </c>
      <c r="U115" t="s">
        <v>60</v>
      </c>
      <c r="V115">
        <v>970</v>
      </c>
      <c r="AG115" t="s">
        <v>419</v>
      </c>
      <c r="AH115" s="3">
        <v>43084</v>
      </c>
      <c r="AI115">
        <v>7650</v>
      </c>
      <c r="AJ115">
        <v>0</v>
      </c>
      <c r="AS115" t="s">
        <v>434</v>
      </c>
      <c r="AT115" s="3">
        <v>43151</v>
      </c>
      <c r="AU115">
        <v>22363</v>
      </c>
      <c r="AV115">
        <v>0</v>
      </c>
      <c r="AW115">
        <v>587</v>
      </c>
      <c r="AX115">
        <v>0</v>
      </c>
    </row>
    <row r="116" spans="1:50" x14ac:dyDescent="0.25">
      <c r="A116" t="s">
        <v>465</v>
      </c>
      <c r="B116" s="3">
        <v>43067</v>
      </c>
      <c r="C116" t="s">
        <v>87</v>
      </c>
      <c r="D116" t="s">
        <v>251</v>
      </c>
      <c r="E116" t="s">
        <v>89</v>
      </c>
      <c r="F116">
        <v>6498</v>
      </c>
      <c r="G116" t="s">
        <v>466</v>
      </c>
      <c r="H116" s="3">
        <v>43067</v>
      </c>
      <c r="I116" t="s">
        <v>66</v>
      </c>
      <c r="J116">
        <v>6200</v>
      </c>
      <c r="K116" s="1"/>
      <c r="M116" s="3">
        <v>43069</v>
      </c>
      <c r="N116" t="s">
        <v>57</v>
      </c>
      <c r="O116" t="s">
        <v>467</v>
      </c>
      <c r="P116" t="s">
        <v>56</v>
      </c>
      <c r="Q116">
        <v>5100</v>
      </c>
      <c r="R116" s="3">
        <v>43085</v>
      </c>
      <c r="S116" t="s">
        <v>57</v>
      </c>
      <c r="T116" t="s">
        <v>452</v>
      </c>
      <c r="U116" t="s">
        <v>60</v>
      </c>
      <c r="V116">
        <v>970</v>
      </c>
      <c r="AG116" t="s">
        <v>444</v>
      </c>
      <c r="AH116" s="3">
        <v>43084</v>
      </c>
      <c r="AI116">
        <v>6498</v>
      </c>
      <c r="AJ116">
        <v>0</v>
      </c>
      <c r="AS116" t="s">
        <v>434</v>
      </c>
      <c r="AT116" s="3">
        <v>43151</v>
      </c>
      <c r="AU116">
        <v>54906</v>
      </c>
      <c r="AV116">
        <v>0</v>
      </c>
      <c r="AW116">
        <v>1631</v>
      </c>
      <c r="AX116">
        <v>0</v>
      </c>
    </row>
    <row r="117" spans="1:50" x14ac:dyDescent="0.25">
      <c r="A117" t="s">
        <v>468</v>
      </c>
      <c r="B117" s="3">
        <v>43068</v>
      </c>
      <c r="C117" t="s">
        <v>87</v>
      </c>
      <c r="D117" t="s">
        <v>262</v>
      </c>
      <c r="E117" t="s">
        <v>89</v>
      </c>
      <c r="F117">
        <v>8050</v>
      </c>
      <c r="G117" t="s">
        <v>469</v>
      </c>
      <c r="H117" s="3">
        <v>43068</v>
      </c>
      <c r="I117" t="s">
        <v>399</v>
      </c>
      <c r="J117">
        <v>12000</v>
      </c>
      <c r="K117" s="1"/>
      <c r="M117" s="3">
        <v>43069</v>
      </c>
      <c r="N117" t="s">
        <v>54</v>
      </c>
      <c r="O117" t="s">
        <v>470</v>
      </c>
      <c r="P117" t="s">
        <v>56</v>
      </c>
      <c r="Q117">
        <v>10800</v>
      </c>
      <c r="R117" s="3">
        <v>43091</v>
      </c>
      <c r="S117" t="s">
        <v>54</v>
      </c>
      <c r="T117" t="s">
        <v>399</v>
      </c>
      <c r="U117" t="s">
        <v>60</v>
      </c>
      <c r="V117">
        <v>970</v>
      </c>
      <c r="AG117" t="s">
        <v>429</v>
      </c>
      <c r="AH117" s="3">
        <v>43076</v>
      </c>
      <c r="AI117">
        <v>8050</v>
      </c>
      <c r="AJ117">
        <v>0</v>
      </c>
      <c r="AS117" t="s">
        <v>434</v>
      </c>
      <c r="AT117" s="3">
        <v>43151</v>
      </c>
      <c r="AU117">
        <v>36244</v>
      </c>
      <c r="AV117">
        <v>0</v>
      </c>
      <c r="AW117">
        <v>1250</v>
      </c>
      <c r="AX117">
        <v>0</v>
      </c>
    </row>
    <row r="118" spans="1:50" x14ac:dyDescent="0.25">
      <c r="A118" t="s">
        <v>471</v>
      </c>
      <c r="B118" s="3">
        <v>43068</v>
      </c>
      <c r="C118" t="s">
        <v>87</v>
      </c>
      <c r="D118" t="s">
        <v>256</v>
      </c>
      <c r="E118" t="s">
        <v>89</v>
      </c>
      <c r="F118">
        <v>12200</v>
      </c>
      <c r="K118" s="1"/>
      <c r="AG118" t="s">
        <v>472</v>
      </c>
      <c r="AH118" s="3">
        <v>43076</v>
      </c>
      <c r="AI118">
        <v>12200</v>
      </c>
      <c r="AJ118">
        <v>0</v>
      </c>
      <c r="AS118" t="s">
        <v>324</v>
      </c>
      <c r="AT118" s="3">
        <v>43176</v>
      </c>
      <c r="AU118">
        <v>11956</v>
      </c>
      <c r="AV118">
        <v>0</v>
      </c>
      <c r="AW118">
        <v>244</v>
      </c>
      <c r="AX118">
        <v>0</v>
      </c>
    </row>
    <row r="119" spans="1:50" x14ac:dyDescent="0.25">
      <c r="A119" t="s">
        <v>473</v>
      </c>
      <c r="B119" s="3">
        <v>43068</v>
      </c>
      <c r="C119" t="s">
        <v>87</v>
      </c>
      <c r="D119" t="s">
        <v>152</v>
      </c>
      <c r="E119" t="s">
        <v>89</v>
      </c>
      <c r="F119">
        <v>5295</v>
      </c>
      <c r="G119" t="s">
        <v>474</v>
      </c>
      <c r="H119" s="3">
        <v>43068</v>
      </c>
      <c r="I119" t="s">
        <v>66</v>
      </c>
      <c r="J119">
        <v>4800</v>
      </c>
      <c r="K119" s="1"/>
      <c r="M119" s="3">
        <v>43075</v>
      </c>
      <c r="N119" t="s">
        <v>57</v>
      </c>
      <c r="O119" t="s">
        <v>267</v>
      </c>
      <c r="P119" t="s">
        <v>56</v>
      </c>
      <c r="Q119">
        <v>3700</v>
      </c>
      <c r="R119" s="3">
        <v>43085</v>
      </c>
      <c r="S119" t="s">
        <v>57</v>
      </c>
      <c r="T119" t="s">
        <v>452</v>
      </c>
      <c r="U119" t="s">
        <v>60</v>
      </c>
      <c r="V119">
        <v>970</v>
      </c>
      <c r="AG119" t="s">
        <v>444</v>
      </c>
      <c r="AH119" s="3">
        <v>43084</v>
      </c>
      <c r="AI119">
        <v>5295</v>
      </c>
      <c r="AJ119">
        <v>0</v>
      </c>
      <c r="AS119" t="s">
        <v>434</v>
      </c>
      <c r="AT119" s="3">
        <v>43151</v>
      </c>
      <c r="AU119">
        <v>54906</v>
      </c>
      <c r="AV119">
        <v>0</v>
      </c>
      <c r="AW119">
        <v>1631</v>
      </c>
      <c r="AX119">
        <v>0</v>
      </c>
    </row>
    <row r="120" spans="1:50" x14ac:dyDescent="0.25">
      <c r="A120" t="s">
        <v>475</v>
      </c>
      <c r="B120" s="3">
        <v>43073</v>
      </c>
      <c r="C120" t="s">
        <v>87</v>
      </c>
      <c r="D120" t="s">
        <v>262</v>
      </c>
      <c r="E120" t="s">
        <v>89</v>
      </c>
      <c r="F120">
        <v>8050</v>
      </c>
      <c r="G120" t="s">
        <v>476</v>
      </c>
      <c r="H120" s="3">
        <v>43073</v>
      </c>
      <c r="I120" t="s">
        <v>399</v>
      </c>
      <c r="J120">
        <v>7000</v>
      </c>
      <c r="K120" s="1"/>
      <c r="M120" s="3">
        <v>43074</v>
      </c>
      <c r="N120" t="s">
        <v>54</v>
      </c>
      <c r="O120" t="s">
        <v>477</v>
      </c>
      <c r="P120" t="s">
        <v>56</v>
      </c>
      <c r="Q120">
        <v>5900</v>
      </c>
      <c r="R120" s="3">
        <v>43084</v>
      </c>
      <c r="S120" t="s">
        <v>54</v>
      </c>
      <c r="T120" t="s">
        <v>410</v>
      </c>
      <c r="U120" t="s">
        <v>60</v>
      </c>
      <c r="V120">
        <v>970</v>
      </c>
      <c r="AG120" t="s">
        <v>444</v>
      </c>
      <c r="AH120" s="3">
        <v>43084</v>
      </c>
      <c r="AI120">
        <v>8050</v>
      </c>
      <c r="AJ120">
        <v>0</v>
      </c>
      <c r="AS120" t="s">
        <v>434</v>
      </c>
      <c r="AT120" s="3">
        <v>43151</v>
      </c>
      <c r="AU120">
        <v>54906</v>
      </c>
      <c r="AV120">
        <v>0</v>
      </c>
      <c r="AW120">
        <v>1631</v>
      </c>
      <c r="AX120">
        <v>0</v>
      </c>
    </row>
    <row r="121" spans="1:50" x14ac:dyDescent="0.25">
      <c r="A121" t="s">
        <v>478</v>
      </c>
      <c r="B121" s="3">
        <v>43073</v>
      </c>
      <c r="C121" t="s">
        <v>87</v>
      </c>
      <c r="D121" t="s">
        <v>206</v>
      </c>
      <c r="E121" t="s">
        <v>89</v>
      </c>
      <c r="F121">
        <v>9150</v>
      </c>
      <c r="G121" t="s">
        <v>479</v>
      </c>
      <c r="H121" s="3">
        <v>43073</v>
      </c>
      <c r="I121" t="s">
        <v>344</v>
      </c>
      <c r="J121">
        <v>8000</v>
      </c>
      <c r="K121" s="1"/>
      <c r="M121" s="3">
        <v>43084</v>
      </c>
      <c r="N121" t="s">
        <v>54</v>
      </c>
      <c r="O121" t="s">
        <v>480</v>
      </c>
      <c r="P121" t="s">
        <v>56</v>
      </c>
      <c r="Q121">
        <v>6850</v>
      </c>
      <c r="R121" s="3">
        <v>43084</v>
      </c>
      <c r="S121" t="s">
        <v>54</v>
      </c>
      <c r="T121" t="s">
        <v>410</v>
      </c>
      <c r="U121" t="s">
        <v>60</v>
      </c>
      <c r="V121">
        <v>970</v>
      </c>
      <c r="AG121" t="s">
        <v>444</v>
      </c>
      <c r="AH121" s="3">
        <v>43084</v>
      </c>
      <c r="AI121">
        <v>9150</v>
      </c>
      <c r="AJ121">
        <v>0</v>
      </c>
      <c r="AS121" t="s">
        <v>434</v>
      </c>
      <c r="AT121" s="3">
        <v>43151</v>
      </c>
      <c r="AU121">
        <v>54906</v>
      </c>
      <c r="AV121">
        <v>0</v>
      </c>
      <c r="AW121">
        <v>1631</v>
      </c>
      <c r="AX121">
        <v>0</v>
      </c>
    </row>
    <row r="122" spans="1:50" x14ac:dyDescent="0.25">
      <c r="A122" t="s">
        <v>481</v>
      </c>
      <c r="B122" s="3">
        <v>43074</v>
      </c>
      <c r="C122" t="s">
        <v>87</v>
      </c>
      <c r="D122" t="s">
        <v>251</v>
      </c>
      <c r="E122" t="s">
        <v>89</v>
      </c>
      <c r="F122">
        <v>6498</v>
      </c>
      <c r="G122" t="s">
        <v>482</v>
      </c>
      <c r="H122" s="3">
        <v>43074</v>
      </c>
      <c r="I122" t="s">
        <v>66</v>
      </c>
      <c r="J122">
        <v>5750</v>
      </c>
      <c r="K122" s="1"/>
      <c r="M122" s="3">
        <v>43075</v>
      </c>
      <c r="N122" t="s">
        <v>57</v>
      </c>
      <c r="O122" t="s">
        <v>483</v>
      </c>
      <c r="P122" t="s">
        <v>56</v>
      </c>
      <c r="Q122">
        <v>4650</v>
      </c>
      <c r="R122" s="3">
        <v>43085</v>
      </c>
      <c r="S122" t="s">
        <v>57</v>
      </c>
      <c r="T122" t="s">
        <v>484</v>
      </c>
      <c r="U122" t="s">
        <v>60</v>
      </c>
      <c r="V122">
        <v>970</v>
      </c>
      <c r="AG122" t="s">
        <v>444</v>
      </c>
      <c r="AH122" s="3">
        <v>43084</v>
      </c>
      <c r="AI122">
        <v>6498</v>
      </c>
      <c r="AJ122">
        <v>0</v>
      </c>
      <c r="AS122" t="s">
        <v>434</v>
      </c>
      <c r="AT122" s="3">
        <v>43151</v>
      </c>
      <c r="AU122">
        <v>54906</v>
      </c>
      <c r="AV122">
        <v>0</v>
      </c>
      <c r="AW122">
        <v>1631</v>
      </c>
      <c r="AX122">
        <v>0</v>
      </c>
    </row>
    <row r="123" spans="1:50" x14ac:dyDescent="0.25">
      <c r="A123" t="s">
        <v>485</v>
      </c>
      <c r="B123" s="3">
        <v>43081</v>
      </c>
      <c r="C123" t="s">
        <v>87</v>
      </c>
      <c r="D123" t="s">
        <v>486</v>
      </c>
      <c r="E123" t="s">
        <v>89</v>
      </c>
      <c r="F123">
        <v>6498</v>
      </c>
      <c r="G123" t="s">
        <v>487</v>
      </c>
      <c r="H123" s="3">
        <v>43081</v>
      </c>
      <c r="I123" t="s">
        <v>399</v>
      </c>
      <c r="J123">
        <v>4500</v>
      </c>
      <c r="K123" s="1"/>
      <c r="M123" s="3">
        <v>43082</v>
      </c>
      <c r="N123" t="s">
        <v>54</v>
      </c>
      <c r="O123" t="s">
        <v>488</v>
      </c>
      <c r="P123" t="s">
        <v>56</v>
      </c>
      <c r="Q123">
        <v>3450</v>
      </c>
      <c r="R123" s="3">
        <v>43106</v>
      </c>
      <c r="S123" t="s">
        <v>54</v>
      </c>
      <c r="T123" t="s">
        <v>489</v>
      </c>
      <c r="U123" t="s">
        <v>60</v>
      </c>
      <c r="V123">
        <v>970</v>
      </c>
      <c r="AG123" t="s">
        <v>490</v>
      </c>
      <c r="AH123" s="3">
        <v>43104</v>
      </c>
      <c r="AI123">
        <v>6498</v>
      </c>
      <c r="AJ123">
        <v>0</v>
      </c>
      <c r="AS123" t="s">
        <v>434</v>
      </c>
      <c r="AT123" s="3">
        <v>43151</v>
      </c>
      <c r="AU123">
        <v>23114</v>
      </c>
      <c r="AV123">
        <v>0</v>
      </c>
      <c r="AW123">
        <v>472</v>
      </c>
      <c r="AX123">
        <v>0</v>
      </c>
    </row>
    <row r="124" spans="1:50" x14ac:dyDescent="0.25">
      <c r="A124" t="s">
        <v>491</v>
      </c>
      <c r="B124" s="3">
        <v>43085</v>
      </c>
      <c r="C124" t="s">
        <v>87</v>
      </c>
      <c r="D124" t="s">
        <v>288</v>
      </c>
      <c r="E124" t="s">
        <v>89</v>
      </c>
      <c r="F124">
        <v>8049</v>
      </c>
      <c r="G124" t="s">
        <v>492</v>
      </c>
      <c r="H124" s="3">
        <v>43085</v>
      </c>
      <c r="I124" t="s">
        <v>344</v>
      </c>
      <c r="J124">
        <v>7000</v>
      </c>
      <c r="K124" s="1"/>
      <c r="M124" s="3">
        <v>43089</v>
      </c>
      <c r="N124" t="s">
        <v>54</v>
      </c>
      <c r="O124" t="s">
        <v>493</v>
      </c>
      <c r="P124" t="s">
        <v>56</v>
      </c>
      <c r="Q124">
        <v>5900</v>
      </c>
      <c r="R124" s="3">
        <v>43111</v>
      </c>
      <c r="S124" t="s">
        <v>54</v>
      </c>
      <c r="T124" t="s">
        <v>494</v>
      </c>
      <c r="U124" t="s">
        <v>60</v>
      </c>
      <c r="V124">
        <v>970</v>
      </c>
      <c r="AG124" t="s">
        <v>495</v>
      </c>
      <c r="AH124" s="3">
        <v>43104</v>
      </c>
      <c r="AI124">
        <v>8049</v>
      </c>
      <c r="AJ124">
        <v>0</v>
      </c>
      <c r="AS124" t="s">
        <v>434</v>
      </c>
      <c r="AT124" s="3">
        <v>43151</v>
      </c>
      <c r="AU124">
        <v>15777</v>
      </c>
      <c r="AV124">
        <v>0</v>
      </c>
      <c r="AW124">
        <v>322</v>
      </c>
      <c r="AX124">
        <v>0</v>
      </c>
    </row>
    <row r="125" spans="1:50" x14ac:dyDescent="0.25">
      <c r="A125" t="s">
        <v>496</v>
      </c>
      <c r="B125" s="3">
        <v>43088</v>
      </c>
      <c r="C125" t="s">
        <v>87</v>
      </c>
      <c r="D125" t="s">
        <v>313</v>
      </c>
      <c r="E125" t="s">
        <v>89</v>
      </c>
      <c r="F125">
        <v>6950</v>
      </c>
      <c r="G125" t="s">
        <v>497</v>
      </c>
      <c r="H125" s="3">
        <v>43088</v>
      </c>
      <c r="I125" t="s">
        <v>66</v>
      </c>
      <c r="J125">
        <v>6200</v>
      </c>
      <c r="K125" s="1"/>
      <c r="M125" s="3">
        <v>43098</v>
      </c>
      <c r="N125" t="s">
        <v>54</v>
      </c>
      <c r="O125" t="s">
        <v>498</v>
      </c>
      <c r="P125" t="s">
        <v>56</v>
      </c>
      <c r="Q125">
        <v>5050</v>
      </c>
      <c r="R125" s="3">
        <v>43140</v>
      </c>
      <c r="S125" t="s">
        <v>57</v>
      </c>
      <c r="U125" t="s">
        <v>60</v>
      </c>
      <c r="V125">
        <v>970</v>
      </c>
      <c r="AG125" t="s">
        <v>499</v>
      </c>
      <c r="AH125" s="3">
        <v>43122</v>
      </c>
      <c r="AI125">
        <v>6950</v>
      </c>
      <c r="AJ125">
        <v>0</v>
      </c>
      <c r="AS125" t="s">
        <v>509</v>
      </c>
      <c r="AT125" s="3">
        <v>43181</v>
      </c>
      <c r="AU125">
        <v>27487</v>
      </c>
      <c r="AV125">
        <v>0</v>
      </c>
      <c r="AW125">
        <v>561</v>
      </c>
      <c r="AX125">
        <v>0</v>
      </c>
    </row>
    <row r="126" spans="1:50" x14ac:dyDescent="0.25">
      <c r="A126" t="s">
        <v>500</v>
      </c>
      <c r="B126" s="3">
        <v>43089</v>
      </c>
      <c r="C126" t="s">
        <v>87</v>
      </c>
      <c r="D126" t="s">
        <v>152</v>
      </c>
      <c r="E126" t="s">
        <v>89</v>
      </c>
      <c r="F126">
        <v>6498</v>
      </c>
      <c r="G126" t="s">
        <v>501</v>
      </c>
      <c r="H126" s="3">
        <v>43089</v>
      </c>
      <c r="I126" t="s">
        <v>502</v>
      </c>
      <c r="J126">
        <v>4000</v>
      </c>
      <c r="K126" s="1"/>
      <c r="M126" s="3">
        <v>43099</v>
      </c>
      <c r="N126" t="s">
        <v>54</v>
      </c>
      <c r="O126" t="s">
        <v>503</v>
      </c>
      <c r="P126" t="s">
        <v>60</v>
      </c>
      <c r="Q126">
        <v>3950</v>
      </c>
      <c r="AG126" t="s">
        <v>490</v>
      </c>
      <c r="AH126" s="3">
        <v>43104</v>
      </c>
      <c r="AI126">
        <v>6498</v>
      </c>
      <c r="AJ126">
        <v>0</v>
      </c>
      <c r="AS126" t="s">
        <v>434</v>
      </c>
      <c r="AT126" s="3">
        <v>43151</v>
      </c>
      <c r="AU126">
        <v>23114</v>
      </c>
      <c r="AV126">
        <v>0</v>
      </c>
      <c r="AW126">
        <v>472</v>
      </c>
      <c r="AX126">
        <v>0</v>
      </c>
    </row>
    <row r="127" spans="1:50" x14ac:dyDescent="0.25">
      <c r="A127" t="s">
        <v>504</v>
      </c>
      <c r="B127" s="3">
        <v>43090</v>
      </c>
      <c r="C127" t="s">
        <v>87</v>
      </c>
      <c r="D127" t="s">
        <v>152</v>
      </c>
      <c r="E127" t="s">
        <v>89</v>
      </c>
      <c r="F127">
        <v>5295</v>
      </c>
      <c r="G127" t="s">
        <v>505</v>
      </c>
      <c r="H127" s="3">
        <v>43090</v>
      </c>
      <c r="I127" t="s">
        <v>66</v>
      </c>
      <c r="J127">
        <v>4800</v>
      </c>
      <c r="K127" s="1"/>
      <c r="M127" s="3">
        <v>43098</v>
      </c>
      <c r="N127" t="s">
        <v>54</v>
      </c>
      <c r="O127" t="s">
        <v>498</v>
      </c>
      <c r="P127" t="s">
        <v>56</v>
      </c>
      <c r="Q127">
        <v>3750</v>
      </c>
      <c r="R127" s="3">
        <v>43140</v>
      </c>
      <c r="S127" t="s">
        <v>57</v>
      </c>
      <c r="U127" t="s">
        <v>60</v>
      </c>
      <c r="V127">
        <v>970</v>
      </c>
      <c r="AG127" t="s">
        <v>506</v>
      </c>
      <c r="AH127" s="3">
        <v>43130</v>
      </c>
      <c r="AI127">
        <v>5295</v>
      </c>
      <c r="AJ127">
        <v>0</v>
      </c>
      <c r="AS127" t="s">
        <v>509</v>
      </c>
      <c r="AT127" s="3">
        <v>43181</v>
      </c>
      <c r="AU127">
        <v>12686</v>
      </c>
      <c r="AV127">
        <v>0</v>
      </c>
      <c r="AW127">
        <v>259</v>
      </c>
      <c r="AX127">
        <v>0</v>
      </c>
    </row>
    <row r="128" spans="1:50" x14ac:dyDescent="0.25">
      <c r="A128" t="s">
        <v>507</v>
      </c>
      <c r="B128" s="3">
        <v>43090</v>
      </c>
      <c r="C128" t="s">
        <v>87</v>
      </c>
      <c r="D128" t="s">
        <v>251</v>
      </c>
      <c r="E128" t="s">
        <v>89</v>
      </c>
      <c r="F128">
        <v>6498</v>
      </c>
      <c r="G128" t="s">
        <v>508</v>
      </c>
      <c r="H128" s="3">
        <v>43090</v>
      </c>
      <c r="I128" t="s">
        <v>66</v>
      </c>
      <c r="J128">
        <v>4000</v>
      </c>
      <c r="K128" s="1"/>
      <c r="M128" s="3">
        <v>43098</v>
      </c>
      <c r="N128" t="s">
        <v>54</v>
      </c>
      <c r="O128" t="s">
        <v>498</v>
      </c>
      <c r="P128" t="s">
        <v>56</v>
      </c>
      <c r="Q128">
        <v>2950</v>
      </c>
      <c r="R128" s="3">
        <v>43136</v>
      </c>
      <c r="S128" t="s">
        <v>57</v>
      </c>
      <c r="T128" t="s">
        <v>452</v>
      </c>
      <c r="U128" t="s">
        <v>60</v>
      </c>
      <c r="V128">
        <v>970</v>
      </c>
      <c r="AG128" t="s">
        <v>499</v>
      </c>
      <c r="AH128" s="3">
        <v>43122</v>
      </c>
      <c r="AI128">
        <v>6498</v>
      </c>
      <c r="AJ128">
        <v>0</v>
      </c>
      <c r="AS128" t="s">
        <v>509</v>
      </c>
      <c r="AT128" s="3">
        <v>43181</v>
      </c>
      <c r="AU128">
        <v>27487</v>
      </c>
      <c r="AV128">
        <v>0</v>
      </c>
      <c r="AW128">
        <v>561</v>
      </c>
      <c r="AX128">
        <v>0</v>
      </c>
    </row>
    <row r="129" spans="1:50" x14ac:dyDescent="0.25">
      <c r="A129" t="s">
        <v>510</v>
      </c>
      <c r="B129" s="3">
        <v>43095</v>
      </c>
      <c r="C129" t="s">
        <v>87</v>
      </c>
      <c r="D129" t="s">
        <v>262</v>
      </c>
      <c r="E129" t="s">
        <v>89</v>
      </c>
      <c r="F129">
        <v>8050</v>
      </c>
      <c r="G129" t="s">
        <v>511</v>
      </c>
      <c r="H129" s="3">
        <v>43095</v>
      </c>
      <c r="I129" t="s">
        <v>344</v>
      </c>
      <c r="J129">
        <v>7000</v>
      </c>
      <c r="K129" s="1"/>
      <c r="M129" s="3">
        <v>43141</v>
      </c>
      <c r="N129" t="s">
        <v>54</v>
      </c>
      <c r="O129" t="s">
        <v>494</v>
      </c>
      <c r="P129" t="s">
        <v>60</v>
      </c>
      <c r="Q129">
        <v>1250</v>
      </c>
      <c r="R129" s="3">
        <v>43297</v>
      </c>
      <c r="S129" t="s">
        <v>54</v>
      </c>
      <c r="U129" t="s">
        <v>56</v>
      </c>
      <c r="V129">
        <v>5600</v>
      </c>
      <c r="AG129" t="s">
        <v>495</v>
      </c>
      <c r="AH129" s="3">
        <v>43104</v>
      </c>
      <c r="AI129">
        <v>8050</v>
      </c>
      <c r="AJ129">
        <v>0</v>
      </c>
      <c r="AS129" t="s">
        <v>434</v>
      </c>
      <c r="AT129" s="3">
        <v>43151</v>
      </c>
      <c r="AU129">
        <v>15777</v>
      </c>
      <c r="AV129">
        <v>0</v>
      </c>
      <c r="AW129">
        <v>322</v>
      </c>
      <c r="AX129">
        <v>0</v>
      </c>
    </row>
    <row r="130" spans="1:50" x14ac:dyDescent="0.25">
      <c r="A130" t="s">
        <v>512</v>
      </c>
      <c r="B130" s="3">
        <v>43095</v>
      </c>
      <c r="C130" t="s">
        <v>87</v>
      </c>
      <c r="D130" t="s">
        <v>152</v>
      </c>
      <c r="E130" t="s">
        <v>89</v>
      </c>
      <c r="F130">
        <v>5295</v>
      </c>
      <c r="G130" t="s">
        <v>513</v>
      </c>
      <c r="H130" s="3">
        <v>43095</v>
      </c>
      <c r="I130" t="s">
        <v>514</v>
      </c>
      <c r="J130">
        <v>4800</v>
      </c>
      <c r="K130" s="1"/>
      <c r="M130" s="3">
        <v>43099</v>
      </c>
      <c r="N130" t="s">
        <v>57</v>
      </c>
      <c r="P130" t="s">
        <v>56</v>
      </c>
      <c r="Q130">
        <v>3700</v>
      </c>
      <c r="R130" s="3">
        <v>43136</v>
      </c>
      <c r="S130" t="s">
        <v>57</v>
      </c>
      <c r="T130" t="s">
        <v>452</v>
      </c>
      <c r="U130" t="s">
        <v>60</v>
      </c>
      <c r="V130">
        <v>970</v>
      </c>
      <c r="AG130" t="s">
        <v>490</v>
      </c>
      <c r="AH130" s="3">
        <v>43104</v>
      </c>
      <c r="AI130">
        <v>5295</v>
      </c>
      <c r="AJ130">
        <v>0</v>
      </c>
      <c r="AS130" t="s">
        <v>434</v>
      </c>
      <c r="AT130" s="3">
        <v>43151</v>
      </c>
      <c r="AU130">
        <v>23114</v>
      </c>
      <c r="AV130">
        <v>0</v>
      </c>
      <c r="AW130">
        <v>472</v>
      </c>
      <c r="AX130">
        <v>0</v>
      </c>
    </row>
    <row r="131" spans="1:50" x14ac:dyDescent="0.25">
      <c r="A131" t="s">
        <v>515</v>
      </c>
      <c r="B131" s="3">
        <v>43096</v>
      </c>
      <c r="C131" t="s">
        <v>87</v>
      </c>
      <c r="D131" t="s">
        <v>245</v>
      </c>
      <c r="E131" t="s">
        <v>89</v>
      </c>
      <c r="F131">
        <v>6950</v>
      </c>
      <c r="G131" t="s">
        <v>516</v>
      </c>
      <c r="H131" s="3">
        <v>43096</v>
      </c>
      <c r="I131" t="s">
        <v>514</v>
      </c>
      <c r="J131">
        <v>6200</v>
      </c>
      <c r="K131" s="1"/>
      <c r="M131" s="3">
        <v>43099</v>
      </c>
      <c r="N131" t="s">
        <v>57</v>
      </c>
      <c r="P131" t="s">
        <v>56</v>
      </c>
      <c r="Q131">
        <v>5100</v>
      </c>
      <c r="R131" s="3">
        <v>43136</v>
      </c>
      <c r="S131" t="s">
        <v>57</v>
      </c>
      <c r="T131" t="s">
        <v>452</v>
      </c>
      <c r="U131" t="s">
        <v>60</v>
      </c>
      <c r="V131">
        <v>970</v>
      </c>
      <c r="AG131" t="s">
        <v>499</v>
      </c>
      <c r="AH131" s="3">
        <v>43122</v>
      </c>
      <c r="AI131">
        <v>6950</v>
      </c>
      <c r="AJ131">
        <v>0</v>
      </c>
      <c r="AS131" t="s">
        <v>509</v>
      </c>
      <c r="AT131" s="3">
        <v>43181</v>
      </c>
      <c r="AU131">
        <v>27487</v>
      </c>
      <c r="AV131">
        <v>0</v>
      </c>
      <c r="AW131">
        <v>561</v>
      </c>
      <c r="AX131">
        <v>0</v>
      </c>
    </row>
    <row r="132" spans="1:50" x14ac:dyDescent="0.25">
      <c r="A132" t="s">
        <v>517</v>
      </c>
      <c r="B132" s="3">
        <v>43097</v>
      </c>
      <c r="C132" t="s">
        <v>87</v>
      </c>
      <c r="D132" t="s">
        <v>152</v>
      </c>
      <c r="E132" t="s">
        <v>89</v>
      </c>
      <c r="F132">
        <v>5295</v>
      </c>
      <c r="G132" t="s">
        <v>518</v>
      </c>
      <c r="H132" s="3">
        <v>43097</v>
      </c>
      <c r="I132" t="s">
        <v>514</v>
      </c>
      <c r="J132">
        <v>4700</v>
      </c>
      <c r="K132" s="1"/>
      <c r="M132" s="3">
        <v>43099</v>
      </c>
      <c r="N132" t="s">
        <v>57</v>
      </c>
      <c r="P132" t="s">
        <v>56</v>
      </c>
      <c r="Q132">
        <v>3600</v>
      </c>
      <c r="R132" s="3">
        <v>43136</v>
      </c>
      <c r="S132" t="s">
        <v>57</v>
      </c>
      <c r="T132" t="s">
        <v>452</v>
      </c>
      <c r="U132" t="s">
        <v>60</v>
      </c>
      <c r="V132">
        <v>970</v>
      </c>
      <c r="AG132" t="s">
        <v>490</v>
      </c>
      <c r="AH132" s="3">
        <v>43104</v>
      </c>
      <c r="AI132">
        <v>5295</v>
      </c>
      <c r="AJ132">
        <v>0</v>
      </c>
      <c r="AS132" t="s">
        <v>434</v>
      </c>
      <c r="AT132" s="3">
        <v>43151</v>
      </c>
      <c r="AU132">
        <v>23114</v>
      </c>
      <c r="AV132">
        <v>0</v>
      </c>
      <c r="AW132">
        <v>472</v>
      </c>
      <c r="AX132">
        <v>0</v>
      </c>
    </row>
    <row r="133" spans="1:50" x14ac:dyDescent="0.25">
      <c r="A133" t="s">
        <v>519</v>
      </c>
      <c r="B133" s="3">
        <v>43098</v>
      </c>
      <c r="C133" t="s">
        <v>87</v>
      </c>
      <c r="D133" t="s">
        <v>241</v>
      </c>
      <c r="E133" t="s">
        <v>89</v>
      </c>
      <c r="F133">
        <v>7650</v>
      </c>
      <c r="G133" t="s">
        <v>520</v>
      </c>
      <c r="H133" s="3">
        <v>43098</v>
      </c>
      <c r="I133" t="s">
        <v>344</v>
      </c>
      <c r="J133">
        <v>5500</v>
      </c>
      <c r="K133" s="1"/>
      <c r="M133" s="3">
        <v>43099</v>
      </c>
      <c r="N133" t="s">
        <v>54</v>
      </c>
      <c r="O133" t="s">
        <v>521</v>
      </c>
      <c r="P133" t="s">
        <v>56</v>
      </c>
      <c r="Q133">
        <v>4450</v>
      </c>
      <c r="R133" s="3">
        <v>43141</v>
      </c>
      <c r="S133" t="s">
        <v>54</v>
      </c>
      <c r="T133" t="s">
        <v>494</v>
      </c>
      <c r="U133" t="s">
        <v>60</v>
      </c>
      <c r="V133">
        <v>970</v>
      </c>
      <c r="AG133" t="s">
        <v>506</v>
      </c>
      <c r="AH133" s="3">
        <v>43130</v>
      </c>
      <c r="AI133">
        <v>7650</v>
      </c>
      <c r="AJ133">
        <v>0</v>
      </c>
      <c r="AS133" t="s">
        <v>509</v>
      </c>
      <c r="AT133" s="3">
        <v>43181</v>
      </c>
      <c r="AU133">
        <v>12686</v>
      </c>
      <c r="AV133">
        <v>0</v>
      </c>
      <c r="AW133">
        <v>259</v>
      </c>
      <c r="AX133">
        <v>0</v>
      </c>
    </row>
    <row r="134" spans="1:50" x14ac:dyDescent="0.25">
      <c r="A134" t="s">
        <v>522</v>
      </c>
      <c r="B134" s="3">
        <v>43098</v>
      </c>
      <c r="C134" t="s">
        <v>87</v>
      </c>
      <c r="D134" t="s">
        <v>251</v>
      </c>
      <c r="E134" t="s">
        <v>89</v>
      </c>
      <c r="F134">
        <v>7650</v>
      </c>
      <c r="G134" t="s">
        <v>523</v>
      </c>
      <c r="H134" s="3">
        <v>43098</v>
      </c>
      <c r="I134" t="s">
        <v>502</v>
      </c>
      <c r="J134">
        <v>5000</v>
      </c>
      <c r="K134" s="1"/>
      <c r="M134" s="3">
        <v>43099</v>
      </c>
      <c r="N134" t="s">
        <v>54</v>
      </c>
      <c r="O134" t="s">
        <v>503</v>
      </c>
      <c r="P134" t="s">
        <v>56</v>
      </c>
      <c r="Q134">
        <v>3950</v>
      </c>
      <c r="R134" s="3">
        <v>43182</v>
      </c>
      <c r="S134" t="s">
        <v>54</v>
      </c>
      <c r="T134" t="s">
        <v>524</v>
      </c>
      <c r="U134" t="s">
        <v>60</v>
      </c>
      <c r="V134">
        <v>970</v>
      </c>
      <c r="AG134" t="s">
        <v>499</v>
      </c>
      <c r="AH134" s="3">
        <v>43122</v>
      </c>
      <c r="AI134">
        <v>7650</v>
      </c>
      <c r="AJ134">
        <v>0</v>
      </c>
      <c r="AS134" t="s">
        <v>509</v>
      </c>
      <c r="AT134" s="3">
        <v>43181</v>
      </c>
      <c r="AU134">
        <v>27487</v>
      </c>
      <c r="AV134">
        <v>0</v>
      </c>
      <c r="AW134">
        <v>561</v>
      </c>
      <c r="AX134">
        <v>0</v>
      </c>
    </row>
    <row r="135" spans="1:50" x14ac:dyDescent="0.25">
      <c r="A135" t="s">
        <v>525</v>
      </c>
      <c r="B135" s="3">
        <v>43106</v>
      </c>
      <c r="C135" t="s">
        <v>87</v>
      </c>
      <c r="D135" t="s">
        <v>408</v>
      </c>
      <c r="E135" t="s">
        <v>89</v>
      </c>
      <c r="F135">
        <v>9718</v>
      </c>
      <c r="G135" t="s">
        <v>526</v>
      </c>
      <c r="H135" s="3">
        <v>43106</v>
      </c>
      <c r="I135" t="s">
        <v>527</v>
      </c>
      <c r="J135">
        <v>8000</v>
      </c>
      <c r="K135" s="1"/>
      <c r="M135" s="3">
        <v>43110</v>
      </c>
      <c r="N135" t="s">
        <v>54</v>
      </c>
      <c r="O135" t="s">
        <v>528</v>
      </c>
      <c r="P135" t="s">
        <v>56</v>
      </c>
      <c r="Q135">
        <v>6900</v>
      </c>
      <c r="R135" s="3">
        <v>43220</v>
      </c>
      <c r="S135" t="s">
        <v>54</v>
      </c>
      <c r="T135" t="s">
        <v>527</v>
      </c>
      <c r="U135" t="s">
        <v>60</v>
      </c>
      <c r="V135">
        <v>970</v>
      </c>
      <c r="AG135" t="s">
        <v>529</v>
      </c>
      <c r="AH135" s="3">
        <v>43196</v>
      </c>
      <c r="AI135">
        <v>9718</v>
      </c>
      <c r="AJ135">
        <v>0</v>
      </c>
      <c r="AS135" t="s">
        <v>549</v>
      </c>
      <c r="AT135" s="3">
        <v>43285</v>
      </c>
      <c r="AU135">
        <v>9524</v>
      </c>
      <c r="AV135">
        <v>0</v>
      </c>
      <c r="AW135">
        <v>194</v>
      </c>
      <c r="AX135">
        <v>0</v>
      </c>
    </row>
    <row r="136" spans="1:50" x14ac:dyDescent="0.25">
      <c r="A136" t="s">
        <v>530</v>
      </c>
      <c r="B136" s="3">
        <v>43106</v>
      </c>
      <c r="C136" t="s">
        <v>87</v>
      </c>
      <c r="D136" t="s">
        <v>378</v>
      </c>
      <c r="E136" t="s">
        <v>89</v>
      </c>
      <c r="F136">
        <v>7650</v>
      </c>
      <c r="G136" t="s">
        <v>531</v>
      </c>
      <c r="H136" s="3">
        <v>43106</v>
      </c>
      <c r="I136" t="s">
        <v>532</v>
      </c>
      <c r="J136">
        <v>6500</v>
      </c>
      <c r="K136" s="1"/>
      <c r="M136" s="3">
        <v>43167</v>
      </c>
      <c r="N136" t="s">
        <v>54</v>
      </c>
      <c r="O136" t="s">
        <v>533</v>
      </c>
      <c r="P136" t="s">
        <v>60</v>
      </c>
      <c r="Q136">
        <v>6350</v>
      </c>
      <c r="AG136" t="s">
        <v>534</v>
      </c>
      <c r="AH136" s="3">
        <v>43158</v>
      </c>
      <c r="AI136">
        <v>7650</v>
      </c>
      <c r="AJ136">
        <v>0</v>
      </c>
      <c r="AS136" t="s">
        <v>550</v>
      </c>
      <c r="AT136" s="3">
        <v>43220</v>
      </c>
      <c r="AU136">
        <v>7497</v>
      </c>
      <c r="AV136">
        <v>0</v>
      </c>
      <c r="AW136">
        <v>153</v>
      </c>
      <c r="AX136">
        <v>0</v>
      </c>
    </row>
    <row r="137" spans="1:50" x14ac:dyDescent="0.25">
      <c r="A137" t="s">
        <v>535</v>
      </c>
      <c r="B137" s="3">
        <v>43106</v>
      </c>
      <c r="C137" t="s">
        <v>87</v>
      </c>
      <c r="D137" t="s">
        <v>238</v>
      </c>
      <c r="E137" t="s">
        <v>89</v>
      </c>
      <c r="F137">
        <v>8050</v>
      </c>
      <c r="G137" t="s">
        <v>536</v>
      </c>
      <c r="H137" s="3">
        <v>43106</v>
      </c>
      <c r="I137" t="s">
        <v>344</v>
      </c>
      <c r="J137">
        <v>7500</v>
      </c>
      <c r="K137" s="1"/>
      <c r="M137" s="3">
        <v>43110</v>
      </c>
      <c r="N137" t="s">
        <v>54</v>
      </c>
      <c r="O137" t="s">
        <v>537</v>
      </c>
      <c r="P137" t="s">
        <v>56</v>
      </c>
      <c r="Q137">
        <v>6400</v>
      </c>
      <c r="R137" s="3">
        <v>43133</v>
      </c>
      <c r="S137" t="s">
        <v>54</v>
      </c>
      <c r="T137" t="s">
        <v>538</v>
      </c>
      <c r="U137" t="s">
        <v>60</v>
      </c>
      <c r="V137">
        <v>970</v>
      </c>
      <c r="AG137" t="s">
        <v>539</v>
      </c>
      <c r="AH137" s="3">
        <v>43138</v>
      </c>
      <c r="AI137">
        <v>8050</v>
      </c>
      <c r="AJ137">
        <v>0</v>
      </c>
      <c r="AS137" t="s">
        <v>550</v>
      </c>
      <c r="AT137" s="3">
        <v>43220</v>
      </c>
      <c r="AU137">
        <v>7889</v>
      </c>
      <c r="AV137">
        <v>0</v>
      </c>
      <c r="AW137">
        <v>161</v>
      </c>
      <c r="AX137">
        <v>0</v>
      </c>
    </row>
    <row r="138" spans="1:50" x14ac:dyDescent="0.25">
      <c r="A138" t="s">
        <v>540</v>
      </c>
      <c r="B138" s="3">
        <v>43110</v>
      </c>
      <c r="C138" t="s">
        <v>87</v>
      </c>
      <c r="D138" t="s">
        <v>245</v>
      </c>
      <c r="E138" t="s">
        <v>89</v>
      </c>
      <c r="F138">
        <v>6950</v>
      </c>
      <c r="G138" t="s">
        <v>541</v>
      </c>
      <c r="H138" s="3">
        <v>43110</v>
      </c>
      <c r="I138" t="s">
        <v>344</v>
      </c>
      <c r="J138">
        <v>6000</v>
      </c>
      <c r="K138" s="1"/>
      <c r="M138" s="3">
        <v>43112</v>
      </c>
      <c r="N138" t="s">
        <v>54</v>
      </c>
      <c r="O138" t="s">
        <v>480</v>
      </c>
      <c r="P138" t="s">
        <v>56</v>
      </c>
      <c r="Q138">
        <v>4900</v>
      </c>
      <c r="R138" s="3">
        <v>43133</v>
      </c>
      <c r="S138" t="s">
        <v>54</v>
      </c>
      <c r="T138" t="s">
        <v>538</v>
      </c>
      <c r="U138" t="s">
        <v>60</v>
      </c>
      <c r="V138">
        <v>970</v>
      </c>
      <c r="AG138" t="s">
        <v>542</v>
      </c>
      <c r="AH138" s="3">
        <v>43158</v>
      </c>
      <c r="AI138">
        <v>6950</v>
      </c>
      <c r="AJ138">
        <v>0</v>
      </c>
      <c r="AS138" t="s">
        <v>550</v>
      </c>
      <c r="AT138" s="3">
        <v>43220</v>
      </c>
      <c r="AU138">
        <v>6811</v>
      </c>
      <c r="AV138">
        <v>0</v>
      </c>
      <c r="AW138">
        <v>139</v>
      </c>
      <c r="AX138">
        <v>0</v>
      </c>
    </row>
    <row r="139" spans="1:50" x14ac:dyDescent="0.25">
      <c r="A139" t="s">
        <v>543</v>
      </c>
      <c r="B139" s="3">
        <v>43110</v>
      </c>
      <c r="C139" t="s">
        <v>87</v>
      </c>
      <c r="D139" t="s">
        <v>206</v>
      </c>
      <c r="E139" t="s">
        <v>89</v>
      </c>
      <c r="F139">
        <v>9150</v>
      </c>
      <c r="G139" t="s">
        <v>544</v>
      </c>
      <c r="H139" s="3">
        <v>43110</v>
      </c>
      <c r="I139" t="s">
        <v>344</v>
      </c>
      <c r="J139">
        <v>8000</v>
      </c>
      <c r="K139" s="1"/>
      <c r="M139" s="3">
        <v>43112</v>
      </c>
      <c r="N139" t="s">
        <v>54</v>
      </c>
      <c r="O139" t="s">
        <v>480</v>
      </c>
      <c r="P139" t="s">
        <v>56</v>
      </c>
      <c r="Q139">
        <v>6900</v>
      </c>
      <c r="R139" s="3">
        <v>43133</v>
      </c>
      <c r="S139" t="s">
        <v>54</v>
      </c>
      <c r="T139" t="s">
        <v>538</v>
      </c>
      <c r="U139" t="s">
        <v>60</v>
      </c>
      <c r="V139">
        <v>970</v>
      </c>
      <c r="AG139" t="s">
        <v>545</v>
      </c>
      <c r="AH139" s="3">
        <v>43138</v>
      </c>
      <c r="AI139">
        <v>9150</v>
      </c>
      <c r="AJ139">
        <v>0</v>
      </c>
      <c r="AS139" t="s">
        <v>550</v>
      </c>
      <c r="AT139" s="3">
        <v>43220</v>
      </c>
      <c r="AU139">
        <v>8967</v>
      </c>
      <c r="AV139">
        <v>0</v>
      </c>
      <c r="AW139">
        <v>183</v>
      </c>
      <c r="AX139">
        <v>0</v>
      </c>
    </row>
    <row r="140" spans="1:50" x14ac:dyDescent="0.25">
      <c r="A140" t="s">
        <v>546</v>
      </c>
      <c r="B140" s="3">
        <v>43110</v>
      </c>
      <c r="C140" t="s">
        <v>87</v>
      </c>
      <c r="D140" t="s">
        <v>288</v>
      </c>
      <c r="E140" t="s">
        <v>89</v>
      </c>
      <c r="F140">
        <v>8049</v>
      </c>
      <c r="G140" t="s">
        <v>547</v>
      </c>
      <c r="H140" s="3">
        <v>43110</v>
      </c>
      <c r="I140" t="s">
        <v>514</v>
      </c>
      <c r="J140">
        <v>7200</v>
      </c>
      <c r="K140" s="1"/>
      <c r="M140" s="3">
        <v>43116</v>
      </c>
      <c r="N140" t="s">
        <v>57</v>
      </c>
      <c r="O140" t="s">
        <v>267</v>
      </c>
      <c r="P140" t="s">
        <v>56</v>
      </c>
      <c r="Q140">
        <v>6000</v>
      </c>
      <c r="R140" s="3">
        <v>43140</v>
      </c>
      <c r="S140" t="s">
        <v>57</v>
      </c>
      <c r="U140" t="s">
        <v>60</v>
      </c>
      <c r="V140">
        <v>1000</v>
      </c>
      <c r="AG140" t="s">
        <v>548</v>
      </c>
      <c r="AH140" s="3">
        <v>43130</v>
      </c>
      <c r="AI140">
        <v>8049</v>
      </c>
      <c r="AJ140">
        <v>0</v>
      </c>
      <c r="AS140" t="s">
        <v>509</v>
      </c>
      <c r="AT140" s="3">
        <v>43181</v>
      </c>
      <c r="AU140">
        <v>7888</v>
      </c>
      <c r="AV140">
        <v>0</v>
      </c>
      <c r="AW140">
        <v>161</v>
      </c>
      <c r="AX140">
        <v>0</v>
      </c>
    </row>
    <row r="141" spans="1:50" x14ac:dyDescent="0.25">
      <c r="A141" t="s">
        <v>551</v>
      </c>
      <c r="B141" s="3">
        <v>43118</v>
      </c>
      <c r="C141" t="s">
        <v>87</v>
      </c>
      <c r="D141" t="s">
        <v>251</v>
      </c>
      <c r="E141" t="s">
        <v>89</v>
      </c>
      <c r="F141">
        <v>7050</v>
      </c>
      <c r="G141" t="s">
        <v>552</v>
      </c>
      <c r="H141" s="3">
        <v>43118</v>
      </c>
      <c r="I141" t="s">
        <v>514</v>
      </c>
      <c r="J141">
        <v>5800</v>
      </c>
      <c r="K141" s="1"/>
      <c r="M141" s="3">
        <v>43123</v>
      </c>
      <c r="N141" t="s">
        <v>57</v>
      </c>
      <c r="O141" t="s">
        <v>553</v>
      </c>
      <c r="P141" t="s">
        <v>56</v>
      </c>
      <c r="Q141">
        <v>4700</v>
      </c>
      <c r="R141" s="3">
        <v>43140</v>
      </c>
      <c r="S141" t="s">
        <v>57</v>
      </c>
      <c r="U141" t="s">
        <v>60</v>
      </c>
      <c r="V141">
        <v>970</v>
      </c>
      <c r="AG141" t="s">
        <v>554</v>
      </c>
      <c r="AH141" s="3">
        <v>43130</v>
      </c>
      <c r="AI141">
        <v>7050</v>
      </c>
      <c r="AJ141">
        <v>0</v>
      </c>
      <c r="AS141" t="s">
        <v>550</v>
      </c>
      <c r="AT141" s="3">
        <v>43220</v>
      </c>
      <c r="AU141">
        <v>6909</v>
      </c>
      <c r="AV141">
        <v>0</v>
      </c>
      <c r="AW141">
        <v>141</v>
      </c>
      <c r="AX141">
        <v>0</v>
      </c>
    </row>
    <row r="142" spans="1:50" x14ac:dyDescent="0.25">
      <c r="A142" t="s">
        <v>555</v>
      </c>
      <c r="B142" s="3">
        <v>43130</v>
      </c>
      <c r="C142" t="s">
        <v>87</v>
      </c>
      <c r="D142" t="s">
        <v>251</v>
      </c>
      <c r="E142" t="s">
        <v>89</v>
      </c>
      <c r="F142">
        <v>8998</v>
      </c>
      <c r="G142" t="s">
        <v>556</v>
      </c>
      <c r="H142" s="3">
        <v>43130</v>
      </c>
      <c r="I142" t="s">
        <v>344</v>
      </c>
      <c r="J142">
        <v>6500</v>
      </c>
      <c r="K142" s="1"/>
      <c r="M142" s="3">
        <v>43133</v>
      </c>
      <c r="N142" t="s">
        <v>54</v>
      </c>
      <c r="O142" t="s">
        <v>538</v>
      </c>
      <c r="P142" t="s">
        <v>56</v>
      </c>
      <c r="Q142">
        <v>5400</v>
      </c>
      <c r="R142" s="3">
        <v>43141</v>
      </c>
      <c r="S142" t="s">
        <v>54</v>
      </c>
      <c r="T142" t="s">
        <v>494</v>
      </c>
      <c r="U142" t="s">
        <v>60</v>
      </c>
      <c r="V142">
        <v>970</v>
      </c>
      <c r="AG142" t="s">
        <v>557</v>
      </c>
      <c r="AH142" s="3">
        <v>43138</v>
      </c>
      <c r="AI142">
        <v>8998</v>
      </c>
      <c r="AJ142">
        <v>0</v>
      </c>
      <c r="AS142" t="s">
        <v>550</v>
      </c>
      <c r="AT142" s="3">
        <v>43220</v>
      </c>
      <c r="AU142">
        <v>41251</v>
      </c>
      <c r="AV142">
        <v>0</v>
      </c>
      <c r="AW142">
        <v>842</v>
      </c>
      <c r="AX142">
        <v>0</v>
      </c>
    </row>
    <row r="143" spans="1:50" x14ac:dyDescent="0.25">
      <c r="A143" t="s">
        <v>558</v>
      </c>
      <c r="B143" s="3">
        <v>43131</v>
      </c>
      <c r="C143" t="s">
        <v>87</v>
      </c>
      <c r="D143" t="s">
        <v>313</v>
      </c>
      <c r="E143" t="s">
        <v>89</v>
      </c>
      <c r="F143">
        <v>7350</v>
      </c>
      <c r="G143" t="s">
        <v>559</v>
      </c>
      <c r="H143" s="3">
        <v>43131</v>
      </c>
      <c r="I143" t="s">
        <v>514</v>
      </c>
      <c r="J143">
        <v>6400</v>
      </c>
      <c r="K143" s="1"/>
      <c r="M143" s="3">
        <v>43131</v>
      </c>
      <c r="N143" t="s">
        <v>57</v>
      </c>
      <c r="O143" t="s">
        <v>560</v>
      </c>
      <c r="P143" t="s">
        <v>56</v>
      </c>
      <c r="Q143">
        <v>5300</v>
      </c>
      <c r="R143" s="3">
        <v>43159</v>
      </c>
      <c r="S143" t="s">
        <v>57</v>
      </c>
      <c r="T143" t="s">
        <v>452</v>
      </c>
      <c r="U143" t="s">
        <v>60</v>
      </c>
      <c r="V143">
        <v>970</v>
      </c>
      <c r="AG143" t="s">
        <v>561</v>
      </c>
      <c r="AH143" s="3">
        <v>43158</v>
      </c>
      <c r="AI143">
        <v>7350</v>
      </c>
      <c r="AJ143">
        <v>0</v>
      </c>
      <c r="AS143" t="s">
        <v>550</v>
      </c>
      <c r="AT143" s="3">
        <v>43220</v>
      </c>
      <c r="AU143">
        <v>37429</v>
      </c>
      <c r="AV143">
        <v>0</v>
      </c>
      <c r="AW143">
        <v>764</v>
      </c>
      <c r="AX143">
        <v>0</v>
      </c>
    </row>
    <row r="144" spans="1:50" x14ac:dyDescent="0.25">
      <c r="A144" t="s">
        <v>562</v>
      </c>
      <c r="B144" s="3">
        <v>43131</v>
      </c>
      <c r="C144" t="s">
        <v>87</v>
      </c>
      <c r="D144" t="s">
        <v>152</v>
      </c>
      <c r="E144" t="s">
        <v>89</v>
      </c>
      <c r="F144">
        <v>5795</v>
      </c>
      <c r="G144" t="s">
        <v>563</v>
      </c>
      <c r="H144" s="3">
        <v>43131</v>
      </c>
      <c r="I144" t="s">
        <v>514</v>
      </c>
      <c r="J144">
        <v>5300</v>
      </c>
      <c r="K144" s="1"/>
      <c r="M144" s="3">
        <v>43132</v>
      </c>
      <c r="N144" t="s">
        <v>57</v>
      </c>
      <c r="O144" t="s">
        <v>191</v>
      </c>
      <c r="P144" t="s">
        <v>56</v>
      </c>
      <c r="Q144">
        <v>4200</v>
      </c>
      <c r="R144" s="3">
        <v>43147</v>
      </c>
      <c r="S144" t="s">
        <v>57</v>
      </c>
      <c r="T144" t="s">
        <v>564</v>
      </c>
      <c r="U144" t="s">
        <v>60</v>
      </c>
      <c r="V144">
        <v>970</v>
      </c>
      <c r="AG144" t="s">
        <v>557</v>
      </c>
      <c r="AH144" s="3">
        <v>43138</v>
      </c>
      <c r="AI144">
        <v>5795</v>
      </c>
      <c r="AJ144">
        <v>0</v>
      </c>
      <c r="AS144" t="s">
        <v>550</v>
      </c>
      <c r="AT144" s="3">
        <v>43220</v>
      </c>
      <c r="AU144">
        <v>41251</v>
      </c>
      <c r="AV144">
        <v>0</v>
      </c>
      <c r="AW144">
        <v>842</v>
      </c>
      <c r="AX144">
        <v>0</v>
      </c>
    </row>
    <row r="145" spans="1:56" x14ac:dyDescent="0.25">
      <c r="A145" t="s">
        <v>565</v>
      </c>
      <c r="B145" s="3">
        <v>43131</v>
      </c>
      <c r="C145" t="s">
        <v>87</v>
      </c>
      <c r="D145" t="s">
        <v>142</v>
      </c>
      <c r="E145" t="s">
        <v>89</v>
      </c>
      <c r="F145">
        <v>7050</v>
      </c>
      <c r="G145" t="s">
        <v>566</v>
      </c>
      <c r="H145" s="3">
        <v>43131</v>
      </c>
      <c r="I145" t="s">
        <v>514</v>
      </c>
      <c r="J145">
        <v>6200</v>
      </c>
      <c r="K145" s="1"/>
      <c r="M145" s="3">
        <v>43132</v>
      </c>
      <c r="N145" t="s">
        <v>57</v>
      </c>
      <c r="O145" t="s">
        <v>567</v>
      </c>
      <c r="P145" t="s">
        <v>56</v>
      </c>
      <c r="Q145">
        <v>5000</v>
      </c>
      <c r="R145" s="3">
        <v>43147</v>
      </c>
      <c r="S145" t="s">
        <v>57</v>
      </c>
      <c r="T145" t="s">
        <v>467</v>
      </c>
      <c r="U145" t="s">
        <v>60</v>
      </c>
      <c r="V145">
        <v>1000</v>
      </c>
      <c r="AG145" t="s">
        <v>557</v>
      </c>
      <c r="AH145" s="3">
        <v>43138</v>
      </c>
      <c r="AI145">
        <v>7050</v>
      </c>
      <c r="AJ145">
        <v>0</v>
      </c>
      <c r="AS145" t="s">
        <v>550</v>
      </c>
      <c r="AT145" s="3">
        <v>43220</v>
      </c>
      <c r="AU145">
        <v>41251</v>
      </c>
      <c r="AV145">
        <v>0</v>
      </c>
      <c r="AW145">
        <v>842</v>
      </c>
      <c r="AX145">
        <v>0</v>
      </c>
    </row>
    <row r="146" spans="1:56" x14ac:dyDescent="0.25">
      <c r="A146" t="s">
        <v>568</v>
      </c>
      <c r="B146" s="3">
        <v>43131</v>
      </c>
      <c r="C146" t="s">
        <v>87</v>
      </c>
      <c r="D146" t="s">
        <v>569</v>
      </c>
      <c r="E146" t="s">
        <v>89</v>
      </c>
      <c r="F146">
        <v>13330</v>
      </c>
      <c r="G146" t="s">
        <v>570</v>
      </c>
      <c r="H146" s="3">
        <v>43131</v>
      </c>
      <c r="I146" t="s">
        <v>571</v>
      </c>
      <c r="J146">
        <v>8300</v>
      </c>
      <c r="K146" s="1"/>
      <c r="M146" s="3">
        <v>43167</v>
      </c>
      <c r="N146" t="s">
        <v>54</v>
      </c>
      <c r="O146" t="s">
        <v>533</v>
      </c>
      <c r="P146" t="s">
        <v>60</v>
      </c>
      <c r="Q146">
        <v>8000</v>
      </c>
      <c r="AG146" t="s">
        <v>572</v>
      </c>
      <c r="AH146" s="3">
        <v>43158</v>
      </c>
      <c r="AI146">
        <v>13330</v>
      </c>
      <c r="AJ146">
        <v>0</v>
      </c>
      <c r="AS146" t="s">
        <v>576</v>
      </c>
      <c r="AT146" s="3">
        <v>43483</v>
      </c>
      <c r="AU146">
        <v>13063</v>
      </c>
      <c r="AV146">
        <v>0</v>
      </c>
      <c r="AW146">
        <v>267</v>
      </c>
      <c r="AX146">
        <v>0</v>
      </c>
    </row>
    <row r="147" spans="1:56" x14ac:dyDescent="0.25">
      <c r="A147" t="s">
        <v>573</v>
      </c>
      <c r="B147" s="3">
        <v>43131</v>
      </c>
      <c r="C147" t="s">
        <v>87</v>
      </c>
      <c r="D147" t="s">
        <v>262</v>
      </c>
      <c r="E147" t="s">
        <v>89</v>
      </c>
      <c r="F147">
        <v>9050</v>
      </c>
      <c r="G147" t="s">
        <v>574</v>
      </c>
      <c r="H147" s="3">
        <v>43131</v>
      </c>
      <c r="I147" t="s">
        <v>344</v>
      </c>
      <c r="J147">
        <v>12000</v>
      </c>
      <c r="K147" s="1"/>
      <c r="M147" s="3">
        <v>43133</v>
      </c>
      <c r="N147" t="s">
        <v>54</v>
      </c>
      <c r="O147" t="s">
        <v>538</v>
      </c>
      <c r="P147" t="s">
        <v>56</v>
      </c>
      <c r="Q147">
        <v>9800</v>
      </c>
      <c r="R147" s="3">
        <v>43141</v>
      </c>
      <c r="S147" t="s">
        <v>54</v>
      </c>
      <c r="T147" t="s">
        <v>494</v>
      </c>
      <c r="U147" t="s">
        <v>60</v>
      </c>
      <c r="V147">
        <v>1950</v>
      </c>
      <c r="AG147" t="s">
        <v>557</v>
      </c>
      <c r="AH147" s="3">
        <v>43138</v>
      </c>
      <c r="AI147">
        <v>9050</v>
      </c>
      <c r="AJ147">
        <v>0</v>
      </c>
      <c r="AS147" t="s">
        <v>550</v>
      </c>
      <c r="AT147" s="3">
        <v>43220</v>
      </c>
      <c r="AU147">
        <v>41251</v>
      </c>
      <c r="AV147">
        <v>0</v>
      </c>
      <c r="AW147">
        <v>842</v>
      </c>
      <c r="AX147">
        <v>0</v>
      </c>
    </row>
    <row r="148" spans="1:56" x14ac:dyDescent="0.25">
      <c r="A148" t="s">
        <v>575</v>
      </c>
      <c r="B148" s="3">
        <v>43131</v>
      </c>
      <c r="C148" t="s">
        <v>87</v>
      </c>
      <c r="D148" t="s">
        <v>256</v>
      </c>
      <c r="E148" t="s">
        <v>89</v>
      </c>
      <c r="F148">
        <v>11200</v>
      </c>
      <c r="K148" s="1"/>
      <c r="AG148" t="s">
        <v>557</v>
      </c>
      <c r="AH148" s="3">
        <v>43138</v>
      </c>
      <c r="AI148">
        <v>11200</v>
      </c>
      <c r="AJ148">
        <v>0</v>
      </c>
      <c r="AS148" t="s">
        <v>550</v>
      </c>
      <c r="AT148" s="3">
        <v>43220</v>
      </c>
      <c r="AU148">
        <v>41251</v>
      </c>
      <c r="AV148">
        <v>0</v>
      </c>
      <c r="AW148">
        <v>842</v>
      </c>
      <c r="AX148">
        <v>0</v>
      </c>
    </row>
    <row r="149" spans="1:56" x14ac:dyDescent="0.25">
      <c r="A149" t="s">
        <v>577</v>
      </c>
      <c r="B149" s="3">
        <v>43140</v>
      </c>
      <c r="C149" t="s">
        <v>87</v>
      </c>
      <c r="D149" t="s">
        <v>241</v>
      </c>
      <c r="E149" t="s">
        <v>89</v>
      </c>
      <c r="F149">
        <v>6998</v>
      </c>
      <c r="G149" t="s">
        <v>578</v>
      </c>
      <c r="H149" s="3">
        <v>43140</v>
      </c>
      <c r="I149" t="s">
        <v>344</v>
      </c>
      <c r="J149">
        <v>5500</v>
      </c>
      <c r="K149" s="1"/>
      <c r="M149" s="3">
        <v>43141</v>
      </c>
      <c r="N149" t="s">
        <v>54</v>
      </c>
      <c r="O149" t="s">
        <v>494</v>
      </c>
      <c r="P149" t="s">
        <v>56</v>
      </c>
      <c r="Q149">
        <v>4400</v>
      </c>
      <c r="R149" s="3">
        <v>43160</v>
      </c>
      <c r="S149" t="s">
        <v>54</v>
      </c>
      <c r="T149" t="s">
        <v>579</v>
      </c>
      <c r="U149" t="s">
        <v>60</v>
      </c>
      <c r="V149">
        <v>970</v>
      </c>
      <c r="AG149" t="s">
        <v>561</v>
      </c>
      <c r="AH149" s="3">
        <v>43158</v>
      </c>
      <c r="AI149">
        <v>6998</v>
      </c>
      <c r="AJ149">
        <v>0</v>
      </c>
      <c r="AS149" t="s">
        <v>550</v>
      </c>
      <c r="AT149" s="3">
        <v>43220</v>
      </c>
      <c r="AU149">
        <v>37429</v>
      </c>
      <c r="AV149">
        <v>0</v>
      </c>
      <c r="AW149">
        <v>764</v>
      </c>
      <c r="AX149">
        <v>0</v>
      </c>
    </row>
    <row r="150" spans="1:56" x14ac:dyDescent="0.25">
      <c r="A150" t="s">
        <v>580</v>
      </c>
      <c r="B150" s="3">
        <v>43146</v>
      </c>
      <c r="C150" t="s">
        <v>87</v>
      </c>
      <c r="D150" t="s">
        <v>251</v>
      </c>
      <c r="E150" t="s">
        <v>89</v>
      </c>
      <c r="F150">
        <v>7050</v>
      </c>
      <c r="G150" t="s">
        <v>581</v>
      </c>
      <c r="H150" s="3">
        <v>43146</v>
      </c>
      <c r="I150" t="s">
        <v>344</v>
      </c>
      <c r="J150">
        <v>6000</v>
      </c>
      <c r="K150" s="1"/>
      <c r="M150" s="3">
        <v>43155</v>
      </c>
      <c r="N150" t="s">
        <v>57</v>
      </c>
      <c r="O150" t="s">
        <v>582</v>
      </c>
      <c r="P150" t="s">
        <v>56</v>
      </c>
      <c r="Q150">
        <v>4900</v>
      </c>
      <c r="R150" s="3">
        <v>43167</v>
      </c>
      <c r="S150" t="s">
        <v>57</v>
      </c>
      <c r="T150" t="s">
        <v>579</v>
      </c>
      <c r="U150" t="s">
        <v>60</v>
      </c>
      <c r="V150">
        <v>970</v>
      </c>
      <c r="AG150" t="s">
        <v>561</v>
      </c>
      <c r="AH150" s="3">
        <v>43158</v>
      </c>
      <c r="AI150">
        <v>7050</v>
      </c>
      <c r="AJ150">
        <v>0</v>
      </c>
      <c r="AS150" t="s">
        <v>550</v>
      </c>
      <c r="AT150" s="3">
        <v>43220</v>
      </c>
      <c r="AU150">
        <v>37429</v>
      </c>
      <c r="AV150">
        <v>0</v>
      </c>
      <c r="AW150">
        <v>764</v>
      </c>
      <c r="AX150">
        <v>0</v>
      </c>
    </row>
    <row r="151" spans="1:56" x14ac:dyDescent="0.25">
      <c r="A151" t="s">
        <v>583</v>
      </c>
      <c r="B151" s="3">
        <v>43147</v>
      </c>
      <c r="C151" t="s">
        <v>87</v>
      </c>
      <c r="D151" t="s">
        <v>152</v>
      </c>
      <c r="E151" t="s">
        <v>89</v>
      </c>
      <c r="F151">
        <v>5795</v>
      </c>
      <c r="G151" t="s">
        <v>584</v>
      </c>
      <c r="H151" s="3">
        <v>43147</v>
      </c>
      <c r="I151" t="s">
        <v>514</v>
      </c>
      <c r="J151">
        <v>5600</v>
      </c>
      <c r="K151" s="1"/>
      <c r="M151" s="3">
        <v>43155</v>
      </c>
      <c r="N151" t="s">
        <v>57</v>
      </c>
      <c r="O151" t="s">
        <v>452</v>
      </c>
      <c r="P151" t="s">
        <v>56</v>
      </c>
      <c r="Q151">
        <v>4400</v>
      </c>
      <c r="R151" s="3">
        <v>43159</v>
      </c>
      <c r="S151" t="s">
        <v>57</v>
      </c>
      <c r="T151" t="s">
        <v>452</v>
      </c>
      <c r="U151" t="s">
        <v>60</v>
      </c>
      <c r="V151">
        <v>1000</v>
      </c>
      <c r="AG151" t="s">
        <v>561</v>
      </c>
      <c r="AH151" s="3">
        <v>43158</v>
      </c>
      <c r="AI151">
        <v>5795</v>
      </c>
      <c r="AJ151">
        <v>0</v>
      </c>
      <c r="AS151" t="s">
        <v>550</v>
      </c>
      <c r="AT151" s="3">
        <v>43220</v>
      </c>
      <c r="AU151">
        <v>37429</v>
      </c>
      <c r="AV151">
        <v>0</v>
      </c>
      <c r="AW151">
        <v>764</v>
      </c>
      <c r="AX151">
        <v>0</v>
      </c>
    </row>
    <row r="152" spans="1:56" x14ac:dyDescent="0.25">
      <c r="A152" t="s">
        <v>585</v>
      </c>
      <c r="B152" s="3">
        <v>43147</v>
      </c>
      <c r="C152" t="s">
        <v>87</v>
      </c>
      <c r="D152" t="s">
        <v>245</v>
      </c>
      <c r="E152" t="s">
        <v>89</v>
      </c>
      <c r="F152">
        <v>7350</v>
      </c>
      <c r="G152" t="s">
        <v>586</v>
      </c>
      <c r="H152" s="3">
        <v>43147</v>
      </c>
      <c r="I152" t="s">
        <v>344</v>
      </c>
      <c r="J152">
        <v>6000</v>
      </c>
      <c r="K152" s="1"/>
      <c r="M152" s="3">
        <v>43148</v>
      </c>
      <c r="N152" t="s">
        <v>54</v>
      </c>
      <c r="O152" t="s">
        <v>538</v>
      </c>
      <c r="P152" t="s">
        <v>56</v>
      </c>
      <c r="Q152">
        <v>4900</v>
      </c>
      <c r="R152" s="3">
        <v>43160</v>
      </c>
      <c r="S152" t="s">
        <v>54</v>
      </c>
      <c r="T152" t="s">
        <v>579</v>
      </c>
      <c r="U152" t="s">
        <v>60</v>
      </c>
      <c r="V152">
        <v>970</v>
      </c>
      <c r="AG152" t="s">
        <v>587</v>
      </c>
      <c r="AH152" s="3">
        <v>43162</v>
      </c>
      <c r="AI152">
        <v>7350</v>
      </c>
      <c r="AJ152">
        <v>0</v>
      </c>
      <c r="AS152" t="s">
        <v>550</v>
      </c>
      <c r="AT152" s="3">
        <v>43220</v>
      </c>
      <c r="AU152">
        <v>4108</v>
      </c>
      <c r="AV152">
        <v>0</v>
      </c>
      <c r="AW152">
        <v>147</v>
      </c>
      <c r="AX152">
        <v>0</v>
      </c>
      <c r="AY152" t="s">
        <v>591</v>
      </c>
      <c r="AZ152" s="3">
        <v>43220</v>
      </c>
      <c r="BA152">
        <v>3095</v>
      </c>
      <c r="BB152">
        <v>0</v>
      </c>
      <c r="BC152">
        <v>0</v>
      </c>
      <c r="BD152">
        <v>0</v>
      </c>
    </row>
    <row r="153" spans="1:56" x14ac:dyDescent="0.25">
      <c r="A153" t="s">
        <v>588</v>
      </c>
      <c r="B153" s="3">
        <v>43148</v>
      </c>
      <c r="C153" t="s">
        <v>87</v>
      </c>
      <c r="D153" t="s">
        <v>378</v>
      </c>
      <c r="E153" t="s">
        <v>89</v>
      </c>
      <c r="F153">
        <v>7650</v>
      </c>
      <c r="G153" t="s">
        <v>589</v>
      </c>
      <c r="H153" s="3">
        <v>43148</v>
      </c>
      <c r="I153" t="s">
        <v>532</v>
      </c>
      <c r="J153">
        <v>5600</v>
      </c>
      <c r="K153" s="1"/>
      <c r="M153" s="3">
        <v>43167</v>
      </c>
      <c r="N153" t="s">
        <v>54</v>
      </c>
      <c r="O153" t="s">
        <v>533</v>
      </c>
      <c r="P153" t="s">
        <v>60</v>
      </c>
      <c r="Q153">
        <v>5450</v>
      </c>
      <c r="AG153" t="s">
        <v>590</v>
      </c>
      <c r="AH153" s="3">
        <v>43158</v>
      </c>
      <c r="AI153">
        <v>7650</v>
      </c>
      <c r="AJ153">
        <v>0</v>
      </c>
      <c r="AS153" t="s">
        <v>550</v>
      </c>
      <c r="AT153" s="3">
        <v>43220</v>
      </c>
      <c r="AU153">
        <v>7497</v>
      </c>
      <c r="AV153">
        <v>0</v>
      </c>
      <c r="AW153">
        <v>153</v>
      </c>
      <c r="AX153">
        <v>0</v>
      </c>
    </row>
    <row r="154" spans="1:56" x14ac:dyDescent="0.25">
      <c r="A154" t="s">
        <v>592</v>
      </c>
      <c r="B154" s="3">
        <v>43151</v>
      </c>
      <c r="C154" t="s">
        <v>87</v>
      </c>
      <c r="D154" t="s">
        <v>206</v>
      </c>
      <c r="E154" t="s">
        <v>89</v>
      </c>
      <c r="F154">
        <v>11000</v>
      </c>
      <c r="G154" t="s">
        <v>593</v>
      </c>
      <c r="H154" s="3">
        <v>43151</v>
      </c>
      <c r="I154" t="s">
        <v>514</v>
      </c>
      <c r="J154">
        <v>8000</v>
      </c>
      <c r="K154" s="1"/>
      <c r="M154" s="3">
        <v>43155</v>
      </c>
      <c r="N154" t="s">
        <v>57</v>
      </c>
      <c r="O154" t="s">
        <v>459</v>
      </c>
      <c r="P154" t="s">
        <v>56</v>
      </c>
      <c r="Q154">
        <v>6850</v>
      </c>
      <c r="R154" s="3">
        <v>43159</v>
      </c>
      <c r="S154" t="s">
        <v>57</v>
      </c>
      <c r="T154" t="s">
        <v>452</v>
      </c>
      <c r="U154" t="s">
        <v>60</v>
      </c>
      <c r="V154">
        <v>970</v>
      </c>
      <c r="AG154" t="s">
        <v>561</v>
      </c>
      <c r="AH154" s="3">
        <v>43158</v>
      </c>
      <c r="AI154">
        <v>11000</v>
      </c>
      <c r="AJ154">
        <v>0</v>
      </c>
      <c r="AS154" t="s">
        <v>550</v>
      </c>
      <c r="AT154" s="3">
        <v>43220</v>
      </c>
      <c r="AU154">
        <v>37429</v>
      </c>
      <c r="AV154">
        <v>0</v>
      </c>
      <c r="AW154">
        <v>764</v>
      </c>
      <c r="AX154">
        <v>0</v>
      </c>
    </row>
    <row r="155" spans="1:56" x14ac:dyDescent="0.25">
      <c r="A155" t="s">
        <v>594</v>
      </c>
      <c r="B155" s="3">
        <v>43152</v>
      </c>
      <c r="C155" t="s">
        <v>87</v>
      </c>
      <c r="D155" t="s">
        <v>241</v>
      </c>
      <c r="E155" t="s">
        <v>89</v>
      </c>
      <c r="F155">
        <v>6998</v>
      </c>
      <c r="G155" t="s">
        <v>595</v>
      </c>
      <c r="H155" s="3">
        <v>43152</v>
      </c>
      <c r="I155" t="s">
        <v>344</v>
      </c>
      <c r="J155">
        <v>6000</v>
      </c>
      <c r="K155" s="1"/>
      <c r="M155" s="3">
        <v>43154</v>
      </c>
      <c r="N155" t="s">
        <v>54</v>
      </c>
      <c r="O155" t="s">
        <v>538</v>
      </c>
      <c r="P155" t="s">
        <v>56</v>
      </c>
      <c r="Q155">
        <v>4900</v>
      </c>
      <c r="R155" s="3">
        <v>43182</v>
      </c>
      <c r="S155" t="s">
        <v>54</v>
      </c>
      <c r="T155" t="s">
        <v>410</v>
      </c>
      <c r="U155" t="s">
        <v>60</v>
      </c>
      <c r="V155">
        <v>970</v>
      </c>
      <c r="AG155" t="s">
        <v>596</v>
      </c>
      <c r="AH155" s="3">
        <v>43178</v>
      </c>
      <c r="AI155">
        <v>6998</v>
      </c>
      <c r="AJ155">
        <v>0</v>
      </c>
      <c r="AS155" t="s">
        <v>591</v>
      </c>
      <c r="AT155" s="3">
        <v>43220</v>
      </c>
      <c r="AU155">
        <v>76673</v>
      </c>
      <c r="AV155">
        <v>0</v>
      </c>
      <c r="AW155">
        <v>1566</v>
      </c>
      <c r="AX155">
        <v>0</v>
      </c>
    </row>
    <row r="156" spans="1:56" x14ac:dyDescent="0.25">
      <c r="A156" t="s">
        <v>597</v>
      </c>
      <c r="B156" s="3">
        <v>43158</v>
      </c>
      <c r="C156" t="s">
        <v>87</v>
      </c>
      <c r="D156" t="s">
        <v>152</v>
      </c>
      <c r="E156" t="s">
        <v>89</v>
      </c>
      <c r="F156">
        <v>5795</v>
      </c>
      <c r="G156" t="s">
        <v>598</v>
      </c>
      <c r="H156" s="3">
        <v>43158</v>
      </c>
      <c r="I156" t="s">
        <v>514</v>
      </c>
      <c r="J156">
        <v>5300</v>
      </c>
      <c r="K156" s="1"/>
      <c r="M156" s="3">
        <v>43159</v>
      </c>
      <c r="N156" t="s">
        <v>57</v>
      </c>
      <c r="P156" t="s">
        <v>56</v>
      </c>
      <c r="Q156">
        <v>4200</v>
      </c>
      <c r="R156" s="3">
        <v>43182</v>
      </c>
      <c r="S156" t="s">
        <v>57</v>
      </c>
      <c r="U156" t="s">
        <v>60</v>
      </c>
      <c r="V156">
        <v>970</v>
      </c>
      <c r="AG156" t="s">
        <v>596</v>
      </c>
      <c r="AH156" s="3">
        <v>43178</v>
      </c>
      <c r="AI156">
        <v>5795</v>
      </c>
      <c r="AJ156">
        <v>0</v>
      </c>
      <c r="AS156" t="s">
        <v>591</v>
      </c>
      <c r="AT156" s="3">
        <v>43220</v>
      </c>
      <c r="AU156">
        <v>76673</v>
      </c>
      <c r="AV156">
        <v>0</v>
      </c>
      <c r="AW156">
        <v>1566</v>
      </c>
      <c r="AX156">
        <v>0</v>
      </c>
    </row>
    <row r="157" spans="1:56" x14ac:dyDescent="0.25">
      <c r="A157" t="s">
        <v>599</v>
      </c>
      <c r="B157" s="3">
        <v>43158</v>
      </c>
      <c r="C157" t="s">
        <v>87</v>
      </c>
      <c r="D157" t="s">
        <v>251</v>
      </c>
      <c r="E157" t="s">
        <v>89</v>
      </c>
      <c r="F157">
        <v>7050</v>
      </c>
      <c r="G157" t="s">
        <v>600</v>
      </c>
      <c r="H157" s="3">
        <v>43158</v>
      </c>
      <c r="I157" t="s">
        <v>601</v>
      </c>
      <c r="J157">
        <v>5000</v>
      </c>
      <c r="K157" s="1"/>
      <c r="M157" s="3">
        <v>43159</v>
      </c>
      <c r="N157" t="s">
        <v>57</v>
      </c>
      <c r="P157" t="s">
        <v>56</v>
      </c>
      <c r="Q157">
        <v>4400</v>
      </c>
      <c r="R157" s="3">
        <v>43220</v>
      </c>
      <c r="S157" t="s">
        <v>57</v>
      </c>
      <c r="U157" t="s">
        <v>60</v>
      </c>
      <c r="V157">
        <v>470</v>
      </c>
      <c r="AG157" t="s">
        <v>596</v>
      </c>
      <c r="AH157" s="3">
        <v>43178</v>
      </c>
      <c r="AI157">
        <v>7050</v>
      </c>
      <c r="AJ157">
        <v>0</v>
      </c>
      <c r="AS157" t="s">
        <v>591</v>
      </c>
      <c r="AT157" s="3">
        <v>43220</v>
      </c>
      <c r="AU157">
        <v>76673</v>
      </c>
      <c r="AV157">
        <v>0</v>
      </c>
      <c r="AW157">
        <v>1566</v>
      </c>
      <c r="AX157">
        <v>0</v>
      </c>
    </row>
    <row r="158" spans="1:56" x14ac:dyDescent="0.25">
      <c r="A158" t="s">
        <v>602</v>
      </c>
      <c r="B158" s="3">
        <v>43159</v>
      </c>
      <c r="C158" t="s">
        <v>87</v>
      </c>
      <c r="D158" t="s">
        <v>262</v>
      </c>
      <c r="E158" t="s">
        <v>89</v>
      </c>
      <c r="F158">
        <v>9050</v>
      </c>
      <c r="G158" t="s">
        <v>603</v>
      </c>
      <c r="H158" s="3">
        <v>43159</v>
      </c>
      <c r="I158" t="s">
        <v>344</v>
      </c>
      <c r="J158">
        <v>10500</v>
      </c>
      <c r="K158" s="1"/>
      <c r="M158" s="3">
        <v>43162</v>
      </c>
      <c r="N158" t="s">
        <v>54</v>
      </c>
      <c r="O158" t="s">
        <v>579</v>
      </c>
      <c r="P158" t="s">
        <v>56</v>
      </c>
      <c r="Q158">
        <v>8900</v>
      </c>
      <c r="R158" s="3">
        <v>43259</v>
      </c>
      <c r="S158" t="s">
        <v>54</v>
      </c>
      <c r="T158" t="s">
        <v>538</v>
      </c>
      <c r="U158" t="s">
        <v>60</v>
      </c>
      <c r="V158">
        <v>1450</v>
      </c>
      <c r="AG158" t="s">
        <v>596</v>
      </c>
      <c r="AH158" s="3">
        <v>43178</v>
      </c>
      <c r="AI158">
        <v>9050</v>
      </c>
      <c r="AJ158">
        <v>0</v>
      </c>
      <c r="AS158" t="s">
        <v>591</v>
      </c>
      <c r="AT158" s="3">
        <v>43220</v>
      </c>
      <c r="AU158">
        <v>76673</v>
      </c>
      <c r="AV158">
        <v>0</v>
      </c>
      <c r="AW158">
        <v>1566</v>
      </c>
      <c r="AX158">
        <v>0</v>
      </c>
    </row>
    <row r="159" spans="1:56" x14ac:dyDescent="0.25">
      <c r="A159" t="s">
        <v>604</v>
      </c>
      <c r="B159" s="3">
        <v>43159</v>
      </c>
      <c r="C159" t="s">
        <v>87</v>
      </c>
      <c r="D159" t="s">
        <v>486</v>
      </c>
      <c r="E159" t="s">
        <v>89</v>
      </c>
      <c r="F159">
        <v>6998</v>
      </c>
      <c r="K159" s="1"/>
      <c r="AG159" t="s">
        <v>605</v>
      </c>
      <c r="AH159" s="3">
        <v>43227</v>
      </c>
      <c r="AI159">
        <v>6998</v>
      </c>
      <c r="AJ159">
        <v>0</v>
      </c>
      <c r="AS159" t="s">
        <v>549</v>
      </c>
      <c r="AT159" s="3">
        <v>43285</v>
      </c>
      <c r="AU159">
        <v>6859</v>
      </c>
      <c r="AV159">
        <v>0</v>
      </c>
      <c r="AW159">
        <v>139</v>
      </c>
      <c r="AX159">
        <v>0</v>
      </c>
    </row>
    <row r="160" spans="1:56" x14ac:dyDescent="0.25">
      <c r="A160" t="s">
        <v>606</v>
      </c>
      <c r="B160" s="3">
        <v>43159</v>
      </c>
      <c r="C160" t="s">
        <v>87</v>
      </c>
      <c r="D160" t="s">
        <v>313</v>
      </c>
      <c r="E160" t="s">
        <v>89</v>
      </c>
      <c r="F160">
        <v>7350</v>
      </c>
      <c r="G160" t="s">
        <v>607</v>
      </c>
      <c r="H160" s="3">
        <v>43159</v>
      </c>
      <c r="I160" t="s">
        <v>514</v>
      </c>
      <c r="J160">
        <v>6000</v>
      </c>
      <c r="K160" s="1"/>
      <c r="M160" s="3">
        <v>43159</v>
      </c>
      <c r="N160" t="s">
        <v>57</v>
      </c>
      <c r="O160" t="s">
        <v>608</v>
      </c>
      <c r="P160" t="s">
        <v>56</v>
      </c>
      <c r="Q160">
        <v>4900</v>
      </c>
      <c r="R160" s="3">
        <v>43251</v>
      </c>
      <c r="S160" t="s">
        <v>57</v>
      </c>
      <c r="T160" t="s">
        <v>608</v>
      </c>
      <c r="U160" t="s">
        <v>60</v>
      </c>
      <c r="V160">
        <v>970</v>
      </c>
      <c r="AG160" t="s">
        <v>609</v>
      </c>
      <c r="AH160" s="3">
        <v>43239</v>
      </c>
      <c r="AI160">
        <v>7350</v>
      </c>
      <c r="AJ160">
        <v>0</v>
      </c>
      <c r="AS160" t="s">
        <v>292</v>
      </c>
      <c r="AT160" s="3">
        <v>43343</v>
      </c>
      <c r="AU160">
        <v>7203</v>
      </c>
      <c r="AV160">
        <v>0</v>
      </c>
      <c r="AW160">
        <v>147</v>
      </c>
      <c r="AX160">
        <v>0</v>
      </c>
    </row>
    <row r="161" spans="1:50" x14ac:dyDescent="0.25">
      <c r="A161" t="s">
        <v>610</v>
      </c>
      <c r="B161" s="3">
        <v>43159</v>
      </c>
      <c r="C161" t="s">
        <v>87</v>
      </c>
      <c r="D161" t="s">
        <v>408</v>
      </c>
      <c r="E161" t="s">
        <v>89</v>
      </c>
      <c r="F161">
        <v>9900</v>
      </c>
      <c r="G161" t="s">
        <v>611</v>
      </c>
      <c r="H161" s="3">
        <v>43159</v>
      </c>
      <c r="I161" t="s">
        <v>344</v>
      </c>
      <c r="J161">
        <v>8000</v>
      </c>
      <c r="K161" s="1"/>
      <c r="M161" s="3">
        <v>43160</v>
      </c>
      <c r="N161" t="s">
        <v>54</v>
      </c>
      <c r="O161" t="s">
        <v>579</v>
      </c>
      <c r="P161" t="s">
        <v>56</v>
      </c>
      <c r="Q161">
        <v>6900</v>
      </c>
      <c r="R161" s="3">
        <v>43182</v>
      </c>
      <c r="S161" t="s">
        <v>54</v>
      </c>
      <c r="T161" t="s">
        <v>410</v>
      </c>
      <c r="U161" t="s">
        <v>60</v>
      </c>
      <c r="V161">
        <v>970</v>
      </c>
      <c r="AG161" t="s">
        <v>596</v>
      </c>
      <c r="AH161" s="3">
        <v>43178</v>
      </c>
      <c r="AI161">
        <v>9900</v>
      </c>
      <c r="AJ161">
        <v>0</v>
      </c>
      <c r="AS161" t="s">
        <v>591</v>
      </c>
      <c r="AT161" s="3">
        <v>43220</v>
      </c>
      <c r="AU161">
        <v>76673</v>
      </c>
      <c r="AV161">
        <v>0</v>
      </c>
      <c r="AW161">
        <v>1566</v>
      </c>
      <c r="AX161">
        <v>0</v>
      </c>
    </row>
    <row r="162" spans="1:50" x14ac:dyDescent="0.25">
      <c r="A162" t="s">
        <v>612</v>
      </c>
      <c r="B162" s="3">
        <v>43159</v>
      </c>
      <c r="C162" t="s">
        <v>87</v>
      </c>
      <c r="D162" t="s">
        <v>241</v>
      </c>
      <c r="E162" t="s">
        <v>89</v>
      </c>
      <c r="F162">
        <v>6998</v>
      </c>
      <c r="G162" t="s">
        <v>613</v>
      </c>
      <c r="H162" s="3">
        <v>43159</v>
      </c>
      <c r="I162" t="s">
        <v>527</v>
      </c>
      <c r="J162">
        <v>5500</v>
      </c>
      <c r="K162" s="1"/>
      <c r="M162" s="3">
        <v>43159</v>
      </c>
      <c r="N162" t="s">
        <v>57</v>
      </c>
      <c r="P162" t="s">
        <v>56</v>
      </c>
      <c r="Q162">
        <v>4400</v>
      </c>
      <c r="R162" s="3">
        <v>43167</v>
      </c>
      <c r="S162" t="s">
        <v>57</v>
      </c>
      <c r="T162" t="s">
        <v>528</v>
      </c>
      <c r="U162" t="s">
        <v>60</v>
      </c>
      <c r="V162">
        <v>970</v>
      </c>
      <c r="AG162" t="s">
        <v>596</v>
      </c>
      <c r="AH162" s="3">
        <v>43178</v>
      </c>
      <c r="AI162">
        <v>6998</v>
      </c>
      <c r="AJ162">
        <v>0</v>
      </c>
      <c r="AS162" t="s">
        <v>591</v>
      </c>
      <c r="AT162" s="3">
        <v>43220</v>
      </c>
      <c r="AU162">
        <v>76673</v>
      </c>
      <c r="AV162">
        <v>0</v>
      </c>
      <c r="AW162">
        <v>1566</v>
      </c>
      <c r="AX162">
        <v>0</v>
      </c>
    </row>
    <row r="163" spans="1:50" x14ac:dyDescent="0.25">
      <c r="A163" t="s">
        <v>614</v>
      </c>
      <c r="B163" s="3">
        <v>43169</v>
      </c>
      <c r="C163" t="s">
        <v>87</v>
      </c>
      <c r="D163" t="s">
        <v>245</v>
      </c>
      <c r="E163" t="s">
        <v>89</v>
      </c>
      <c r="F163">
        <v>7350</v>
      </c>
      <c r="G163" t="s">
        <v>615</v>
      </c>
      <c r="H163" s="3">
        <v>43169</v>
      </c>
      <c r="I163" t="s">
        <v>344</v>
      </c>
      <c r="J163">
        <v>12000</v>
      </c>
      <c r="K163" s="1"/>
      <c r="M163" s="3">
        <v>43173</v>
      </c>
      <c r="N163" t="s">
        <v>54</v>
      </c>
      <c r="O163" t="s">
        <v>410</v>
      </c>
      <c r="P163" t="s">
        <v>56</v>
      </c>
      <c r="Q163">
        <v>9850</v>
      </c>
      <c r="R163" s="3">
        <v>43208</v>
      </c>
      <c r="S163" t="s">
        <v>54</v>
      </c>
      <c r="T163" t="s">
        <v>410</v>
      </c>
      <c r="U163" t="s">
        <v>60</v>
      </c>
      <c r="V163">
        <v>1950</v>
      </c>
      <c r="AG163" t="s">
        <v>596</v>
      </c>
      <c r="AH163" s="3">
        <v>43178</v>
      </c>
      <c r="AI163">
        <v>7350</v>
      </c>
      <c r="AJ163">
        <v>0</v>
      </c>
      <c r="AS163" t="s">
        <v>591</v>
      </c>
      <c r="AT163" s="3">
        <v>43220</v>
      </c>
      <c r="AU163">
        <v>76673</v>
      </c>
      <c r="AV163">
        <v>0</v>
      </c>
      <c r="AW163">
        <v>1566</v>
      </c>
      <c r="AX163">
        <v>0</v>
      </c>
    </row>
    <row r="164" spans="1:50" x14ac:dyDescent="0.25">
      <c r="A164" t="s">
        <v>616</v>
      </c>
      <c r="B164" s="3">
        <v>43169</v>
      </c>
      <c r="C164" t="s">
        <v>87</v>
      </c>
      <c r="D164" t="s">
        <v>238</v>
      </c>
      <c r="E164" t="s">
        <v>89</v>
      </c>
      <c r="F164">
        <v>9050</v>
      </c>
      <c r="K164" s="1"/>
      <c r="AG164" t="s">
        <v>596</v>
      </c>
      <c r="AH164" s="3">
        <v>43178</v>
      </c>
      <c r="AI164">
        <v>9050</v>
      </c>
      <c r="AJ164">
        <v>0</v>
      </c>
      <c r="AS164" t="s">
        <v>591</v>
      </c>
      <c r="AT164" s="3">
        <v>43220</v>
      </c>
      <c r="AU164">
        <v>76673</v>
      </c>
      <c r="AV164">
        <v>0</v>
      </c>
      <c r="AW164">
        <v>1566</v>
      </c>
      <c r="AX164">
        <v>0</v>
      </c>
    </row>
    <row r="165" spans="1:50" x14ac:dyDescent="0.25">
      <c r="A165" t="s">
        <v>617</v>
      </c>
      <c r="B165" s="3">
        <v>43171</v>
      </c>
      <c r="C165" t="s">
        <v>87</v>
      </c>
      <c r="D165" t="s">
        <v>288</v>
      </c>
      <c r="E165" t="s">
        <v>89</v>
      </c>
      <c r="F165">
        <v>9050</v>
      </c>
      <c r="G165" t="s">
        <v>618</v>
      </c>
      <c r="H165" s="3">
        <v>43171</v>
      </c>
      <c r="I165" t="s">
        <v>344</v>
      </c>
      <c r="J165">
        <v>7700</v>
      </c>
      <c r="K165" s="1"/>
      <c r="M165" s="3">
        <v>43173</v>
      </c>
      <c r="N165" t="s">
        <v>54</v>
      </c>
      <c r="O165" t="s">
        <v>410</v>
      </c>
      <c r="P165" t="s">
        <v>56</v>
      </c>
      <c r="Q165">
        <v>6550</v>
      </c>
      <c r="R165" s="3">
        <v>43208</v>
      </c>
      <c r="S165" t="s">
        <v>54</v>
      </c>
      <c r="T165" t="s">
        <v>410</v>
      </c>
      <c r="U165" t="s">
        <v>60</v>
      </c>
      <c r="V165">
        <v>1000</v>
      </c>
      <c r="AG165" t="s">
        <v>596</v>
      </c>
      <c r="AH165" s="3">
        <v>43178</v>
      </c>
      <c r="AI165">
        <v>9050</v>
      </c>
      <c r="AJ165">
        <v>0</v>
      </c>
      <c r="AS165" t="s">
        <v>591</v>
      </c>
      <c r="AT165" s="3">
        <v>43220</v>
      </c>
      <c r="AU165">
        <v>76673</v>
      </c>
      <c r="AV165">
        <v>0</v>
      </c>
      <c r="AW165">
        <v>1566</v>
      </c>
      <c r="AX165">
        <v>0</v>
      </c>
    </row>
    <row r="166" spans="1:50" x14ac:dyDescent="0.25">
      <c r="A166" t="s">
        <v>619</v>
      </c>
      <c r="B166" s="3">
        <v>43173</v>
      </c>
      <c r="C166" t="s">
        <v>87</v>
      </c>
      <c r="D166" t="s">
        <v>251</v>
      </c>
      <c r="E166" t="s">
        <v>89</v>
      </c>
      <c r="F166">
        <v>8998</v>
      </c>
      <c r="G166" t="s">
        <v>620</v>
      </c>
      <c r="H166" s="3">
        <v>43173</v>
      </c>
      <c r="I166" t="s">
        <v>344</v>
      </c>
      <c r="J166">
        <v>6000</v>
      </c>
      <c r="K166" s="1"/>
      <c r="M166" s="3">
        <v>43182</v>
      </c>
      <c r="N166" t="s">
        <v>54</v>
      </c>
      <c r="O166" t="s">
        <v>410</v>
      </c>
      <c r="P166" t="s">
        <v>56</v>
      </c>
      <c r="Q166">
        <v>4900</v>
      </c>
      <c r="R166" s="3">
        <v>43208</v>
      </c>
      <c r="S166" t="s">
        <v>54</v>
      </c>
      <c r="T166" t="s">
        <v>410</v>
      </c>
      <c r="U166" t="s">
        <v>60</v>
      </c>
      <c r="V166">
        <v>970</v>
      </c>
      <c r="AG166" t="s">
        <v>621</v>
      </c>
      <c r="AH166" s="3">
        <v>43203</v>
      </c>
      <c r="AI166">
        <v>8998</v>
      </c>
      <c r="AJ166">
        <v>0</v>
      </c>
      <c r="AS166" t="s">
        <v>549</v>
      </c>
      <c r="AT166" s="3">
        <v>43285</v>
      </c>
      <c r="AU166">
        <v>51052</v>
      </c>
      <c r="AV166">
        <v>0</v>
      </c>
      <c r="AW166">
        <v>1042</v>
      </c>
      <c r="AX166">
        <v>0</v>
      </c>
    </row>
    <row r="167" spans="1:50" x14ac:dyDescent="0.25">
      <c r="A167" t="s">
        <v>622</v>
      </c>
      <c r="B167" s="3">
        <v>43173</v>
      </c>
      <c r="C167" t="s">
        <v>87</v>
      </c>
      <c r="D167" t="s">
        <v>206</v>
      </c>
      <c r="E167" t="s">
        <v>89</v>
      </c>
      <c r="F167">
        <v>11000</v>
      </c>
      <c r="G167" t="s">
        <v>623</v>
      </c>
      <c r="H167" s="3">
        <v>43173</v>
      </c>
      <c r="I167" t="s">
        <v>527</v>
      </c>
      <c r="J167">
        <v>10000</v>
      </c>
      <c r="K167" s="1"/>
      <c r="M167" s="3">
        <v>43175</v>
      </c>
      <c r="N167" t="s">
        <v>54</v>
      </c>
      <c r="O167" t="s">
        <v>624</v>
      </c>
      <c r="P167" t="s">
        <v>56</v>
      </c>
      <c r="Q167">
        <v>8750</v>
      </c>
      <c r="R167" s="3">
        <v>43220</v>
      </c>
      <c r="S167" t="s">
        <v>54</v>
      </c>
      <c r="T167" t="s">
        <v>527</v>
      </c>
      <c r="U167" t="s">
        <v>60</v>
      </c>
      <c r="V167">
        <v>970</v>
      </c>
      <c r="AG167" t="s">
        <v>621</v>
      </c>
      <c r="AH167" s="3">
        <v>43203</v>
      </c>
      <c r="AI167">
        <v>11000</v>
      </c>
      <c r="AJ167">
        <v>0</v>
      </c>
      <c r="AS167" t="s">
        <v>549</v>
      </c>
      <c r="AT167" s="3">
        <v>43285</v>
      </c>
      <c r="AU167">
        <v>51052</v>
      </c>
      <c r="AV167">
        <v>0</v>
      </c>
      <c r="AW167">
        <v>1042</v>
      </c>
      <c r="AX167">
        <v>0</v>
      </c>
    </row>
    <row r="168" spans="1:50" x14ac:dyDescent="0.25">
      <c r="A168" t="s">
        <v>625</v>
      </c>
      <c r="B168" s="3">
        <v>43174</v>
      </c>
      <c r="C168" t="s">
        <v>87</v>
      </c>
      <c r="D168" t="s">
        <v>241</v>
      </c>
      <c r="E168" t="s">
        <v>89</v>
      </c>
      <c r="F168">
        <v>6998</v>
      </c>
      <c r="G168" t="s">
        <v>626</v>
      </c>
      <c r="H168" s="3">
        <v>43174</v>
      </c>
      <c r="I168" t="s">
        <v>344</v>
      </c>
      <c r="J168">
        <v>5500</v>
      </c>
      <c r="K168" s="1"/>
      <c r="M168" s="3">
        <v>43182</v>
      </c>
      <c r="N168" t="s">
        <v>54</v>
      </c>
      <c r="O168" t="s">
        <v>410</v>
      </c>
      <c r="P168" t="s">
        <v>56</v>
      </c>
      <c r="Q168">
        <v>4400</v>
      </c>
      <c r="R168" s="3">
        <v>43208</v>
      </c>
      <c r="S168" t="s">
        <v>54</v>
      </c>
      <c r="T168" t="s">
        <v>410</v>
      </c>
      <c r="U168" t="s">
        <v>60</v>
      </c>
      <c r="V168">
        <v>970</v>
      </c>
      <c r="AG168" t="s">
        <v>596</v>
      </c>
      <c r="AH168" s="3">
        <v>43178</v>
      </c>
      <c r="AI168">
        <v>6998</v>
      </c>
      <c r="AJ168">
        <v>0</v>
      </c>
      <c r="AS168" t="s">
        <v>591</v>
      </c>
      <c r="AT168" s="3">
        <v>43220</v>
      </c>
      <c r="AU168">
        <v>76673</v>
      </c>
      <c r="AV168">
        <v>0</v>
      </c>
      <c r="AW168">
        <v>1566</v>
      </c>
      <c r="AX168">
        <v>0</v>
      </c>
    </row>
    <row r="169" spans="1:50" x14ac:dyDescent="0.25">
      <c r="A169" t="s">
        <v>627</v>
      </c>
      <c r="B169" s="3">
        <v>43174</v>
      </c>
      <c r="C169" t="s">
        <v>87</v>
      </c>
      <c r="D169" t="s">
        <v>142</v>
      </c>
      <c r="E169" t="s">
        <v>89</v>
      </c>
      <c r="F169">
        <v>7050</v>
      </c>
      <c r="G169" t="s">
        <v>628</v>
      </c>
      <c r="H169" s="3">
        <v>43174</v>
      </c>
      <c r="I169" t="s">
        <v>502</v>
      </c>
      <c r="J169">
        <v>5500</v>
      </c>
      <c r="K169" s="1"/>
      <c r="M169" s="3">
        <v>43175</v>
      </c>
      <c r="N169" t="s">
        <v>54</v>
      </c>
      <c r="O169" t="s">
        <v>524</v>
      </c>
      <c r="P169" t="s">
        <v>56</v>
      </c>
      <c r="Q169">
        <v>4400</v>
      </c>
      <c r="R169" s="3">
        <v>43281</v>
      </c>
      <c r="S169" t="s">
        <v>57</v>
      </c>
      <c r="T169" t="s">
        <v>629</v>
      </c>
      <c r="U169" t="s">
        <v>60</v>
      </c>
      <c r="V169">
        <v>970</v>
      </c>
      <c r="AG169" t="s">
        <v>621</v>
      </c>
      <c r="AH169" s="3">
        <v>43203</v>
      </c>
      <c r="AI169">
        <v>7050</v>
      </c>
      <c r="AJ169">
        <v>0</v>
      </c>
      <c r="AS169" t="s">
        <v>549</v>
      </c>
      <c r="AT169" s="3">
        <v>43285</v>
      </c>
      <c r="AU169">
        <v>51052</v>
      </c>
      <c r="AV169">
        <v>0</v>
      </c>
      <c r="AW169">
        <v>1042</v>
      </c>
      <c r="AX169">
        <v>0</v>
      </c>
    </row>
    <row r="170" spans="1:50" x14ac:dyDescent="0.25">
      <c r="A170" t="s">
        <v>630</v>
      </c>
      <c r="B170" s="3">
        <v>43179</v>
      </c>
      <c r="C170" t="s">
        <v>87</v>
      </c>
      <c r="D170" t="s">
        <v>486</v>
      </c>
      <c r="E170" t="s">
        <v>89</v>
      </c>
      <c r="F170">
        <v>6998</v>
      </c>
      <c r="G170" t="s">
        <v>631</v>
      </c>
      <c r="H170" s="3">
        <v>43179</v>
      </c>
      <c r="I170" t="s">
        <v>514</v>
      </c>
      <c r="J170">
        <v>5500</v>
      </c>
      <c r="K170" s="1"/>
      <c r="M170" s="3">
        <v>43186</v>
      </c>
      <c r="N170" t="s">
        <v>54</v>
      </c>
      <c r="O170" t="s">
        <v>579</v>
      </c>
      <c r="P170" t="s">
        <v>56</v>
      </c>
      <c r="Q170">
        <v>2400</v>
      </c>
      <c r="R170" s="3">
        <v>43186</v>
      </c>
      <c r="S170" t="s">
        <v>57</v>
      </c>
      <c r="T170" t="s">
        <v>538</v>
      </c>
      <c r="U170" t="s">
        <v>56</v>
      </c>
      <c r="V170">
        <v>2000</v>
      </c>
      <c r="W170" s="3">
        <v>43220</v>
      </c>
      <c r="X170" t="s">
        <v>54</v>
      </c>
      <c r="Y170" t="s">
        <v>632</v>
      </c>
      <c r="Z170" t="s">
        <v>60</v>
      </c>
      <c r="AA170">
        <v>970</v>
      </c>
      <c r="AG170" t="s">
        <v>633</v>
      </c>
      <c r="AH170" s="3">
        <v>43210</v>
      </c>
      <c r="AI170">
        <v>6998</v>
      </c>
      <c r="AJ170">
        <v>0</v>
      </c>
      <c r="AS170" t="s">
        <v>549</v>
      </c>
      <c r="AT170" s="3">
        <v>43285</v>
      </c>
      <c r="AU170">
        <v>15676</v>
      </c>
      <c r="AV170">
        <v>0</v>
      </c>
      <c r="AW170">
        <v>320</v>
      </c>
      <c r="AX170">
        <v>0</v>
      </c>
    </row>
    <row r="171" spans="1:50" x14ac:dyDescent="0.25">
      <c r="A171" t="s">
        <v>634</v>
      </c>
      <c r="B171" s="3">
        <v>43179</v>
      </c>
      <c r="C171" t="s">
        <v>87</v>
      </c>
      <c r="D171" t="s">
        <v>245</v>
      </c>
      <c r="E171" t="s">
        <v>89</v>
      </c>
      <c r="F171">
        <v>7350</v>
      </c>
      <c r="G171" t="s">
        <v>635</v>
      </c>
      <c r="H171" s="3">
        <v>43179</v>
      </c>
      <c r="I171" t="s">
        <v>514</v>
      </c>
      <c r="J171">
        <v>6800</v>
      </c>
      <c r="K171" s="1"/>
      <c r="M171" s="3">
        <v>43182</v>
      </c>
      <c r="N171" t="s">
        <v>57</v>
      </c>
      <c r="P171" t="s">
        <v>56</v>
      </c>
      <c r="Q171">
        <v>5700</v>
      </c>
      <c r="R171" s="3">
        <v>43203</v>
      </c>
      <c r="S171" t="s">
        <v>57</v>
      </c>
      <c r="U171" t="s">
        <v>60</v>
      </c>
      <c r="V171">
        <v>970</v>
      </c>
      <c r="AG171" t="s">
        <v>636</v>
      </c>
      <c r="AH171" s="3">
        <v>43185</v>
      </c>
      <c r="AI171">
        <v>7350</v>
      </c>
      <c r="AJ171">
        <v>0</v>
      </c>
      <c r="AS171" t="s">
        <v>591</v>
      </c>
      <c r="AT171" s="3">
        <v>43220</v>
      </c>
      <c r="AU171">
        <v>20232</v>
      </c>
      <c r="AV171">
        <v>0</v>
      </c>
      <c r="AW171">
        <v>413</v>
      </c>
      <c r="AX171">
        <v>0</v>
      </c>
    </row>
    <row r="172" spans="1:50" x14ac:dyDescent="0.25">
      <c r="A172" t="s">
        <v>637</v>
      </c>
      <c r="B172" s="3">
        <v>43179</v>
      </c>
      <c r="C172" t="s">
        <v>87</v>
      </c>
      <c r="D172" t="s">
        <v>152</v>
      </c>
      <c r="E172" t="s">
        <v>89</v>
      </c>
      <c r="F172">
        <v>7500</v>
      </c>
      <c r="G172" t="s">
        <v>638</v>
      </c>
      <c r="H172" s="3">
        <v>43179</v>
      </c>
      <c r="I172" t="s">
        <v>514</v>
      </c>
      <c r="J172">
        <v>6500</v>
      </c>
      <c r="K172" s="1"/>
      <c r="M172" s="3">
        <v>43182</v>
      </c>
      <c r="N172" t="s">
        <v>57</v>
      </c>
      <c r="P172" t="s">
        <v>56</v>
      </c>
      <c r="Q172">
        <v>5300</v>
      </c>
      <c r="R172" s="3">
        <v>43203</v>
      </c>
      <c r="S172" t="s">
        <v>57</v>
      </c>
      <c r="U172" t="s">
        <v>60</v>
      </c>
      <c r="V172">
        <v>1000</v>
      </c>
      <c r="AG172" t="s">
        <v>636</v>
      </c>
      <c r="AH172" s="3">
        <v>43185</v>
      </c>
      <c r="AI172">
        <v>7500</v>
      </c>
      <c r="AJ172">
        <v>0</v>
      </c>
      <c r="AS172" t="s">
        <v>591</v>
      </c>
      <c r="AT172" s="3">
        <v>43220</v>
      </c>
      <c r="AU172">
        <v>20232</v>
      </c>
      <c r="AV172">
        <v>0</v>
      </c>
      <c r="AW172">
        <v>413</v>
      </c>
      <c r="AX172">
        <v>0</v>
      </c>
    </row>
    <row r="173" spans="1:50" x14ac:dyDescent="0.25">
      <c r="A173" t="s">
        <v>639</v>
      </c>
      <c r="B173" s="3">
        <v>43179</v>
      </c>
      <c r="C173" t="s">
        <v>87</v>
      </c>
      <c r="D173" t="s">
        <v>251</v>
      </c>
      <c r="E173" t="s">
        <v>89</v>
      </c>
      <c r="F173">
        <v>8998</v>
      </c>
      <c r="G173" t="s">
        <v>640</v>
      </c>
      <c r="H173" s="3">
        <v>43179</v>
      </c>
      <c r="I173" t="s">
        <v>290</v>
      </c>
      <c r="J173">
        <v>8300</v>
      </c>
      <c r="K173" s="1"/>
      <c r="M173" s="3">
        <v>43182</v>
      </c>
      <c r="N173" t="s">
        <v>54</v>
      </c>
      <c r="O173" t="s">
        <v>641</v>
      </c>
      <c r="P173" t="s">
        <v>56</v>
      </c>
      <c r="Q173">
        <v>7000</v>
      </c>
      <c r="R173" s="3">
        <v>43215</v>
      </c>
      <c r="S173" t="s">
        <v>54</v>
      </c>
      <c r="T173" t="s">
        <v>641</v>
      </c>
      <c r="U173" t="s">
        <v>60</v>
      </c>
      <c r="V173">
        <v>1050</v>
      </c>
      <c r="AG173" t="s">
        <v>621</v>
      </c>
      <c r="AH173" s="3">
        <v>43203</v>
      </c>
      <c r="AI173">
        <v>8998</v>
      </c>
      <c r="AJ173">
        <v>0</v>
      </c>
      <c r="AS173" t="s">
        <v>549</v>
      </c>
      <c r="AT173" s="3">
        <v>43285</v>
      </c>
      <c r="AU173">
        <v>51052</v>
      </c>
      <c r="AV173">
        <v>0</v>
      </c>
      <c r="AW173">
        <v>1042</v>
      </c>
      <c r="AX173">
        <v>0</v>
      </c>
    </row>
    <row r="174" spans="1:50" x14ac:dyDescent="0.25">
      <c r="A174" t="s">
        <v>642</v>
      </c>
      <c r="B174" s="3">
        <v>43179</v>
      </c>
      <c r="C174" t="s">
        <v>87</v>
      </c>
      <c r="D174" t="s">
        <v>241</v>
      </c>
      <c r="E174" t="s">
        <v>89</v>
      </c>
      <c r="F174">
        <v>6998</v>
      </c>
      <c r="K174" s="1"/>
      <c r="AG174" t="s">
        <v>621</v>
      </c>
      <c r="AH174" s="3">
        <v>43203</v>
      </c>
      <c r="AI174">
        <v>6998</v>
      </c>
      <c r="AJ174">
        <v>0</v>
      </c>
      <c r="AS174" t="s">
        <v>549</v>
      </c>
      <c r="AT174" s="3">
        <v>43285</v>
      </c>
      <c r="AU174">
        <v>51052</v>
      </c>
      <c r="AV174">
        <v>0</v>
      </c>
      <c r="AW174">
        <v>1042</v>
      </c>
      <c r="AX174">
        <v>0</v>
      </c>
    </row>
    <row r="175" spans="1:50" x14ac:dyDescent="0.25">
      <c r="A175" t="s">
        <v>643</v>
      </c>
      <c r="B175" s="3">
        <v>43182</v>
      </c>
      <c r="C175" t="s">
        <v>87</v>
      </c>
      <c r="D175" t="s">
        <v>152</v>
      </c>
      <c r="E175" t="s">
        <v>89</v>
      </c>
      <c r="F175">
        <v>5795</v>
      </c>
      <c r="G175" t="s">
        <v>644</v>
      </c>
      <c r="H175" s="3">
        <v>43182</v>
      </c>
      <c r="I175" t="s">
        <v>514</v>
      </c>
      <c r="J175">
        <v>5200</v>
      </c>
      <c r="K175" s="1"/>
      <c r="M175" s="3">
        <v>43185</v>
      </c>
      <c r="N175" t="s">
        <v>57</v>
      </c>
      <c r="O175" t="s">
        <v>645</v>
      </c>
      <c r="P175" t="s">
        <v>56</v>
      </c>
      <c r="Q175">
        <v>4100</v>
      </c>
      <c r="R175" s="3">
        <v>43203</v>
      </c>
      <c r="S175" t="s">
        <v>57</v>
      </c>
      <c r="U175" t="s">
        <v>60</v>
      </c>
      <c r="V175">
        <v>970</v>
      </c>
      <c r="AG175" t="s">
        <v>636</v>
      </c>
      <c r="AH175" s="3">
        <v>43185</v>
      </c>
      <c r="AI175">
        <v>5795</v>
      </c>
      <c r="AJ175">
        <v>0</v>
      </c>
      <c r="AS175" t="s">
        <v>591</v>
      </c>
      <c r="AT175" s="3">
        <v>43220</v>
      </c>
      <c r="AU175">
        <v>20232</v>
      </c>
      <c r="AV175">
        <v>0</v>
      </c>
      <c r="AW175">
        <v>413</v>
      </c>
      <c r="AX175">
        <v>0</v>
      </c>
    </row>
    <row r="176" spans="1:50" x14ac:dyDescent="0.25">
      <c r="A176" t="s">
        <v>646</v>
      </c>
      <c r="B176" s="3">
        <v>43183</v>
      </c>
      <c r="C176" t="s">
        <v>87</v>
      </c>
      <c r="D176" t="s">
        <v>313</v>
      </c>
      <c r="E176" t="s">
        <v>89</v>
      </c>
      <c r="F176">
        <v>7350</v>
      </c>
      <c r="G176" t="s">
        <v>647</v>
      </c>
      <c r="H176" s="3">
        <v>43183</v>
      </c>
      <c r="I176" t="s">
        <v>344</v>
      </c>
      <c r="J176">
        <v>5500</v>
      </c>
      <c r="K176" s="1"/>
      <c r="M176" s="3">
        <v>43186</v>
      </c>
      <c r="N176" t="s">
        <v>54</v>
      </c>
      <c r="O176" t="s">
        <v>579</v>
      </c>
      <c r="P176" t="s">
        <v>56</v>
      </c>
      <c r="Q176">
        <v>4400</v>
      </c>
      <c r="AG176" t="s">
        <v>648</v>
      </c>
      <c r="AH176" s="3">
        <v>43239</v>
      </c>
      <c r="AI176">
        <v>7350</v>
      </c>
      <c r="AJ176">
        <v>0</v>
      </c>
      <c r="AS176" t="s">
        <v>549</v>
      </c>
      <c r="AT176" s="3">
        <v>43285</v>
      </c>
      <c r="AU176">
        <v>7203</v>
      </c>
      <c r="AV176">
        <v>0</v>
      </c>
      <c r="AW176">
        <v>147</v>
      </c>
      <c r="AX176">
        <v>0</v>
      </c>
    </row>
    <row r="177" spans="1:50" x14ac:dyDescent="0.25">
      <c r="A177" t="s">
        <v>649</v>
      </c>
      <c r="B177" s="3">
        <v>43183</v>
      </c>
      <c r="C177" t="s">
        <v>87</v>
      </c>
      <c r="D177" t="s">
        <v>650</v>
      </c>
      <c r="E177" t="s">
        <v>89</v>
      </c>
      <c r="F177">
        <v>3000</v>
      </c>
      <c r="G177" t="s">
        <v>651</v>
      </c>
      <c r="H177" s="3">
        <v>43183</v>
      </c>
      <c r="I177" t="s">
        <v>344</v>
      </c>
      <c r="J177">
        <v>2650</v>
      </c>
      <c r="K177" s="1"/>
      <c r="M177" s="3">
        <v>43514</v>
      </c>
      <c r="N177" t="s">
        <v>54</v>
      </c>
      <c r="O177" t="s">
        <v>652</v>
      </c>
      <c r="P177" t="s">
        <v>60</v>
      </c>
      <c r="Q177">
        <v>2600</v>
      </c>
      <c r="AG177" t="s">
        <v>653</v>
      </c>
      <c r="AH177" s="3">
        <v>43255</v>
      </c>
      <c r="AI177">
        <v>3000</v>
      </c>
      <c r="AJ177">
        <v>3000</v>
      </c>
    </row>
    <row r="178" spans="1:50" x14ac:dyDescent="0.25">
      <c r="A178" t="s">
        <v>654</v>
      </c>
      <c r="B178" s="3">
        <v>43186</v>
      </c>
      <c r="C178" t="s">
        <v>87</v>
      </c>
      <c r="D178" t="s">
        <v>238</v>
      </c>
      <c r="E178" t="s">
        <v>89</v>
      </c>
      <c r="F178">
        <v>9050</v>
      </c>
      <c r="G178" t="s">
        <v>655</v>
      </c>
      <c r="H178" s="3">
        <v>43186</v>
      </c>
      <c r="I178" t="s">
        <v>344</v>
      </c>
      <c r="J178">
        <v>8000</v>
      </c>
      <c r="K178" s="1"/>
      <c r="M178" s="3">
        <v>43193</v>
      </c>
      <c r="N178" t="s">
        <v>54</v>
      </c>
      <c r="O178" t="s">
        <v>579</v>
      </c>
      <c r="P178" t="s">
        <v>56</v>
      </c>
      <c r="Q178">
        <v>6900</v>
      </c>
      <c r="R178" s="3">
        <v>43220</v>
      </c>
      <c r="S178" t="s">
        <v>54</v>
      </c>
      <c r="T178" t="s">
        <v>632</v>
      </c>
      <c r="U178" t="s">
        <v>60</v>
      </c>
      <c r="V178">
        <v>970</v>
      </c>
      <c r="AG178" t="s">
        <v>621</v>
      </c>
      <c r="AH178" s="3">
        <v>43203</v>
      </c>
      <c r="AI178">
        <v>9050</v>
      </c>
      <c r="AJ178">
        <v>0</v>
      </c>
      <c r="AS178" t="s">
        <v>549</v>
      </c>
      <c r="AT178" s="3">
        <v>43285</v>
      </c>
      <c r="AU178">
        <v>51052</v>
      </c>
      <c r="AV178">
        <v>0</v>
      </c>
      <c r="AW178">
        <v>1042</v>
      </c>
      <c r="AX178">
        <v>0</v>
      </c>
    </row>
    <row r="179" spans="1:50" x14ac:dyDescent="0.25">
      <c r="A179" t="s">
        <v>656</v>
      </c>
      <c r="B179" s="3">
        <v>43187</v>
      </c>
      <c r="C179" t="s">
        <v>87</v>
      </c>
      <c r="D179" t="s">
        <v>262</v>
      </c>
      <c r="E179" t="s">
        <v>89</v>
      </c>
      <c r="F179">
        <v>9050</v>
      </c>
      <c r="G179" t="s">
        <v>657</v>
      </c>
      <c r="H179" s="3">
        <v>43187</v>
      </c>
      <c r="I179" t="s">
        <v>230</v>
      </c>
      <c r="J179">
        <v>8300</v>
      </c>
      <c r="K179" s="1"/>
      <c r="M179" s="3">
        <v>43190</v>
      </c>
      <c r="N179" t="s">
        <v>54</v>
      </c>
      <c r="O179" t="s">
        <v>305</v>
      </c>
      <c r="P179" t="s">
        <v>56</v>
      </c>
      <c r="Q179">
        <v>7200</v>
      </c>
      <c r="R179" s="3">
        <v>43220</v>
      </c>
      <c r="S179" t="s">
        <v>54</v>
      </c>
      <c r="T179" t="s">
        <v>201</v>
      </c>
      <c r="U179" t="s">
        <v>60</v>
      </c>
      <c r="V179">
        <v>970</v>
      </c>
      <c r="AG179" t="s">
        <v>658</v>
      </c>
      <c r="AH179" s="3">
        <v>43222</v>
      </c>
      <c r="AI179">
        <v>9050</v>
      </c>
      <c r="AJ179">
        <v>0</v>
      </c>
      <c r="AS179" t="s">
        <v>549</v>
      </c>
      <c r="AT179" s="3">
        <v>43285</v>
      </c>
      <c r="AU179">
        <v>34339</v>
      </c>
      <c r="AV179">
        <v>0</v>
      </c>
      <c r="AW179">
        <v>701</v>
      </c>
      <c r="AX179">
        <v>0</v>
      </c>
    </row>
    <row r="180" spans="1:50" x14ac:dyDescent="0.25">
      <c r="A180" t="s">
        <v>659</v>
      </c>
      <c r="B180" s="3">
        <v>43187</v>
      </c>
      <c r="C180" t="s">
        <v>87</v>
      </c>
      <c r="D180" t="s">
        <v>251</v>
      </c>
      <c r="E180" t="s">
        <v>89</v>
      </c>
      <c r="F180">
        <v>8998</v>
      </c>
      <c r="G180" t="s">
        <v>660</v>
      </c>
      <c r="H180" s="3">
        <v>43187</v>
      </c>
      <c r="I180" t="s">
        <v>514</v>
      </c>
      <c r="J180">
        <v>7500</v>
      </c>
      <c r="K180" s="1"/>
      <c r="M180" s="3">
        <v>43190</v>
      </c>
      <c r="N180" t="s">
        <v>57</v>
      </c>
      <c r="P180" t="s">
        <v>56</v>
      </c>
      <c r="Q180">
        <v>6400</v>
      </c>
      <c r="R180" s="3">
        <v>43246</v>
      </c>
      <c r="S180" t="s">
        <v>57</v>
      </c>
      <c r="U180" t="s">
        <v>60</v>
      </c>
      <c r="V180">
        <v>970</v>
      </c>
      <c r="AG180" t="s">
        <v>633</v>
      </c>
      <c r="AH180" s="3">
        <v>43210</v>
      </c>
      <c r="AI180">
        <v>8998</v>
      </c>
      <c r="AJ180">
        <v>0</v>
      </c>
      <c r="AS180" t="s">
        <v>549</v>
      </c>
      <c r="AT180" s="3">
        <v>43285</v>
      </c>
      <c r="AU180">
        <v>15676</v>
      </c>
      <c r="AV180">
        <v>0</v>
      </c>
      <c r="AW180">
        <v>320</v>
      </c>
      <c r="AX180">
        <v>0</v>
      </c>
    </row>
    <row r="181" spans="1:50" x14ac:dyDescent="0.25">
      <c r="A181" t="s">
        <v>661</v>
      </c>
      <c r="B181" s="3">
        <v>43190</v>
      </c>
      <c r="C181" t="s">
        <v>87</v>
      </c>
      <c r="D181" t="s">
        <v>241</v>
      </c>
      <c r="E181" t="s">
        <v>89</v>
      </c>
      <c r="F181">
        <v>8998</v>
      </c>
      <c r="G181" t="s">
        <v>662</v>
      </c>
      <c r="H181" s="3">
        <v>43190</v>
      </c>
      <c r="I181" t="s">
        <v>344</v>
      </c>
      <c r="J181">
        <v>5500</v>
      </c>
      <c r="K181" s="1"/>
      <c r="M181" s="3">
        <v>43193</v>
      </c>
      <c r="N181" t="s">
        <v>54</v>
      </c>
      <c r="O181" t="s">
        <v>579</v>
      </c>
      <c r="P181" t="s">
        <v>56</v>
      </c>
      <c r="Q181">
        <v>4400</v>
      </c>
      <c r="R181" s="3">
        <v>43208</v>
      </c>
      <c r="S181" t="s">
        <v>54</v>
      </c>
      <c r="T181" t="s">
        <v>410</v>
      </c>
      <c r="U181" t="s">
        <v>60</v>
      </c>
      <c r="V181">
        <v>970</v>
      </c>
      <c r="AG181" t="s">
        <v>663</v>
      </c>
      <c r="AH181" s="3">
        <v>43210</v>
      </c>
      <c r="AI181">
        <v>8998</v>
      </c>
      <c r="AJ181">
        <v>0</v>
      </c>
      <c r="AS181" t="s">
        <v>549</v>
      </c>
      <c r="AT181" s="3">
        <v>43285</v>
      </c>
      <c r="AU181">
        <v>8818</v>
      </c>
      <c r="AV181">
        <v>0</v>
      </c>
      <c r="AW181">
        <v>180</v>
      </c>
      <c r="AX181">
        <v>0</v>
      </c>
    </row>
    <row r="182" spans="1:50" x14ac:dyDescent="0.25">
      <c r="A182" t="s">
        <v>664</v>
      </c>
      <c r="B182" s="3">
        <v>43190</v>
      </c>
      <c r="C182" t="s">
        <v>87</v>
      </c>
      <c r="D182" t="s">
        <v>313</v>
      </c>
      <c r="E182" t="s">
        <v>89</v>
      </c>
      <c r="F182">
        <v>7350</v>
      </c>
      <c r="G182" t="s">
        <v>665</v>
      </c>
      <c r="H182" s="3">
        <v>43190</v>
      </c>
      <c r="I182" t="s">
        <v>344</v>
      </c>
      <c r="J182">
        <v>6000</v>
      </c>
      <c r="K182" s="1"/>
      <c r="M182" s="3">
        <v>43193</v>
      </c>
      <c r="N182" t="s">
        <v>54</v>
      </c>
      <c r="O182" t="s">
        <v>579</v>
      </c>
      <c r="P182" t="s">
        <v>56</v>
      </c>
      <c r="Q182">
        <v>4900</v>
      </c>
      <c r="R182" s="3">
        <v>43208</v>
      </c>
      <c r="S182" t="s">
        <v>54</v>
      </c>
      <c r="T182" t="s">
        <v>410</v>
      </c>
      <c r="U182" t="s">
        <v>60</v>
      </c>
      <c r="V182">
        <v>970</v>
      </c>
      <c r="AG182" t="s">
        <v>666</v>
      </c>
      <c r="AH182" s="3">
        <v>43210</v>
      </c>
      <c r="AI182">
        <v>7350</v>
      </c>
      <c r="AJ182">
        <v>0</v>
      </c>
      <c r="AS182" t="s">
        <v>549</v>
      </c>
      <c r="AT182" s="3">
        <v>43285</v>
      </c>
      <c r="AU182">
        <v>7203</v>
      </c>
      <c r="AV182">
        <v>0</v>
      </c>
      <c r="AW182">
        <v>147</v>
      </c>
      <c r="AX182">
        <v>0</v>
      </c>
    </row>
    <row r="183" spans="1:50" x14ac:dyDescent="0.25">
      <c r="A183" t="s">
        <v>667</v>
      </c>
      <c r="B183" s="3">
        <v>43190</v>
      </c>
      <c r="C183" t="s">
        <v>87</v>
      </c>
      <c r="D183" t="s">
        <v>256</v>
      </c>
      <c r="E183" t="s">
        <v>89</v>
      </c>
      <c r="F183">
        <v>11200</v>
      </c>
      <c r="G183" t="s">
        <v>668</v>
      </c>
      <c r="H183" s="3">
        <v>43190</v>
      </c>
      <c r="I183" t="s">
        <v>344</v>
      </c>
      <c r="J183">
        <v>9500</v>
      </c>
      <c r="K183" s="1"/>
      <c r="M183" s="3">
        <v>43208</v>
      </c>
      <c r="N183" t="s">
        <v>54</v>
      </c>
      <c r="O183" t="s">
        <v>410</v>
      </c>
      <c r="P183" t="s">
        <v>60</v>
      </c>
      <c r="Q183">
        <v>970</v>
      </c>
      <c r="AG183" t="s">
        <v>669</v>
      </c>
      <c r="AH183" s="3">
        <v>43210</v>
      </c>
      <c r="AI183">
        <v>11200</v>
      </c>
      <c r="AJ183">
        <v>0</v>
      </c>
      <c r="AS183" t="s">
        <v>549</v>
      </c>
      <c r="AT183" s="3">
        <v>43285</v>
      </c>
      <c r="AU183">
        <v>10976</v>
      </c>
      <c r="AV183">
        <v>0</v>
      </c>
      <c r="AW183">
        <v>224</v>
      </c>
      <c r="AX183">
        <v>0</v>
      </c>
    </row>
    <row r="184" spans="1:50" x14ac:dyDescent="0.25">
      <c r="A184" t="s">
        <v>670</v>
      </c>
      <c r="B184" s="3">
        <v>43199</v>
      </c>
      <c r="C184" t="s">
        <v>87</v>
      </c>
      <c r="D184" t="s">
        <v>206</v>
      </c>
      <c r="E184" t="s">
        <v>89</v>
      </c>
      <c r="F184">
        <v>11000</v>
      </c>
      <c r="G184" t="s">
        <v>671</v>
      </c>
      <c r="H184" s="3">
        <v>43199</v>
      </c>
      <c r="I184" t="s">
        <v>344</v>
      </c>
      <c r="J184">
        <v>9000</v>
      </c>
      <c r="K184" s="1"/>
      <c r="M184" s="3">
        <v>43201</v>
      </c>
      <c r="N184" t="s">
        <v>54</v>
      </c>
      <c r="O184" t="s">
        <v>410</v>
      </c>
      <c r="P184" t="s">
        <v>56</v>
      </c>
      <c r="Q184">
        <v>7900</v>
      </c>
      <c r="R184" s="3">
        <v>43220</v>
      </c>
      <c r="S184" t="s">
        <v>54</v>
      </c>
      <c r="T184" t="s">
        <v>344</v>
      </c>
      <c r="U184" t="s">
        <v>60</v>
      </c>
      <c r="V184">
        <v>970</v>
      </c>
      <c r="AG184" t="s">
        <v>672</v>
      </c>
      <c r="AH184" s="3">
        <v>43210</v>
      </c>
      <c r="AI184">
        <v>11000</v>
      </c>
      <c r="AJ184">
        <v>0</v>
      </c>
      <c r="AS184" t="s">
        <v>549</v>
      </c>
      <c r="AT184" s="3">
        <v>43285</v>
      </c>
      <c r="AU184">
        <v>10780</v>
      </c>
      <c r="AV184">
        <v>0</v>
      </c>
      <c r="AW184">
        <v>220</v>
      </c>
      <c r="AX184">
        <v>0</v>
      </c>
    </row>
    <row r="185" spans="1:50" x14ac:dyDescent="0.25">
      <c r="A185" t="s">
        <v>673</v>
      </c>
      <c r="B185" s="3">
        <v>43207</v>
      </c>
      <c r="C185" t="s">
        <v>87</v>
      </c>
      <c r="D185" t="s">
        <v>152</v>
      </c>
      <c r="E185" t="s">
        <v>89</v>
      </c>
      <c r="F185">
        <v>5795</v>
      </c>
      <c r="G185" t="s">
        <v>674</v>
      </c>
      <c r="H185" s="3">
        <v>43207</v>
      </c>
      <c r="I185" t="s">
        <v>514</v>
      </c>
      <c r="J185">
        <v>5300</v>
      </c>
      <c r="K185" s="1"/>
      <c r="M185" s="3">
        <v>43215</v>
      </c>
      <c r="N185" t="s">
        <v>57</v>
      </c>
      <c r="P185" t="s">
        <v>56</v>
      </c>
      <c r="Q185">
        <v>4200</v>
      </c>
      <c r="R185" s="3">
        <v>43225</v>
      </c>
      <c r="S185" t="s">
        <v>57</v>
      </c>
      <c r="U185" t="s">
        <v>60</v>
      </c>
      <c r="V185">
        <v>970</v>
      </c>
      <c r="AG185" t="s">
        <v>658</v>
      </c>
      <c r="AH185" s="3">
        <v>43222</v>
      </c>
      <c r="AI185">
        <v>5795</v>
      </c>
      <c r="AJ185">
        <v>0</v>
      </c>
      <c r="AS185" t="s">
        <v>549</v>
      </c>
      <c r="AT185" s="3">
        <v>43285</v>
      </c>
      <c r="AU185">
        <v>34339</v>
      </c>
      <c r="AV185">
        <v>0</v>
      </c>
      <c r="AW185">
        <v>701</v>
      </c>
      <c r="AX185">
        <v>0</v>
      </c>
    </row>
    <row r="186" spans="1:50" x14ac:dyDescent="0.25">
      <c r="A186" t="s">
        <v>675</v>
      </c>
      <c r="B186" s="3">
        <v>43208</v>
      </c>
      <c r="C186" t="s">
        <v>87</v>
      </c>
      <c r="D186" t="s">
        <v>245</v>
      </c>
      <c r="E186" t="s">
        <v>89</v>
      </c>
      <c r="F186">
        <v>7350</v>
      </c>
      <c r="G186" t="s">
        <v>676</v>
      </c>
      <c r="H186" s="3">
        <v>43208</v>
      </c>
      <c r="I186" t="s">
        <v>514</v>
      </c>
      <c r="J186">
        <v>6800</v>
      </c>
      <c r="K186" s="1"/>
      <c r="M186" s="3">
        <v>43215</v>
      </c>
      <c r="N186" t="s">
        <v>57</v>
      </c>
      <c r="P186" t="s">
        <v>56</v>
      </c>
      <c r="Q186">
        <v>5700</v>
      </c>
      <c r="R186" s="3">
        <v>43225</v>
      </c>
      <c r="S186" t="s">
        <v>57</v>
      </c>
      <c r="U186" t="s">
        <v>60</v>
      </c>
      <c r="V186">
        <v>970</v>
      </c>
      <c r="AG186" t="s">
        <v>658</v>
      </c>
      <c r="AH186" s="3">
        <v>43222</v>
      </c>
      <c r="AI186">
        <v>7350</v>
      </c>
      <c r="AJ186">
        <v>0</v>
      </c>
      <c r="AS186" t="s">
        <v>549</v>
      </c>
      <c r="AT186" s="3">
        <v>43285</v>
      </c>
      <c r="AU186">
        <v>34339</v>
      </c>
      <c r="AV186">
        <v>0</v>
      </c>
      <c r="AW186">
        <v>701</v>
      </c>
      <c r="AX186">
        <v>0</v>
      </c>
    </row>
    <row r="187" spans="1:50" x14ac:dyDescent="0.25">
      <c r="A187" t="s">
        <v>677</v>
      </c>
      <c r="B187" s="3">
        <v>43209</v>
      </c>
      <c r="C187" t="s">
        <v>87</v>
      </c>
      <c r="D187" t="s">
        <v>678</v>
      </c>
      <c r="E187" t="s">
        <v>89</v>
      </c>
      <c r="F187">
        <v>7350</v>
      </c>
      <c r="G187" t="s">
        <v>679</v>
      </c>
      <c r="H187" s="3">
        <v>43209</v>
      </c>
      <c r="I187" t="s">
        <v>344</v>
      </c>
      <c r="J187">
        <v>6000</v>
      </c>
      <c r="K187" s="1"/>
      <c r="M187" s="3">
        <v>43215</v>
      </c>
      <c r="N187" t="s">
        <v>54</v>
      </c>
      <c r="O187" t="s">
        <v>410</v>
      </c>
      <c r="P187" t="s">
        <v>56</v>
      </c>
      <c r="Q187">
        <v>4900</v>
      </c>
      <c r="R187" s="3">
        <v>43225</v>
      </c>
      <c r="S187" t="s">
        <v>54</v>
      </c>
      <c r="T187" t="s">
        <v>410</v>
      </c>
      <c r="U187" t="s">
        <v>60</v>
      </c>
      <c r="V187">
        <v>970</v>
      </c>
      <c r="AG187" t="s">
        <v>680</v>
      </c>
      <c r="AH187" s="3">
        <v>43243</v>
      </c>
      <c r="AI187">
        <v>7350</v>
      </c>
      <c r="AJ187">
        <v>0</v>
      </c>
      <c r="AS187" t="s">
        <v>549</v>
      </c>
      <c r="AT187" s="3">
        <v>43285</v>
      </c>
      <c r="AU187">
        <v>24890</v>
      </c>
      <c r="AV187">
        <v>0</v>
      </c>
      <c r="AW187">
        <v>508</v>
      </c>
      <c r="AX187">
        <v>0</v>
      </c>
    </row>
    <row r="188" spans="1:50" x14ac:dyDescent="0.25">
      <c r="A188" t="s">
        <v>681</v>
      </c>
      <c r="B188" s="3">
        <v>43211</v>
      </c>
      <c r="C188" t="s">
        <v>87</v>
      </c>
      <c r="D188" t="s">
        <v>251</v>
      </c>
      <c r="E188" t="s">
        <v>89</v>
      </c>
      <c r="F188">
        <v>7050</v>
      </c>
      <c r="G188" t="s">
        <v>682</v>
      </c>
      <c r="H188" s="3">
        <v>43211</v>
      </c>
      <c r="I188" t="s">
        <v>514</v>
      </c>
      <c r="J188">
        <v>6300</v>
      </c>
      <c r="K188" s="1"/>
      <c r="M188" s="3">
        <v>43215</v>
      </c>
      <c r="N188" t="s">
        <v>57</v>
      </c>
      <c r="P188" t="s">
        <v>56</v>
      </c>
      <c r="Q188">
        <v>5200</v>
      </c>
      <c r="R188" s="3">
        <v>43225</v>
      </c>
      <c r="S188" t="s">
        <v>57</v>
      </c>
      <c r="U188" t="s">
        <v>60</v>
      </c>
      <c r="V188">
        <v>970</v>
      </c>
      <c r="AG188" t="s">
        <v>658</v>
      </c>
      <c r="AH188" s="3">
        <v>43222</v>
      </c>
      <c r="AI188">
        <v>7050</v>
      </c>
      <c r="AJ188">
        <v>0</v>
      </c>
      <c r="AS188" t="s">
        <v>549</v>
      </c>
      <c r="AT188" s="3">
        <v>43285</v>
      </c>
      <c r="AU188">
        <v>34339</v>
      </c>
      <c r="AV188">
        <v>0</v>
      </c>
      <c r="AW188">
        <v>701</v>
      </c>
      <c r="AX188">
        <v>0</v>
      </c>
    </row>
    <row r="189" spans="1:50" x14ac:dyDescent="0.25">
      <c r="A189" t="s">
        <v>683</v>
      </c>
      <c r="B189" s="3">
        <v>43213</v>
      </c>
      <c r="C189" t="s">
        <v>87</v>
      </c>
      <c r="D189" t="s">
        <v>152</v>
      </c>
      <c r="E189" t="s">
        <v>89</v>
      </c>
      <c r="F189">
        <v>5795</v>
      </c>
      <c r="G189" t="s">
        <v>684</v>
      </c>
      <c r="H189" s="3">
        <v>43213</v>
      </c>
      <c r="I189" t="s">
        <v>344</v>
      </c>
      <c r="J189">
        <v>5300</v>
      </c>
      <c r="K189" s="1"/>
      <c r="M189" s="3">
        <v>43215</v>
      </c>
      <c r="N189" t="s">
        <v>57</v>
      </c>
      <c r="P189" t="s">
        <v>56</v>
      </c>
      <c r="Q189">
        <v>4200</v>
      </c>
      <c r="R189" s="3">
        <v>43225</v>
      </c>
      <c r="S189" t="s">
        <v>57</v>
      </c>
      <c r="U189" t="s">
        <v>60</v>
      </c>
      <c r="V189">
        <v>970</v>
      </c>
      <c r="AG189" t="s">
        <v>658</v>
      </c>
      <c r="AH189" s="3">
        <v>43222</v>
      </c>
      <c r="AI189">
        <v>5795</v>
      </c>
      <c r="AJ189">
        <v>0</v>
      </c>
      <c r="AS189" t="s">
        <v>549</v>
      </c>
      <c r="AT189" s="3">
        <v>43285</v>
      </c>
      <c r="AU189">
        <v>34339</v>
      </c>
      <c r="AV189">
        <v>0</v>
      </c>
      <c r="AW189">
        <v>701</v>
      </c>
      <c r="AX189">
        <v>0</v>
      </c>
    </row>
    <row r="190" spans="1:50" x14ac:dyDescent="0.25">
      <c r="A190" t="s">
        <v>685</v>
      </c>
      <c r="B190" s="3">
        <v>43217</v>
      </c>
      <c r="C190" t="s">
        <v>87</v>
      </c>
      <c r="D190" t="s">
        <v>251</v>
      </c>
      <c r="E190" t="s">
        <v>89</v>
      </c>
      <c r="F190">
        <v>7050</v>
      </c>
      <c r="G190" t="s">
        <v>686</v>
      </c>
      <c r="H190" s="3">
        <v>43217</v>
      </c>
      <c r="I190" t="s">
        <v>514</v>
      </c>
      <c r="J190">
        <v>6500</v>
      </c>
      <c r="K190" s="1"/>
      <c r="M190" s="3">
        <v>43224</v>
      </c>
      <c r="N190" t="s">
        <v>57</v>
      </c>
      <c r="P190" t="s">
        <v>56</v>
      </c>
      <c r="Q190">
        <v>5400</v>
      </c>
      <c r="R190" s="3">
        <v>43246</v>
      </c>
      <c r="S190" t="s">
        <v>57</v>
      </c>
      <c r="T190" t="s">
        <v>467</v>
      </c>
      <c r="U190" t="s">
        <v>60</v>
      </c>
      <c r="V190">
        <v>970</v>
      </c>
      <c r="AG190" t="s">
        <v>687</v>
      </c>
      <c r="AH190" s="3">
        <v>43245</v>
      </c>
      <c r="AI190">
        <v>7050</v>
      </c>
      <c r="AJ190">
        <v>0</v>
      </c>
      <c r="AS190" t="s">
        <v>549</v>
      </c>
      <c r="AT190" s="3">
        <v>43285</v>
      </c>
      <c r="AU190">
        <v>31453</v>
      </c>
      <c r="AV190">
        <v>0</v>
      </c>
      <c r="AW190">
        <v>642</v>
      </c>
      <c r="AX190">
        <v>0</v>
      </c>
    </row>
    <row r="191" spans="1:50" x14ac:dyDescent="0.25">
      <c r="A191" t="s">
        <v>688</v>
      </c>
      <c r="B191" s="3">
        <v>43218</v>
      </c>
      <c r="C191" t="s">
        <v>87</v>
      </c>
      <c r="D191" t="s">
        <v>251</v>
      </c>
      <c r="E191" t="s">
        <v>89</v>
      </c>
      <c r="F191">
        <v>7050</v>
      </c>
      <c r="G191" t="s">
        <v>689</v>
      </c>
      <c r="H191" s="3">
        <v>43218</v>
      </c>
      <c r="I191" t="s">
        <v>514</v>
      </c>
      <c r="J191">
        <v>6500</v>
      </c>
      <c r="K191" s="1"/>
      <c r="M191" s="3">
        <v>43224</v>
      </c>
      <c r="N191" t="s">
        <v>57</v>
      </c>
      <c r="P191" t="s">
        <v>56</v>
      </c>
      <c r="Q191">
        <v>5400</v>
      </c>
      <c r="R191" s="3">
        <v>43246</v>
      </c>
      <c r="S191" t="s">
        <v>57</v>
      </c>
      <c r="T191" t="s">
        <v>467</v>
      </c>
      <c r="U191" t="s">
        <v>60</v>
      </c>
      <c r="V191">
        <v>970</v>
      </c>
      <c r="AG191" t="s">
        <v>687</v>
      </c>
      <c r="AH191" s="3">
        <v>43245</v>
      </c>
      <c r="AI191">
        <v>7050</v>
      </c>
      <c r="AJ191">
        <v>0</v>
      </c>
      <c r="AS191" t="s">
        <v>549</v>
      </c>
      <c r="AT191" s="3">
        <v>43285</v>
      </c>
      <c r="AU191">
        <v>31453</v>
      </c>
      <c r="AV191">
        <v>0</v>
      </c>
      <c r="AW191">
        <v>642</v>
      </c>
      <c r="AX191">
        <v>0</v>
      </c>
    </row>
    <row r="192" spans="1:50" x14ac:dyDescent="0.25">
      <c r="A192" t="s">
        <v>690</v>
      </c>
      <c r="B192" s="3">
        <v>43220</v>
      </c>
      <c r="C192" t="s">
        <v>87</v>
      </c>
      <c r="D192" t="s">
        <v>256</v>
      </c>
      <c r="E192" t="s">
        <v>89</v>
      </c>
      <c r="F192">
        <v>11200</v>
      </c>
      <c r="G192" t="s">
        <v>691</v>
      </c>
      <c r="H192" s="3">
        <v>43220</v>
      </c>
      <c r="I192" t="s">
        <v>344</v>
      </c>
      <c r="J192">
        <v>14500</v>
      </c>
      <c r="K192" s="1"/>
      <c r="M192" s="3">
        <v>43220</v>
      </c>
      <c r="N192" t="s">
        <v>57</v>
      </c>
      <c r="P192" t="s">
        <v>56</v>
      </c>
      <c r="Q192">
        <v>5000</v>
      </c>
      <c r="R192" s="3">
        <v>43220</v>
      </c>
      <c r="S192" t="s">
        <v>54</v>
      </c>
      <c r="T192" t="s">
        <v>410</v>
      </c>
      <c r="U192" t="s">
        <v>56</v>
      </c>
      <c r="V192">
        <v>7000</v>
      </c>
      <c r="W192" s="3">
        <v>43259</v>
      </c>
      <c r="X192" t="s">
        <v>54</v>
      </c>
      <c r="Y192" t="s">
        <v>410</v>
      </c>
      <c r="Z192" t="s">
        <v>60</v>
      </c>
      <c r="AA192">
        <v>1900</v>
      </c>
      <c r="AG192" t="s">
        <v>692</v>
      </c>
      <c r="AH192" s="3">
        <v>43227</v>
      </c>
      <c r="AI192">
        <v>11200</v>
      </c>
      <c r="AJ192">
        <v>0</v>
      </c>
      <c r="AS192" t="s">
        <v>549</v>
      </c>
      <c r="AT192" s="3">
        <v>43285</v>
      </c>
      <c r="AU192">
        <v>25382</v>
      </c>
      <c r="AV192">
        <v>0</v>
      </c>
      <c r="AW192">
        <v>518</v>
      </c>
      <c r="AX192">
        <v>0</v>
      </c>
    </row>
    <row r="193" spans="1:50" x14ac:dyDescent="0.25">
      <c r="A193" t="s">
        <v>693</v>
      </c>
      <c r="B193" s="3">
        <v>43220</v>
      </c>
      <c r="C193" t="s">
        <v>87</v>
      </c>
      <c r="D193" t="s">
        <v>256</v>
      </c>
      <c r="E193" t="s">
        <v>89</v>
      </c>
      <c r="F193">
        <v>14700</v>
      </c>
      <c r="K193" s="1"/>
      <c r="AG193" t="s">
        <v>692</v>
      </c>
      <c r="AH193" s="3">
        <v>43227</v>
      </c>
      <c r="AI193">
        <v>14700</v>
      </c>
      <c r="AJ193">
        <v>0</v>
      </c>
      <c r="AS193" t="s">
        <v>549</v>
      </c>
      <c r="AT193" s="3">
        <v>43285</v>
      </c>
      <c r="AU193">
        <v>25382</v>
      </c>
      <c r="AV193">
        <v>0</v>
      </c>
      <c r="AW193">
        <v>518</v>
      </c>
      <c r="AX193">
        <v>0</v>
      </c>
    </row>
    <row r="194" spans="1:50" x14ac:dyDescent="0.25">
      <c r="A194" t="s">
        <v>694</v>
      </c>
      <c r="B194" s="3">
        <v>43220</v>
      </c>
      <c r="C194" t="s">
        <v>87</v>
      </c>
      <c r="D194" t="s">
        <v>241</v>
      </c>
      <c r="E194" t="s">
        <v>89</v>
      </c>
      <c r="F194">
        <v>8998</v>
      </c>
      <c r="G194" t="s">
        <v>695</v>
      </c>
      <c r="H194" s="3">
        <v>43220</v>
      </c>
      <c r="I194" t="s">
        <v>344</v>
      </c>
      <c r="J194">
        <v>6000</v>
      </c>
      <c r="K194" s="1"/>
      <c r="M194" s="3">
        <v>43220</v>
      </c>
      <c r="N194" t="s">
        <v>57</v>
      </c>
      <c r="P194" t="s">
        <v>56</v>
      </c>
      <c r="Q194">
        <v>4900</v>
      </c>
      <c r="R194" s="3">
        <v>43259</v>
      </c>
      <c r="S194" t="s">
        <v>54</v>
      </c>
      <c r="T194" t="s">
        <v>410</v>
      </c>
      <c r="U194" t="s">
        <v>60</v>
      </c>
      <c r="V194">
        <v>970</v>
      </c>
      <c r="AG194" t="s">
        <v>680</v>
      </c>
      <c r="AH194" s="3">
        <v>43243</v>
      </c>
      <c r="AI194">
        <v>8998</v>
      </c>
      <c r="AJ194">
        <v>0</v>
      </c>
      <c r="AS194" t="s">
        <v>549</v>
      </c>
      <c r="AT194" s="3">
        <v>43285</v>
      </c>
      <c r="AU194">
        <v>24890</v>
      </c>
      <c r="AV194">
        <v>0</v>
      </c>
      <c r="AW194">
        <v>508</v>
      </c>
      <c r="AX194">
        <v>0</v>
      </c>
    </row>
    <row r="195" spans="1:50" x14ac:dyDescent="0.25">
      <c r="A195" t="s">
        <v>696</v>
      </c>
      <c r="B195" s="3">
        <v>43220</v>
      </c>
      <c r="C195" t="s">
        <v>87</v>
      </c>
      <c r="D195" t="s">
        <v>313</v>
      </c>
      <c r="E195" t="s">
        <v>89</v>
      </c>
      <c r="F195">
        <v>7350</v>
      </c>
      <c r="G195" t="s">
        <v>697</v>
      </c>
      <c r="H195" s="3">
        <v>43220</v>
      </c>
      <c r="I195" t="s">
        <v>514</v>
      </c>
      <c r="J195">
        <v>6500</v>
      </c>
      <c r="K195" s="1"/>
      <c r="M195" s="3">
        <v>43224</v>
      </c>
      <c r="N195" t="s">
        <v>57</v>
      </c>
      <c r="P195" t="s">
        <v>56</v>
      </c>
      <c r="Q195">
        <v>5400</v>
      </c>
      <c r="R195" s="3">
        <v>43246</v>
      </c>
      <c r="S195" t="s">
        <v>57</v>
      </c>
      <c r="T195" t="s">
        <v>467</v>
      </c>
      <c r="U195" t="s">
        <v>60</v>
      </c>
      <c r="V195">
        <v>970</v>
      </c>
      <c r="AG195" t="s">
        <v>687</v>
      </c>
      <c r="AH195" s="3">
        <v>43245</v>
      </c>
      <c r="AI195">
        <v>7350</v>
      </c>
      <c r="AJ195">
        <v>0</v>
      </c>
      <c r="AS195" t="s">
        <v>549</v>
      </c>
      <c r="AT195" s="3">
        <v>43285</v>
      </c>
      <c r="AU195">
        <v>31453</v>
      </c>
      <c r="AV195">
        <v>0</v>
      </c>
      <c r="AW195">
        <v>642</v>
      </c>
      <c r="AX195">
        <v>0</v>
      </c>
    </row>
    <row r="196" spans="1:50" x14ac:dyDescent="0.25">
      <c r="A196" t="s">
        <v>698</v>
      </c>
      <c r="B196" s="3">
        <v>43220</v>
      </c>
      <c r="C196" t="s">
        <v>87</v>
      </c>
      <c r="D196" t="s">
        <v>262</v>
      </c>
      <c r="E196" t="s">
        <v>89</v>
      </c>
      <c r="F196">
        <v>9050</v>
      </c>
      <c r="G196" t="s">
        <v>699</v>
      </c>
      <c r="H196" s="3">
        <v>43220</v>
      </c>
      <c r="I196" t="s">
        <v>344</v>
      </c>
      <c r="J196">
        <v>8300</v>
      </c>
      <c r="K196" s="1"/>
      <c r="M196" s="3">
        <v>43220</v>
      </c>
      <c r="N196" t="s">
        <v>54</v>
      </c>
      <c r="O196" t="s">
        <v>410</v>
      </c>
      <c r="P196" t="s">
        <v>56</v>
      </c>
      <c r="Q196">
        <v>7000</v>
      </c>
      <c r="R196" s="3">
        <v>43259</v>
      </c>
      <c r="S196" t="s">
        <v>54</v>
      </c>
      <c r="T196" t="s">
        <v>410</v>
      </c>
      <c r="U196" t="s">
        <v>60</v>
      </c>
      <c r="V196">
        <v>970</v>
      </c>
      <c r="AG196" t="s">
        <v>680</v>
      </c>
      <c r="AH196" s="3">
        <v>43243</v>
      </c>
      <c r="AI196">
        <v>9050</v>
      </c>
      <c r="AJ196">
        <v>0</v>
      </c>
      <c r="AS196" t="s">
        <v>549</v>
      </c>
      <c r="AT196" s="3">
        <v>43285</v>
      </c>
      <c r="AU196">
        <v>24890</v>
      </c>
      <c r="AV196">
        <v>0</v>
      </c>
      <c r="AW196">
        <v>508</v>
      </c>
      <c r="AX196">
        <v>0</v>
      </c>
    </row>
    <row r="197" spans="1:50" x14ac:dyDescent="0.25">
      <c r="A197" t="s">
        <v>700</v>
      </c>
      <c r="B197" s="3">
        <v>43220</v>
      </c>
      <c r="C197" t="s">
        <v>87</v>
      </c>
      <c r="D197" t="s">
        <v>300</v>
      </c>
      <c r="E197" t="s">
        <v>89</v>
      </c>
      <c r="F197">
        <v>3595</v>
      </c>
      <c r="G197" t="s">
        <v>701</v>
      </c>
      <c r="H197" s="3">
        <v>43220</v>
      </c>
      <c r="I197" t="s">
        <v>514</v>
      </c>
      <c r="J197">
        <v>2500</v>
      </c>
      <c r="K197" s="1"/>
      <c r="M197" s="3">
        <v>43224</v>
      </c>
      <c r="N197" t="s">
        <v>57</v>
      </c>
      <c r="P197" t="s">
        <v>56</v>
      </c>
      <c r="Q197">
        <v>1950</v>
      </c>
      <c r="R197" s="3">
        <v>43246</v>
      </c>
      <c r="S197" t="s">
        <v>57</v>
      </c>
      <c r="T197" t="s">
        <v>467</v>
      </c>
      <c r="U197" t="s">
        <v>60</v>
      </c>
      <c r="V197">
        <v>470</v>
      </c>
      <c r="AG197" t="s">
        <v>687</v>
      </c>
      <c r="AH197" s="3">
        <v>43245</v>
      </c>
      <c r="AI197">
        <v>3595</v>
      </c>
      <c r="AJ197">
        <v>0</v>
      </c>
      <c r="AS197" t="s">
        <v>549</v>
      </c>
      <c r="AT197" s="3">
        <v>43285</v>
      </c>
      <c r="AU197">
        <v>31453</v>
      </c>
      <c r="AV197">
        <v>0</v>
      </c>
      <c r="AW197">
        <v>642</v>
      </c>
      <c r="AX197">
        <v>0</v>
      </c>
    </row>
    <row r="198" spans="1:50" x14ac:dyDescent="0.25">
      <c r="A198" t="s">
        <v>702</v>
      </c>
      <c r="B198" s="3">
        <v>43227</v>
      </c>
      <c r="C198" t="s">
        <v>87</v>
      </c>
      <c r="D198" t="s">
        <v>238</v>
      </c>
      <c r="E198" t="s">
        <v>89</v>
      </c>
      <c r="F198">
        <v>9050</v>
      </c>
      <c r="G198" t="s">
        <v>703</v>
      </c>
      <c r="H198" s="3">
        <v>43227</v>
      </c>
      <c r="I198" t="s">
        <v>344</v>
      </c>
      <c r="J198">
        <v>8000</v>
      </c>
      <c r="K198" s="1"/>
      <c r="M198" s="3">
        <v>43239</v>
      </c>
      <c r="N198" t="s">
        <v>54</v>
      </c>
      <c r="O198" t="s">
        <v>410</v>
      </c>
      <c r="P198" t="s">
        <v>56</v>
      </c>
      <c r="Q198">
        <v>6900</v>
      </c>
      <c r="R198" s="3">
        <v>43343</v>
      </c>
      <c r="S198" t="s">
        <v>54</v>
      </c>
      <c r="T198" t="s">
        <v>538</v>
      </c>
      <c r="U198" t="s">
        <v>60</v>
      </c>
      <c r="V198">
        <v>970</v>
      </c>
      <c r="AG198" t="s">
        <v>704</v>
      </c>
      <c r="AH198" s="3">
        <v>43340</v>
      </c>
      <c r="AI198">
        <v>9050</v>
      </c>
      <c r="AJ198">
        <v>9050</v>
      </c>
    </row>
    <row r="199" spans="1:50" x14ac:dyDescent="0.25">
      <c r="A199" t="s">
        <v>705</v>
      </c>
      <c r="B199" s="3">
        <v>43236</v>
      </c>
      <c r="C199" t="s">
        <v>87</v>
      </c>
      <c r="D199" t="s">
        <v>142</v>
      </c>
      <c r="E199" t="s">
        <v>89</v>
      </c>
      <c r="F199">
        <v>7050</v>
      </c>
      <c r="G199" t="s">
        <v>706</v>
      </c>
      <c r="H199" s="3">
        <v>43236</v>
      </c>
      <c r="I199" t="s">
        <v>344</v>
      </c>
      <c r="J199">
        <v>6000</v>
      </c>
      <c r="K199" s="1"/>
      <c r="M199" s="3">
        <v>43237</v>
      </c>
      <c r="N199" t="s">
        <v>54</v>
      </c>
      <c r="O199" t="s">
        <v>494</v>
      </c>
      <c r="P199" t="s">
        <v>56</v>
      </c>
      <c r="Q199">
        <v>4900</v>
      </c>
      <c r="R199" s="3">
        <v>43281</v>
      </c>
      <c r="S199" t="s">
        <v>54</v>
      </c>
      <c r="T199" t="s">
        <v>707</v>
      </c>
      <c r="U199" t="s">
        <v>60</v>
      </c>
      <c r="V199">
        <v>970</v>
      </c>
      <c r="AG199" t="s">
        <v>708</v>
      </c>
      <c r="AH199" s="3">
        <v>43293</v>
      </c>
      <c r="AI199">
        <v>7050</v>
      </c>
      <c r="AJ199">
        <v>0</v>
      </c>
      <c r="AS199" t="s">
        <v>292</v>
      </c>
      <c r="AT199" s="3">
        <v>43343</v>
      </c>
      <c r="AU199">
        <v>10432</v>
      </c>
      <c r="AV199">
        <v>0</v>
      </c>
      <c r="AW199">
        <v>213</v>
      </c>
      <c r="AX199">
        <v>0</v>
      </c>
    </row>
    <row r="200" spans="1:50" x14ac:dyDescent="0.25">
      <c r="A200" t="s">
        <v>709</v>
      </c>
      <c r="B200" s="3">
        <v>43236</v>
      </c>
      <c r="C200" t="s">
        <v>87</v>
      </c>
      <c r="D200" t="s">
        <v>245</v>
      </c>
      <c r="E200" t="s">
        <v>89</v>
      </c>
      <c r="F200">
        <v>7350</v>
      </c>
      <c r="G200" t="s">
        <v>710</v>
      </c>
      <c r="H200" s="3">
        <v>43236</v>
      </c>
      <c r="I200" t="s">
        <v>344</v>
      </c>
      <c r="J200">
        <v>6000</v>
      </c>
      <c r="K200" s="1">
        <v>1</v>
      </c>
      <c r="M200" s="3">
        <v>43237</v>
      </c>
      <c r="N200" t="s">
        <v>54</v>
      </c>
      <c r="O200" t="s">
        <v>494</v>
      </c>
      <c r="P200" t="s">
        <v>56</v>
      </c>
      <c r="Q200">
        <v>4900</v>
      </c>
      <c r="R200" s="3">
        <v>43281</v>
      </c>
      <c r="S200" t="s">
        <v>54</v>
      </c>
      <c r="T200" t="s">
        <v>707</v>
      </c>
      <c r="U200" t="s">
        <v>60</v>
      </c>
      <c r="V200">
        <v>970</v>
      </c>
      <c r="AG200" t="s">
        <v>711</v>
      </c>
      <c r="AH200" s="3">
        <v>43286</v>
      </c>
      <c r="AI200">
        <v>7350</v>
      </c>
      <c r="AJ200">
        <v>40178</v>
      </c>
    </row>
    <row r="201" spans="1:50" x14ac:dyDescent="0.25">
      <c r="A201" t="s">
        <v>712</v>
      </c>
      <c r="B201" s="3">
        <v>43237</v>
      </c>
      <c r="C201" t="s">
        <v>87</v>
      </c>
      <c r="D201" t="s">
        <v>238</v>
      </c>
      <c r="E201" t="s">
        <v>89</v>
      </c>
      <c r="F201">
        <v>9050</v>
      </c>
      <c r="G201" t="s">
        <v>713</v>
      </c>
      <c r="H201" s="3">
        <v>43237</v>
      </c>
      <c r="I201" t="s">
        <v>399</v>
      </c>
      <c r="J201">
        <v>8000</v>
      </c>
      <c r="K201" s="1"/>
      <c r="M201" s="3">
        <v>43239</v>
      </c>
      <c r="N201" t="s">
        <v>54</v>
      </c>
      <c r="O201" t="s">
        <v>714</v>
      </c>
      <c r="P201" t="s">
        <v>56</v>
      </c>
      <c r="Q201">
        <v>6900</v>
      </c>
      <c r="R201" s="3">
        <v>43246</v>
      </c>
      <c r="S201" t="s">
        <v>54</v>
      </c>
      <c r="T201" t="s">
        <v>715</v>
      </c>
      <c r="U201" t="s">
        <v>60</v>
      </c>
      <c r="V201">
        <v>970</v>
      </c>
      <c r="AG201" t="s">
        <v>716</v>
      </c>
      <c r="AH201" s="3">
        <v>43250</v>
      </c>
      <c r="AI201">
        <v>9050</v>
      </c>
      <c r="AJ201">
        <v>0</v>
      </c>
      <c r="AS201" t="s">
        <v>292</v>
      </c>
      <c r="AT201" s="3">
        <v>43343</v>
      </c>
      <c r="AU201">
        <v>8869</v>
      </c>
      <c r="AV201">
        <v>0</v>
      </c>
      <c r="AW201">
        <v>181</v>
      </c>
      <c r="AX201">
        <v>0</v>
      </c>
    </row>
    <row r="202" spans="1:50" x14ac:dyDescent="0.25">
      <c r="A202" t="s">
        <v>717</v>
      </c>
      <c r="B202" s="3">
        <v>43242</v>
      </c>
      <c r="C202" t="s">
        <v>87</v>
      </c>
      <c r="D202" t="s">
        <v>718</v>
      </c>
      <c r="E202" t="s">
        <v>89</v>
      </c>
      <c r="F202">
        <v>7350</v>
      </c>
      <c r="G202" t="s">
        <v>719</v>
      </c>
      <c r="H202" s="3">
        <v>43242</v>
      </c>
      <c r="I202" t="s">
        <v>230</v>
      </c>
      <c r="J202">
        <v>6000</v>
      </c>
      <c r="K202" s="1"/>
      <c r="M202" s="3">
        <v>43245</v>
      </c>
      <c r="N202" t="s">
        <v>54</v>
      </c>
      <c r="O202" t="s">
        <v>720</v>
      </c>
      <c r="P202" t="s">
        <v>56</v>
      </c>
      <c r="Q202">
        <v>4900</v>
      </c>
      <c r="R202" s="3">
        <v>43253</v>
      </c>
      <c r="S202" t="s">
        <v>54</v>
      </c>
      <c r="T202" t="s">
        <v>721</v>
      </c>
      <c r="U202" t="s">
        <v>60</v>
      </c>
      <c r="V202">
        <v>970</v>
      </c>
      <c r="AG202" t="s">
        <v>722</v>
      </c>
      <c r="AH202" s="3">
        <v>43291</v>
      </c>
      <c r="AI202">
        <v>7350</v>
      </c>
      <c r="AJ202">
        <v>0</v>
      </c>
      <c r="AS202" t="s">
        <v>576</v>
      </c>
      <c r="AT202" s="3">
        <v>43483</v>
      </c>
      <c r="AU202">
        <v>21286</v>
      </c>
      <c r="AV202">
        <v>0</v>
      </c>
      <c r="AW202">
        <v>464</v>
      </c>
      <c r="AX202">
        <v>0</v>
      </c>
    </row>
    <row r="203" spans="1:50" x14ac:dyDescent="0.25">
      <c r="A203" t="s">
        <v>723</v>
      </c>
      <c r="B203" s="3">
        <v>43246</v>
      </c>
      <c r="C203" t="s">
        <v>87</v>
      </c>
      <c r="D203" t="s">
        <v>262</v>
      </c>
      <c r="E203" t="s">
        <v>89</v>
      </c>
      <c r="F203">
        <v>9050</v>
      </c>
      <c r="G203" t="s">
        <v>724</v>
      </c>
      <c r="H203" s="3">
        <v>43246</v>
      </c>
      <c r="I203" t="s">
        <v>344</v>
      </c>
      <c r="J203">
        <v>8000</v>
      </c>
      <c r="K203" s="1"/>
      <c r="M203" s="3">
        <v>43281</v>
      </c>
      <c r="N203" t="s">
        <v>54</v>
      </c>
      <c r="O203" t="s">
        <v>707</v>
      </c>
      <c r="P203" t="s">
        <v>60</v>
      </c>
      <c r="Q203">
        <v>970</v>
      </c>
      <c r="R203" s="3">
        <v>43312</v>
      </c>
      <c r="S203" t="s">
        <v>57</v>
      </c>
      <c r="T203" t="s">
        <v>538</v>
      </c>
      <c r="U203" t="s">
        <v>56</v>
      </c>
      <c r="V203">
        <v>6900</v>
      </c>
      <c r="AG203" t="s">
        <v>725</v>
      </c>
      <c r="AH203" s="3">
        <v>43272</v>
      </c>
      <c r="AI203">
        <v>9050</v>
      </c>
      <c r="AJ203">
        <v>0</v>
      </c>
      <c r="AS203" t="s">
        <v>292</v>
      </c>
      <c r="AT203" s="3">
        <v>43343</v>
      </c>
      <c r="AU203">
        <v>83281</v>
      </c>
      <c r="AV203">
        <v>0</v>
      </c>
      <c r="AW203">
        <v>1700</v>
      </c>
      <c r="AX203">
        <v>0</v>
      </c>
    </row>
    <row r="204" spans="1:50" x14ac:dyDescent="0.25">
      <c r="A204" t="s">
        <v>726</v>
      </c>
      <c r="B204" s="3">
        <v>43249</v>
      </c>
      <c r="C204" t="s">
        <v>87</v>
      </c>
      <c r="D204" t="s">
        <v>300</v>
      </c>
      <c r="E204" t="s">
        <v>89</v>
      </c>
      <c r="F204">
        <v>3595</v>
      </c>
      <c r="G204" t="s">
        <v>727</v>
      </c>
      <c r="H204" s="3">
        <v>43249</v>
      </c>
      <c r="I204" t="s">
        <v>344</v>
      </c>
      <c r="J204">
        <v>2500</v>
      </c>
      <c r="K204" s="1"/>
      <c r="M204" s="3">
        <v>43251</v>
      </c>
      <c r="N204" t="s">
        <v>57</v>
      </c>
      <c r="O204" t="s">
        <v>728</v>
      </c>
      <c r="P204" t="s">
        <v>56</v>
      </c>
      <c r="Q204">
        <v>1950</v>
      </c>
      <c r="R204" s="3">
        <v>43281</v>
      </c>
      <c r="S204" t="s">
        <v>57</v>
      </c>
      <c r="T204" t="s">
        <v>729</v>
      </c>
      <c r="U204" t="s">
        <v>60</v>
      </c>
      <c r="V204">
        <v>470</v>
      </c>
      <c r="AG204" t="s">
        <v>725</v>
      </c>
      <c r="AH204" s="3">
        <v>43272</v>
      </c>
      <c r="AI204">
        <v>3595</v>
      </c>
      <c r="AJ204">
        <v>0</v>
      </c>
      <c r="AS204" t="s">
        <v>292</v>
      </c>
      <c r="AT204" s="3">
        <v>43343</v>
      </c>
      <c r="AU204">
        <v>83281</v>
      </c>
      <c r="AV204">
        <v>0</v>
      </c>
      <c r="AW204">
        <v>1700</v>
      </c>
      <c r="AX204">
        <v>0</v>
      </c>
    </row>
    <row r="205" spans="1:50" x14ac:dyDescent="0.25">
      <c r="A205" t="s">
        <v>730</v>
      </c>
      <c r="B205" s="3">
        <v>43249</v>
      </c>
      <c r="C205" t="s">
        <v>87</v>
      </c>
      <c r="D205" t="s">
        <v>206</v>
      </c>
      <c r="E205" t="s">
        <v>89</v>
      </c>
      <c r="F205">
        <v>11000</v>
      </c>
      <c r="G205" t="s">
        <v>731</v>
      </c>
      <c r="H205" s="3">
        <v>43249</v>
      </c>
      <c r="I205" t="s">
        <v>344</v>
      </c>
      <c r="J205">
        <v>10000</v>
      </c>
      <c r="K205" s="1"/>
      <c r="M205" s="3">
        <v>43251</v>
      </c>
      <c r="N205" t="s">
        <v>54</v>
      </c>
      <c r="O205" t="s">
        <v>538</v>
      </c>
      <c r="P205" t="s">
        <v>56</v>
      </c>
      <c r="Q205">
        <v>8900</v>
      </c>
      <c r="R205" s="3">
        <v>43281</v>
      </c>
      <c r="S205" t="s">
        <v>54</v>
      </c>
      <c r="T205" t="s">
        <v>707</v>
      </c>
      <c r="U205" t="s">
        <v>60</v>
      </c>
      <c r="V205">
        <v>970</v>
      </c>
      <c r="AG205" t="s">
        <v>725</v>
      </c>
      <c r="AH205" s="3">
        <v>43272</v>
      </c>
      <c r="AI205">
        <v>11000</v>
      </c>
      <c r="AJ205">
        <v>0</v>
      </c>
      <c r="AS205" t="s">
        <v>292</v>
      </c>
      <c r="AT205" s="3">
        <v>43343</v>
      </c>
      <c r="AU205">
        <v>83281</v>
      </c>
      <c r="AV205">
        <v>0</v>
      </c>
      <c r="AW205">
        <v>1700</v>
      </c>
      <c r="AX205">
        <v>0</v>
      </c>
    </row>
    <row r="206" spans="1:50" x14ac:dyDescent="0.25">
      <c r="A206" t="s">
        <v>732</v>
      </c>
      <c r="B206" s="3">
        <v>43237</v>
      </c>
      <c r="C206" t="s">
        <v>87</v>
      </c>
      <c r="D206" t="s">
        <v>251</v>
      </c>
      <c r="E206" t="s">
        <v>89</v>
      </c>
      <c r="F206">
        <v>7050</v>
      </c>
      <c r="G206" t="s">
        <v>733</v>
      </c>
      <c r="H206" s="3">
        <v>43250</v>
      </c>
      <c r="I206" t="s">
        <v>514</v>
      </c>
      <c r="J206">
        <v>6300</v>
      </c>
      <c r="K206" s="1"/>
      <c r="M206" s="3">
        <v>43251</v>
      </c>
      <c r="N206" t="s">
        <v>57</v>
      </c>
      <c r="O206" t="s">
        <v>734</v>
      </c>
      <c r="P206" t="s">
        <v>60</v>
      </c>
      <c r="Q206">
        <v>970</v>
      </c>
      <c r="R206" s="3">
        <v>43251</v>
      </c>
      <c r="S206" t="s">
        <v>57</v>
      </c>
      <c r="T206" t="s">
        <v>735</v>
      </c>
      <c r="U206" t="s">
        <v>56</v>
      </c>
      <c r="V206">
        <v>5200</v>
      </c>
      <c r="AG206" t="s">
        <v>687</v>
      </c>
      <c r="AH206" s="3">
        <v>43245</v>
      </c>
      <c r="AI206">
        <v>7050</v>
      </c>
      <c r="AJ206">
        <v>0</v>
      </c>
      <c r="AS206" t="s">
        <v>549</v>
      </c>
      <c r="AT206" s="3">
        <v>43285</v>
      </c>
      <c r="AU206">
        <v>31453</v>
      </c>
      <c r="AV206">
        <v>0</v>
      </c>
      <c r="AW206">
        <v>642</v>
      </c>
      <c r="AX206">
        <v>0</v>
      </c>
    </row>
    <row r="207" spans="1:50" x14ac:dyDescent="0.25">
      <c r="A207" t="s">
        <v>736</v>
      </c>
      <c r="B207" s="3">
        <v>43250</v>
      </c>
      <c r="C207" t="s">
        <v>87</v>
      </c>
      <c r="D207" t="s">
        <v>251</v>
      </c>
      <c r="E207" t="s">
        <v>89</v>
      </c>
      <c r="F207">
        <v>8998</v>
      </c>
      <c r="G207" t="s">
        <v>737</v>
      </c>
      <c r="H207" s="3">
        <v>43250</v>
      </c>
      <c r="I207" t="s">
        <v>344</v>
      </c>
      <c r="J207">
        <v>8000</v>
      </c>
      <c r="K207" s="1"/>
      <c r="M207" s="3">
        <v>43251</v>
      </c>
      <c r="N207" t="s">
        <v>54</v>
      </c>
      <c r="O207" t="s">
        <v>538</v>
      </c>
      <c r="P207" t="s">
        <v>56</v>
      </c>
      <c r="Q207">
        <v>6900</v>
      </c>
      <c r="R207" s="3">
        <v>43281</v>
      </c>
      <c r="S207" t="s">
        <v>54</v>
      </c>
      <c r="T207" t="s">
        <v>707</v>
      </c>
      <c r="U207" t="s">
        <v>60</v>
      </c>
      <c r="V207">
        <v>950</v>
      </c>
      <c r="AG207" t="s">
        <v>725</v>
      </c>
      <c r="AH207" s="3">
        <v>43272</v>
      </c>
      <c r="AI207">
        <v>8998</v>
      </c>
      <c r="AJ207">
        <v>0</v>
      </c>
      <c r="AS207" t="s">
        <v>292</v>
      </c>
      <c r="AT207" s="3">
        <v>43343</v>
      </c>
      <c r="AU207">
        <v>83281</v>
      </c>
      <c r="AV207">
        <v>0</v>
      </c>
      <c r="AW207">
        <v>1700</v>
      </c>
      <c r="AX207">
        <v>0</v>
      </c>
    </row>
    <row r="208" spans="1:50" x14ac:dyDescent="0.25">
      <c r="A208" t="s">
        <v>738</v>
      </c>
      <c r="B208" s="3">
        <v>43250</v>
      </c>
      <c r="C208" t="s">
        <v>87</v>
      </c>
      <c r="D208" t="s">
        <v>739</v>
      </c>
      <c r="E208" t="s">
        <v>89</v>
      </c>
      <c r="F208">
        <v>7350</v>
      </c>
      <c r="G208" t="s">
        <v>740</v>
      </c>
      <c r="H208" s="3">
        <v>43250</v>
      </c>
      <c r="I208" t="s">
        <v>344</v>
      </c>
      <c r="J208">
        <v>6000</v>
      </c>
      <c r="K208" s="1"/>
      <c r="M208" s="3">
        <v>43251</v>
      </c>
      <c r="N208" t="s">
        <v>54</v>
      </c>
      <c r="O208" t="s">
        <v>538</v>
      </c>
      <c r="P208" t="s">
        <v>56</v>
      </c>
      <c r="Q208">
        <v>4900</v>
      </c>
      <c r="R208" s="3">
        <v>43343</v>
      </c>
      <c r="S208" t="s">
        <v>54</v>
      </c>
      <c r="T208" t="s">
        <v>538</v>
      </c>
      <c r="U208" t="s">
        <v>60</v>
      </c>
      <c r="V208">
        <v>970</v>
      </c>
      <c r="AG208" t="s">
        <v>741</v>
      </c>
      <c r="AH208" s="3">
        <v>43340</v>
      </c>
      <c r="AI208">
        <v>7350</v>
      </c>
      <c r="AJ208">
        <v>0</v>
      </c>
      <c r="AS208" t="s">
        <v>742</v>
      </c>
      <c r="AT208" s="3">
        <v>43404</v>
      </c>
      <c r="AU208">
        <v>28296</v>
      </c>
      <c r="AV208">
        <v>0</v>
      </c>
      <c r="AW208">
        <v>604</v>
      </c>
      <c r="AX208">
        <v>0</v>
      </c>
    </row>
    <row r="209" spans="1:50" x14ac:dyDescent="0.25">
      <c r="A209" t="s">
        <v>743</v>
      </c>
      <c r="B209" s="3">
        <v>43250</v>
      </c>
      <c r="C209" t="s">
        <v>87</v>
      </c>
      <c r="D209" t="s">
        <v>300</v>
      </c>
      <c r="E209" t="s">
        <v>89</v>
      </c>
      <c r="F209">
        <v>3595</v>
      </c>
      <c r="G209" t="s">
        <v>744</v>
      </c>
      <c r="H209" s="3">
        <v>43250</v>
      </c>
      <c r="I209" t="s">
        <v>344</v>
      </c>
      <c r="J209">
        <v>9000</v>
      </c>
      <c r="K209" s="1"/>
      <c r="M209" s="3">
        <v>43251</v>
      </c>
      <c r="N209" t="s">
        <v>54</v>
      </c>
      <c r="O209" t="s">
        <v>538</v>
      </c>
      <c r="P209" t="s">
        <v>56</v>
      </c>
      <c r="Q209">
        <v>4900</v>
      </c>
      <c r="R209" s="3">
        <v>43251</v>
      </c>
      <c r="S209" t="s">
        <v>57</v>
      </c>
      <c r="T209" t="s">
        <v>494</v>
      </c>
      <c r="U209" t="s">
        <v>56</v>
      </c>
      <c r="V209">
        <v>3000</v>
      </c>
      <c r="W209" s="3">
        <v>43281</v>
      </c>
      <c r="X209" t="s">
        <v>54</v>
      </c>
      <c r="Y209" t="s">
        <v>707</v>
      </c>
      <c r="Z209" t="s">
        <v>60</v>
      </c>
      <c r="AA209">
        <v>970</v>
      </c>
      <c r="AG209" t="s">
        <v>725</v>
      </c>
      <c r="AH209" s="3">
        <v>43272</v>
      </c>
      <c r="AI209">
        <v>3595</v>
      </c>
      <c r="AJ209">
        <v>0</v>
      </c>
      <c r="AS209" t="s">
        <v>292</v>
      </c>
      <c r="AT209" s="3">
        <v>43343</v>
      </c>
      <c r="AU209">
        <v>83281</v>
      </c>
      <c r="AV209">
        <v>0</v>
      </c>
      <c r="AW209">
        <v>1700</v>
      </c>
      <c r="AX209">
        <v>0</v>
      </c>
    </row>
    <row r="210" spans="1:50" x14ac:dyDescent="0.25">
      <c r="A210" t="s">
        <v>745</v>
      </c>
      <c r="B210" s="3">
        <v>43250</v>
      </c>
      <c r="C210" t="s">
        <v>87</v>
      </c>
      <c r="D210" t="s">
        <v>241</v>
      </c>
      <c r="E210" t="s">
        <v>89</v>
      </c>
      <c r="F210">
        <v>6998</v>
      </c>
      <c r="K210" s="1"/>
      <c r="AG210" t="s">
        <v>725</v>
      </c>
      <c r="AH210" s="3">
        <v>43272</v>
      </c>
      <c r="AI210">
        <v>6998</v>
      </c>
      <c r="AJ210">
        <v>0</v>
      </c>
      <c r="AS210" t="s">
        <v>292</v>
      </c>
      <c r="AT210" s="3">
        <v>43343</v>
      </c>
      <c r="AU210">
        <v>83281</v>
      </c>
      <c r="AV210">
        <v>0</v>
      </c>
      <c r="AW210">
        <v>1700</v>
      </c>
      <c r="AX210">
        <v>0</v>
      </c>
    </row>
    <row r="211" spans="1:50" x14ac:dyDescent="0.25">
      <c r="A211" t="s">
        <v>746</v>
      </c>
      <c r="B211" s="3">
        <v>43251</v>
      </c>
      <c r="C211" t="s">
        <v>87</v>
      </c>
      <c r="D211" t="s">
        <v>142</v>
      </c>
      <c r="E211" t="s">
        <v>89</v>
      </c>
      <c r="F211">
        <v>7050</v>
      </c>
      <c r="G211" t="s">
        <v>747</v>
      </c>
      <c r="H211" s="3">
        <v>43251</v>
      </c>
      <c r="I211" t="s">
        <v>514</v>
      </c>
      <c r="J211">
        <v>6200</v>
      </c>
      <c r="K211" s="1"/>
      <c r="M211" s="3">
        <v>43251</v>
      </c>
      <c r="N211" t="s">
        <v>57</v>
      </c>
      <c r="O211" t="s">
        <v>459</v>
      </c>
      <c r="P211" t="s">
        <v>56</v>
      </c>
      <c r="Q211">
        <v>5100</v>
      </c>
      <c r="R211" s="3">
        <v>43281</v>
      </c>
      <c r="S211" t="s">
        <v>57</v>
      </c>
      <c r="T211" t="s">
        <v>452</v>
      </c>
      <c r="U211" t="s">
        <v>60</v>
      </c>
      <c r="V211">
        <v>970</v>
      </c>
      <c r="AG211" t="s">
        <v>725</v>
      </c>
      <c r="AH211" s="3">
        <v>43272</v>
      </c>
      <c r="AI211">
        <v>7050</v>
      </c>
      <c r="AJ211">
        <v>0</v>
      </c>
      <c r="AS211" t="s">
        <v>292</v>
      </c>
      <c r="AT211" s="3">
        <v>43343</v>
      </c>
      <c r="AU211">
        <v>83281</v>
      </c>
      <c r="AV211">
        <v>0</v>
      </c>
      <c r="AW211">
        <v>1700</v>
      </c>
      <c r="AX211">
        <v>0</v>
      </c>
    </row>
    <row r="212" spans="1:50" x14ac:dyDescent="0.25">
      <c r="A212" t="s">
        <v>748</v>
      </c>
      <c r="B212" s="3">
        <v>43246</v>
      </c>
      <c r="C212" t="s">
        <v>87</v>
      </c>
      <c r="D212" t="s">
        <v>300</v>
      </c>
      <c r="E212" t="s">
        <v>89</v>
      </c>
      <c r="F212">
        <v>3595</v>
      </c>
      <c r="G212" t="s">
        <v>749</v>
      </c>
      <c r="H212" s="3">
        <v>43251</v>
      </c>
      <c r="I212" t="s">
        <v>344</v>
      </c>
      <c r="J212">
        <v>2500</v>
      </c>
      <c r="K212" s="1"/>
      <c r="M212" s="3">
        <v>43251</v>
      </c>
      <c r="N212" t="s">
        <v>57</v>
      </c>
      <c r="O212" t="s">
        <v>579</v>
      </c>
      <c r="P212" t="s">
        <v>56</v>
      </c>
      <c r="Q212">
        <v>1950</v>
      </c>
      <c r="R212" s="3">
        <v>43281</v>
      </c>
      <c r="S212" t="s">
        <v>57</v>
      </c>
      <c r="T212" t="s">
        <v>707</v>
      </c>
      <c r="U212" t="s">
        <v>60</v>
      </c>
      <c r="V212">
        <v>470</v>
      </c>
      <c r="AG212" t="s">
        <v>725</v>
      </c>
      <c r="AH212" s="3">
        <v>43272</v>
      </c>
      <c r="AI212">
        <v>3595</v>
      </c>
      <c r="AJ212">
        <v>0</v>
      </c>
      <c r="AS212" t="s">
        <v>292</v>
      </c>
      <c r="AT212" s="3">
        <v>43343</v>
      </c>
      <c r="AU212">
        <v>83281</v>
      </c>
      <c r="AV212">
        <v>0</v>
      </c>
      <c r="AW212">
        <v>1700</v>
      </c>
      <c r="AX212">
        <v>0</v>
      </c>
    </row>
    <row r="213" spans="1:50" x14ac:dyDescent="0.25">
      <c r="A213" t="s">
        <v>750</v>
      </c>
      <c r="B213" s="3">
        <v>43252</v>
      </c>
      <c r="C213" t="s">
        <v>87</v>
      </c>
      <c r="D213" t="s">
        <v>262</v>
      </c>
      <c r="E213" t="s">
        <v>89</v>
      </c>
      <c r="F213">
        <v>9050</v>
      </c>
      <c r="G213" t="s">
        <v>751</v>
      </c>
      <c r="H213" s="3">
        <v>43252</v>
      </c>
      <c r="I213" t="s">
        <v>399</v>
      </c>
      <c r="J213">
        <v>8000</v>
      </c>
      <c r="K213" s="1"/>
      <c r="M213" s="3">
        <v>43253</v>
      </c>
      <c r="N213" t="s">
        <v>54</v>
      </c>
      <c r="O213" t="s">
        <v>752</v>
      </c>
      <c r="P213" t="s">
        <v>56</v>
      </c>
      <c r="Q213">
        <v>6900</v>
      </c>
      <c r="R213" s="3">
        <v>43262</v>
      </c>
      <c r="S213" t="s">
        <v>54</v>
      </c>
      <c r="T213" t="s">
        <v>399</v>
      </c>
      <c r="U213" t="s">
        <v>60</v>
      </c>
      <c r="V213">
        <v>970</v>
      </c>
      <c r="AG213" t="s">
        <v>725</v>
      </c>
      <c r="AH213" s="3">
        <v>43272</v>
      </c>
      <c r="AI213">
        <v>9050</v>
      </c>
      <c r="AJ213">
        <v>0</v>
      </c>
      <c r="AS213" t="s">
        <v>292</v>
      </c>
      <c r="AT213" s="3">
        <v>43343</v>
      </c>
      <c r="AU213">
        <v>83281</v>
      </c>
      <c r="AV213">
        <v>0</v>
      </c>
      <c r="AW213">
        <v>1700</v>
      </c>
      <c r="AX213">
        <v>0</v>
      </c>
    </row>
    <row r="214" spans="1:50" x14ac:dyDescent="0.25">
      <c r="A214" t="s">
        <v>753</v>
      </c>
      <c r="B214" s="3">
        <v>43258</v>
      </c>
      <c r="C214" t="s">
        <v>87</v>
      </c>
      <c r="D214" t="s">
        <v>241</v>
      </c>
      <c r="E214" t="s">
        <v>89</v>
      </c>
      <c r="F214">
        <v>7050</v>
      </c>
      <c r="G214" t="s">
        <v>754</v>
      </c>
      <c r="H214" s="3">
        <v>43258</v>
      </c>
      <c r="I214" t="s">
        <v>755</v>
      </c>
      <c r="J214">
        <v>6000</v>
      </c>
      <c r="K214" s="1"/>
      <c r="M214" s="3">
        <v>43259</v>
      </c>
      <c r="N214" t="s">
        <v>54</v>
      </c>
      <c r="O214" t="s">
        <v>720</v>
      </c>
      <c r="P214" t="s">
        <v>56</v>
      </c>
      <c r="Q214">
        <v>5400</v>
      </c>
      <c r="R214" s="3">
        <v>43291</v>
      </c>
      <c r="S214" t="s">
        <v>54</v>
      </c>
      <c r="T214" t="s">
        <v>756</v>
      </c>
      <c r="U214" t="s">
        <v>60</v>
      </c>
      <c r="V214">
        <v>470</v>
      </c>
      <c r="AG214" t="s">
        <v>725</v>
      </c>
      <c r="AH214" s="3">
        <v>43272</v>
      </c>
      <c r="AI214">
        <v>7050</v>
      </c>
      <c r="AJ214">
        <v>0</v>
      </c>
      <c r="AS214" t="s">
        <v>292</v>
      </c>
      <c r="AT214" s="3">
        <v>43343</v>
      </c>
      <c r="AU214">
        <v>83281</v>
      </c>
      <c r="AV214">
        <v>0</v>
      </c>
      <c r="AW214">
        <v>1700</v>
      </c>
      <c r="AX214">
        <v>0</v>
      </c>
    </row>
    <row r="215" spans="1:50" x14ac:dyDescent="0.25">
      <c r="A215" t="s">
        <v>757</v>
      </c>
      <c r="B215" s="3">
        <v>43259</v>
      </c>
      <c r="C215" t="s">
        <v>87</v>
      </c>
      <c r="D215" t="s">
        <v>152</v>
      </c>
      <c r="E215" t="s">
        <v>89</v>
      </c>
      <c r="F215">
        <v>5795</v>
      </c>
      <c r="G215" t="s">
        <v>758</v>
      </c>
      <c r="H215" s="3">
        <v>43259</v>
      </c>
      <c r="I215" t="s">
        <v>514</v>
      </c>
      <c r="J215">
        <v>5100</v>
      </c>
      <c r="K215" s="1">
        <v>1</v>
      </c>
      <c r="M215" s="3">
        <v>43263</v>
      </c>
      <c r="N215" t="s">
        <v>57</v>
      </c>
      <c r="O215" t="s">
        <v>467</v>
      </c>
      <c r="P215" t="s">
        <v>56</v>
      </c>
      <c r="Q215">
        <v>4000</v>
      </c>
      <c r="R215" s="3">
        <v>43292</v>
      </c>
      <c r="S215" t="s">
        <v>57</v>
      </c>
      <c r="U215" t="s">
        <v>60</v>
      </c>
      <c r="V215">
        <v>970</v>
      </c>
      <c r="AG215" t="s">
        <v>711</v>
      </c>
      <c r="AH215" s="3">
        <v>43286</v>
      </c>
      <c r="AI215">
        <v>5795</v>
      </c>
      <c r="AJ215">
        <v>40178</v>
      </c>
    </row>
    <row r="216" spans="1:50" x14ac:dyDescent="0.25">
      <c r="A216" t="s">
        <v>759</v>
      </c>
      <c r="B216" s="3">
        <v>43258</v>
      </c>
      <c r="C216" t="s">
        <v>87</v>
      </c>
      <c r="D216" t="s">
        <v>378</v>
      </c>
      <c r="E216" t="s">
        <v>89</v>
      </c>
      <c r="F216">
        <v>7650</v>
      </c>
      <c r="G216" t="s">
        <v>760</v>
      </c>
      <c r="H216" s="3">
        <v>43260</v>
      </c>
      <c r="I216" t="s">
        <v>514</v>
      </c>
      <c r="J216">
        <v>7000</v>
      </c>
      <c r="K216" s="1"/>
      <c r="M216" s="3">
        <v>43273</v>
      </c>
      <c r="N216" t="s">
        <v>54</v>
      </c>
      <c r="O216" t="s">
        <v>761</v>
      </c>
      <c r="P216" t="s">
        <v>60</v>
      </c>
      <c r="Q216">
        <v>6900</v>
      </c>
      <c r="AG216" t="s">
        <v>725</v>
      </c>
      <c r="AH216" s="3">
        <v>43272</v>
      </c>
      <c r="AI216">
        <v>7650</v>
      </c>
      <c r="AJ216">
        <v>0</v>
      </c>
      <c r="AS216" t="s">
        <v>292</v>
      </c>
      <c r="AT216" s="3">
        <v>43343</v>
      </c>
      <c r="AU216">
        <v>83281</v>
      </c>
      <c r="AV216">
        <v>0</v>
      </c>
      <c r="AW216">
        <v>1700</v>
      </c>
      <c r="AX216">
        <v>0</v>
      </c>
    </row>
    <row r="217" spans="1:50" x14ac:dyDescent="0.25">
      <c r="A217" t="s">
        <v>762</v>
      </c>
      <c r="B217" s="3">
        <v>43264</v>
      </c>
      <c r="C217" t="s">
        <v>87</v>
      </c>
      <c r="D217" t="s">
        <v>763</v>
      </c>
      <c r="E217" t="s">
        <v>89</v>
      </c>
      <c r="F217">
        <v>1250</v>
      </c>
      <c r="G217" t="s">
        <v>764</v>
      </c>
      <c r="H217" s="3">
        <v>43264</v>
      </c>
      <c r="I217" t="s">
        <v>344</v>
      </c>
      <c r="J217">
        <v>6500</v>
      </c>
      <c r="K217" s="1"/>
      <c r="M217" s="3">
        <v>43265</v>
      </c>
      <c r="N217" t="s">
        <v>54</v>
      </c>
      <c r="O217" t="s">
        <v>494</v>
      </c>
      <c r="P217" t="s">
        <v>56</v>
      </c>
      <c r="Q217">
        <v>5400</v>
      </c>
      <c r="R217" s="3">
        <v>43281</v>
      </c>
      <c r="S217" t="s">
        <v>54</v>
      </c>
      <c r="T217" t="s">
        <v>707</v>
      </c>
      <c r="U217" t="s">
        <v>60</v>
      </c>
      <c r="V217">
        <v>970</v>
      </c>
      <c r="AG217" t="s">
        <v>765</v>
      </c>
      <c r="AH217" s="3">
        <v>43272</v>
      </c>
      <c r="AI217">
        <v>1250</v>
      </c>
      <c r="AJ217">
        <v>0</v>
      </c>
      <c r="AS217" t="s">
        <v>292</v>
      </c>
      <c r="AT217" s="3">
        <v>43343</v>
      </c>
      <c r="AU217">
        <v>1225</v>
      </c>
      <c r="AV217">
        <v>0</v>
      </c>
      <c r="AW217">
        <v>25</v>
      </c>
      <c r="AX217">
        <v>0</v>
      </c>
    </row>
    <row r="218" spans="1:50" x14ac:dyDescent="0.25">
      <c r="A218" t="s">
        <v>766</v>
      </c>
      <c r="B218" s="3">
        <v>43264</v>
      </c>
      <c r="C218" t="s">
        <v>87</v>
      </c>
      <c r="D218" t="s">
        <v>245</v>
      </c>
      <c r="E218" t="s">
        <v>89</v>
      </c>
      <c r="F218">
        <v>7350</v>
      </c>
      <c r="K218" s="1"/>
      <c r="AG218" t="s">
        <v>725</v>
      </c>
      <c r="AH218" s="3">
        <v>43272</v>
      </c>
      <c r="AI218">
        <v>7350</v>
      </c>
      <c r="AJ218">
        <v>0</v>
      </c>
      <c r="AS218" t="s">
        <v>292</v>
      </c>
      <c r="AT218" s="3">
        <v>43343</v>
      </c>
      <c r="AU218">
        <v>83281</v>
      </c>
      <c r="AV218">
        <v>0</v>
      </c>
      <c r="AW218">
        <v>1700</v>
      </c>
      <c r="AX218">
        <v>0</v>
      </c>
    </row>
    <row r="219" spans="1:50" x14ac:dyDescent="0.25">
      <c r="A219" t="s">
        <v>767</v>
      </c>
      <c r="B219" s="3">
        <v>43270</v>
      </c>
      <c r="C219" t="s">
        <v>87</v>
      </c>
      <c r="D219" t="s">
        <v>251</v>
      </c>
      <c r="E219" t="s">
        <v>89</v>
      </c>
      <c r="F219">
        <v>7050</v>
      </c>
      <c r="G219" t="s">
        <v>768</v>
      </c>
      <c r="H219" s="3">
        <v>43270</v>
      </c>
      <c r="I219" t="s">
        <v>514</v>
      </c>
      <c r="J219">
        <v>6000</v>
      </c>
      <c r="K219" s="1"/>
      <c r="M219" s="3">
        <v>43271</v>
      </c>
      <c r="N219" t="s">
        <v>57</v>
      </c>
      <c r="O219" t="s">
        <v>467</v>
      </c>
      <c r="P219" t="s">
        <v>56</v>
      </c>
      <c r="Q219">
        <v>4900</v>
      </c>
      <c r="R219" s="3">
        <v>43292</v>
      </c>
      <c r="S219" t="s">
        <v>57</v>
      </c>
      <c r="U219" t="s">
        <v>60</v>
      </c>
      <c r="V219">
        <v>970</v>
      </c>
      <c r="AG219" t="s">
        <v>722</v>
      </c>
      <c r="AH219" s="3">
        <v>43291</v>
      </c>
      <c r="AI219">
        <v>7050</v>
      </c>
      <c r="AJ219">
        <v>0</v>
      </c>
      <c r="AS219" t="s">
        <v>576</v>
      </c>
      <c r="AT219" s="3">
        <v>43483</v>
      </c>
      <c r="AU219">
        <v>21286</v>
      </c>
      <c r="AV219">
        <v>0</v>
      </c>
      <c r="AW219">
        <v>464</v>
      </c>
      <c r="AX219">
        <v>0</v>
      </c>
    </row>
    <row r="220" spans="1:50" x14ac:dyDescent="0.25">
      <c r="A220" t="s">
        <v>769</v>
      </c>
      <c r="B220" s="3">
        <v>43271</v>
      </c>
      <c r="C220" t="s">
        <v>87</v>
      </c>
      <c r="D220" t="s">
        <v>152</v>
      </c>
      <c r="E220" t="s">
        <v>89</v>
      </c>
      <c r="F220">
        <v>5795</v>
      </c>
      <c r="G220" t="s">
        <v>770</v>
      </c>
      <c r="H220" s="3">
        <v>43271</v>
      </c>
      <c r="I220" t="s">
        <v>514</v>
      </c>
      <c r="J220">
        <v>5000</v>
      </c>
      <c r="K220" s="1">
        <v>1</v>
      </c>
      <c r="M220" s="3">
        <v>43271</v>
      </c>
      <c r="N220" t="s">
        <v>57</v>
      </c>
      <c r="O220" t="s">
        <v>771</v>
      </c>
      <c r="P220" t="s">
        <v>56</v>
      </c>
      <c r="Q220">
        <v>3900</v>
      </c>
      <c r="R220" s="3">
        <v>43292</v>
      </c>
      <c r="S220" t="s">
        <v>57</v>
      </c>
      <c r="U220" t="s">
        <v>60</v>
      </c>
      <c r="V220">
        <v>970</v>
      </c>
      <c r="AG220" t="s">
        <v>711</v>
      </c>
      <c r="AH220" s="3">
        <v>43286</v>
      </c>
      <c r="AI220">
        <v>5795</v>
      </c>
      <c r="AJ220">
        <v>40178</v>
      </c>
    </row>
    <row r="221" spans="1:50" x14ac:dyDescent="0.25">
      <c r="A221" t="s">
        <v>772</v>
      </c>
      <c r="B221" s="3">
        <v>43274</v>
      </c>
      <c r="C221" t="s">
        <v>87</v>
      </c>
      <c r="D221" t="s">
        <v>313</v>
      </c>
      <c r="E221" t="s">
        <v>89</v>
      </c>
      <c r="F221">
        <v>7350</v>
      </c>
      <c r="G221" t="s">
        <v>773</v>
      </c>
      <c r="H221" s="3">
        <v>43274</v>
      </c>
      <c r="I221" t="s">
        <v>514</v>
      </c>
      <c r="J221">
        <v>6800</v>
      </c>
      <c r="K221" s="1"/>
      <c r="M221" s="3">
        <v>43281</v>
      </c>
      <c r="N221" t="s">
        <v>57</v>
      </c>
      <c r="O221" t="s">
        <v>774</v>
      </c>
      <c r="P221" t="s">
        <v>56</v>
      </c>
      <c r="Q221">
        <v>5700</v>
      </c>
      <c r="R221" s="3">
        <v>43292</v>
      </c>
      <c r="S221" t="s">
        <v>57</v>
      </c>
      <c r="U221" t="s">
        <v>60</v>
      </c>
      <c r="V221">
        <v>970</v>
      </c>
      <c r="AG221" t="s">
        <v>722</v>
      </c>
      <c r="AH221" s="3">
        <v>43291</v>
      </c>
      <c r="AI221">
        <v>7350</v>
      </c>
      <c r="AJ221">
        <v>0</v>
      </c>
      <c r="AS221" t="s">
        <v>576</v>
      </c>
      <c r="AT221" s="3">
        <v>43483</v>
      </c>
      <c r="AU221">
        <v>21286</v>
      </c>
      <c r="AV221">
        <v>0</v>
      </c>
      <c r="AW221">
        <v>464</v>
      </c>
      <c r="AX221">
        <v>0</v>
      </c>
    </row>
    <row r="222" spans="1:50" x14ac:dyDescent="0.25">
      <c r="A222" t="s">
        <v>775</v>
      </c>
      <c r="B222" s="3">
        <v>43277</v>
      </c>
      <c r="C222" t="s">
        <v>87</v>
      </c>
      <c r="D222" t="s">
        <v>241</v>
      </c>
      <c r="E222" t="s">
        <v>89</v>
      </c>
      <c r="F222">
        <v>6998</v>
      </c>
      <c r="G222" t="s">
        <v>776</v>
      </c>
      <c r="H222" s="3">
        <v>43277</v>
      </c>
      <c r="I222" t="s">
        <v>514</v>
      </c>
      <c r="J222">
        <v>8200</v>
      </c>
      <c r="K222" s="1">
        <v>1</v>
      </c>
      <c r="M222" s="3">
        <v>43281</v>
      </c>
      <c r="N222" t="s">
        <v>57</v>
      </c>
      <c r="O222" t="s">
        <v>215</v>
      </c>
      <c r="P222" t="s">
        <v>56</v>
      </c>
      <c r="Q222">
        <v>7100</v>
      </c>
      <c r="R222" s="3">
        <v>43292</v>
      </c>
      <c r="S222" t="s">
        <v>57</v>
      </c>
      <c r="T222" t="s">
        <v>215</v>
      </c>
      <c r="U222" t="s">
        <v>60</v>
      </c>
      <c r="V222">
        <v>970</v>
      </c>
      <c r="AG222" t="s">
        <v>711</v>
      </c>
      <c r="AH222" s="3">
        <v>43286</v>
      </c>
      <c r="AI222">
        <v>6998</v>
      </c>
      <c r="AJ222">
        <v>40178</v>
      </c>
    </row>
    <row r="223" spans="1:50" x14ac:dyDescent="0.25">
      <c r="A223" t="s">
        <v>777</v>
      </c>
      <c r="B223" s="3">
        <v>43277</v>
      </c>
      <c r="C223" t="s">
        <v>87</v>
      </c>
      <c r="D223" t="s">
        <v>142</v>
      </c>
      <c r="E223" t="s">
        <v>89</v>
      </c>
      <c r="F223">
        <v>7050</v>
      </c>
      <c r="K223" s="1">
        <v>1</v>
      </c>
      <c r="AG223" t="s">
        <v>711</v>
      </c>
      <c r="AH223" s="3">
        <v>43286</v>
      </c>
      <c r="AI223">
        <v>7050</v>
      </c>
      <c r="AJ223">
        <v>40178</v>
      </c>
    </row>
    <row r="224" spans="1:50" x14ac:dyDescent="0.25">
      <c r="A224" t="s">
        <v>778</v>
      </c>
      <c r="B224" s="3">
        <v>43278</v>
      </c>
      <c r="C224" t="s">
        <v>87</v>
      </c>
      <c r="D224" t="s">
        <v>300</v>
      </c>
      <c r="E224" t="s">
        <v>89</v>
      </c>
      <c r="F224">
        <v>3595</v>
      </c>
      <c r="G224" t="s">
        <v>779</v>
      </c>
      <c r="H224" s="3">
        <v>43278</v>
      </c>
      <c r="I224" t="s">
        <v>514</v>
      </c>
      <c r="J224">
        <v>2800</v>
      </c>
      <c r="K224" s="1">
        <v>1</v>
      </c>
      <c r="M224" s="3">
        <v>43281</v>
      </c>
      <c r="N224" t="s">
        <v>57</v>
      </c>
      <c r="O224" t="s">
        <v>780</v>
      </c>
      <c r="P224" t="s">
        <v>56</v>
      </c>
      <c r="Q224">
        <v>1950</v>
      </c>
      <c r="R224" s="3">
        <v>43292</v>
      </c>
      <c r="S224" t="s">
        <v>57</v>
      </c>
      <c r="U224" t="s">
        <v>60</v>
      </c>
      <c r="V224">
        <v>770</v>
      </c>
      <c r="AG224" t="s">
        <v>711</v>
      </c>
      <c r="AH224" s="3">
        <v>43286</v>
      </c>
      <c r="AI224">
        <v>3595</v>
      </c>
      <c r="AJ224">
        <v>40178</v>
      </c>
    </row>
    <row r="225" spans="1:50" x14ac:dyDescent="0.25">
      <c r="A225" t="s">
        <v>781</v>
      </c>
      <c r="B225" s="3">
        <v>43279</v>
      </c>
      <c r="C225" t="s">
        <v>87</v>
      </c>
      <c r="D225" t="s">
        <v>238</v>
      </c>
      <c r="E225" t="s">
        <v>89</v>
      </c>
      <c r="F225">
        <v>9050</v>
      </c>
      <c r="G225" t="s">
        <v>782</v>
      </c>
      <c r="H225" s="3">
        <v>43279</v>
      </c>
      <c r="I225" t="s">
        <v>344</v>
      </c>
      <c r="J225">
        <v>8000</v>
      </c>
      <c r="K225" s="1"/>
      <c r="M225" s="3">
        <v>43280</v>
      </c>
      <c r="N225" t="s">
        <v>54</v>
      </c>
      <c r="O225" t="s">
        <v>480</v>
      </c>
      <c r="P225" t="s">
        <v>56</v>
      </c>
      <c r="Q225">
        <v>6900</v>
      </c>
      <c r="R225" s="3">
        <v>43329</v>
      </c>
      <c r="S225" t="s">
        <v>54</v>
      </c>
      <c r="T225" t="s">
        <v>538</v>
      </c>
      <c r="U225" t="s">
        <v>60</v>
      </c>
      <c r="V225">
        <v>970</v>
      </c>
      <c r="AG225" t="s">
        <v>783</v>
      </c>
      <c r="AH225" s="3">
        <v>43305</v>
      </c>
      <c r="AI225">
        <v>9050</v>
      </c>
      <c r="AJ225">
        <v>0</v>
      </c>
      <c r="AS225" t="s">
        <v>742</v>
      </c>
      <c r="AT225" s="3">
        <v>43404</v>
      </c>
      <c r="AU225">
        <v>30079</v>
      </c>
      <c r="AV225">
        <v>0</v>
      </c>
      <c r="AW225">
        <v>614</v>
      </c>
      <c r="AX225">
        <v>0</v>
      </c>
    </row>
    <row r="226" spans="1:50" x14ac:dyDescent="0.25">
      <c r="A226" t="s">
        <v>784</v>
      </c>
      <c r="B226" s="3">
        <v>43279</v>
      </c>
      <c r="C226" t="s">
        <v>87</v>
      </c>
      <c r="D226" t="s">
        <v>262</v>
      </c>
      <c r="E226" t="s">
        <v>89</v>
      </c>
      <c r="F226">
        <v>9050</v>
      </c>
      <c r="G226" t="s">
        <v>785</v>
      </c>
      <c r="H226" s="3">
        <v>43279</v>
      </c>
      <c r="I226" t="s">
        <v>344</v>
      </c>
      <c r="J226">
        <v>8000</v>
      </c>
      <c r="K226" s="1"/>
      <c r="M226" s="3">
        <v>43280</v>
      </c>
      <c r="N226" t="s">
        <v>54</v>
      </c>
      <c r="O226" t="s">
        <v>480</v>
      </c>
      <c r="P226" t="s">
        <v>56</v>
      </c>
      <c r="Q226">
        <v>6900</v>
      </c>
      <c r="R226" s="3">
        <v>43329</v>
      </c>
      <c r="S226" t="s">
        <v>54</v>
      </c>
      <c r="T226" t="s">
        <v>538</v>
      </c>
      <c r="U226" t="s">
        <v>60</v>
      </c>
      <c r="V226">
        <v>970</v>
      </c>
      <c r="AG226" t="s">
        <v>783</v>
      </c>
      <c r="AH226" s="3">
        <v>43305</v>
      </c>
      <c r="AI226">
        <v>9050</v>
      </c>
      <c r="AJ226">
        <v>0</v>
      </c>
      <c r="AS226" t="s">
        <v>742</v>
      </c>
      <c r="AT226" s="3">
        <v>43404</v>
      </c>
      <c r="AU226">
        <v>30079</v>
      </c>
      <c r="AV226">
        <v>0</v>
      </c>
      <c r="AW226">
        <v>614</v>
      </c>
      <c r="AX226">
        <v>0</v>
      </c>
    </row>
    <row r="227" spans="1:50" x14ac:dyDescent="0.25">
      <c r="A227" t="s">
        <v>786</v>
      </c>
      <c r="B227" s="3">
        <v>43280</v>
      </c>
      <c r="C227" t="s">
        <v>87</v>
      </c>
      <c r="D227" t="s">
        <v>251</v>
      </c>
      <c r="E227" t="s">
        <v>89</v>
      </c>
      <c r="F227">
        <v>8998</v>
      </c>
      <c r="G227" t="s">
        <v>787</v>
      </c>
      <c r="H227" s="3">
        <v>43280</v>
      </c>
      <c r="I227" t="s">
        <v>344</v>
      </c>
      <c r="J227">
        <v>6000</v>
      </c>
      <c r="K227" s="1"/>
      <c r="M227" s="3">
        <v>43281</v>
      </c>
      <c r="N227" t="s">
        <v>54</v>
      </c>
      <c r="O227" t="s">
        <v>707</v>
      </c>
      <c r="P227" t="s">
        <v>56</v>
      </c>
      <c r="Q227">
        <v>4900</v>
      </c>
      <c r="R227" s="3">
        <v>43329</v>
      </c>
      <c r="S227" t="s">
        <v>54</v>
      </c>
      <c r="T227" t="s">
        <v>538</v>
      </c>
      <c r="U227" t="s">
        <v>60</v>
      </c>
      <c r="V227">
        <v>970</v>
      </c>
      <c r="AG227" t="s">
        <v>783</v>
      </c>
      <c r="AH227" s="3">
        <v>43305</v>
      </c>
      <c r="AI227">
        <v>8998</v>
      </c>
      <c r="AJ227">
        <v>0</v>
      </c>
      <c r="AS227" t="s">
        <v>742</v>
      </c>
      <c r="AT227" s="3">
        <v>43404</v>
      </c>
      <c r="AU227">
        <v>30079</v>
      </c>
      <c r="AV227">
        <v>0</v>
      </c>
      <c r="AW227">
        <v>614</v>
      </c>
      <c r="AX227">
        <v>0</v>
      </c>
    </row>
    <row r="228" spans="1:50" x14ac:dyDescent="0.25">
      <c r="A228" t="s">
        <v>788</v>
      </c>
      <c r="B228" s="3">
        <v>43280</v>
      </c>
      <c r="C228" t="s">
        <v>87</v>
      </c>
      <c r="D228" t="s">
        <v>300</v>
      </c>
      <c r="E228" t="s">
        <v>89</v>
      </c>
      <c r="F228">
        <v>3595</v>
      </c>
      <c r="G228" t="s">
        <v>789</v>
      </c>
      <c r="H228" s="3">
        <v>43280</v>
      </c>
      <c r="I228" t="s">
        <v>514</v>
      </c>
      <c r="J228">
        <v>2700</v>
      </c>
      <c r="K228" s="1"/>
      <c r="M228" s="3">
        <v>43281</v>
      </c>
      <c r="N228" t="s">
        <v>57</v>
      </c>
      <c r="O228" t="s">
        <v>790</v>
      </c>
      <c r="P228" t="s">
        <v>56</v>
      </c>
      <c r="Q228">
        <v>1950</v>
      </c>
      <c r="R228" s="3">
        <v>43292</v>
      </c>
      <c r="S228" t="s">
        <v>57</v>
      </c>
      <c r="U228" t="s">
        <v>60</v>
      </c>
      <c r="V228">
        <v>670</v>
      </c>
      <c r="AG228" t="s">
        <v>711</v>
      </c>
      <c r="AH228" s="3">
        <v>43286</v>
      </c>
      <c r="AI228">
        <v>3595</v>
      </c>
      <c r="AJ228">
        <v>40178</v>
      </c>
    </row>
    <row r="229" spans="1:50" x14ac:dyDescent="0.25">
      <c r="A229" t="s">
        <v>791</v>
      </c>
      <c r="B229" s="3">
        <v>43281</v>
      </c>
      <c r="C229" t="s">
        <v>87</v>
      </c>
      <c r="D229" t="s">
        <v>206</v>
      </c>
      <c r="E229" t="s">
        <v>89</v>
      </c>
      <c r="F229">
        <v>11000</v>
      </c>
      <c r="G229" t="s">
        <v>792</v>
      </c>
      <c r="H229" s="3">
        <v>43281</v>
      </c>
      <c r="I229" t="s">
        <v>230</v>
      </c>
      <c r="J229">
        <v>10000</v>
      </c>
      <c r="K229" s="1"/>
      <c r="M229" s="3">
        <v>43283</v>
      </c>
      <c r="N229" t="s">
        <v>54</v>
      </c>
      <c r="O229" t="s">
        <v>720</v>
      </c>
      <c r="P229" t="s">
        <v>56</v>
      </c>
      <c r="Q229">
        <v>8900</v>
      </c>
      <c r="R229" s="3">
        <v>43421</v>
      </c>
      <c r="S229" t="s">
        <v>57</v>
      </c>
      <c r="U229" t="s">
        <v>60</v>
      </c>
      <c r="V229">
        <v>970</v>
      </c>
      <c r="AG229" t="s">
        <v>793</v>
      </c>
      <c r="AH229" s="3">
        <v>43361</v>
      </c>
      <c r="AI229">
        <v>11000</v>
      </c>
      <c r="AJ229">
        <v>11000</v>
      </c>
    </row>
    <row r="230" spans="1:50" x14ac:dyDescent="0.25">
      <c r="A230" t="s">
        <v>794</v>
      </c>
      <c r="B230" s="3">
        <v>43281</v>
      </c>
      <c r="C230" t="s">
        <v>87</v>
      </c>
      <c r="D230" t="s">
        <v>313</v>
      </c>
      <c r="E230" t="s">
        <v>89</v>
      </c>
      <c r="F230">
        <v>9100</v>
      </c>
      <c r="G230" t="s">
        <v>795</v>
      </c>
      <c r="H230" s="3">
        <v>43281</v>
      </c>
      <c r="I230" t="s">
        <v>200</v>
      </c>
      <c r="J230">
        <v>6000</v>
      </c>
      <c r="K230" s="1"/>
      <c r="M230" s="3">
        <v>43283</v>
      </c>
      <c r="N230" t="s">
        <v>54</v>
      </c>
      <c r="O230" t="s">
        <v>720</v>
      </c>
      <c r="P230" t="s">
        <v>56</v>
      </c>
      <c r="Q230">
        <v>4900</v>
      </c>
      <c r="R230" s="3">
        <v>43343</v>
      </c>
      <c r="S230" t="s">
        <v>54</v>
      </c>
      <c r="T230" t="s">
        <v>720</v>
      </c>
      <c r="U230" t="s">
        <v>60</v>
      </c>
      <c r="V230">
        <v>970</v>
      </c>
      <c r="AG230" t="s">
        <v>796</v>
      </c>
      <c r="AH230" s="3">
        <v>43305</v>
      </c>
      <c r="AI230">
        <v>9100</v>
      </c>
      <c r="AJ230">
        <v>0</v>
      </c>
      <c r="AS230" t="s">
        <v>742</v>
      </c>
      <c r="AT230" s="3">
        <v>43404</v>
      </c>
      <c r="AU230">
        <v>15776</v>
      </c>
      <c r="AV230">
        <v>0</v>
      </c>
      <c r="AW230">
        <v>322</v>
      </c>
      <c r="AX230">
        <v>0</v>
      </c>
    </row>
    <row r="231" spans="1:50" x14ac:dyDescent="0.25">
      <c r="A231" t="s">
        <v>797</v>
      </c>
      <c r="B231" s="3">
        <v>43281</v>
      </c>
      <c r="C231" t="s">
        <v>87</v>
      </c>
      <c r="D231" t="s">
        <v>241</v>
      </c>
      <c r="E231" t="s">
        <v>89</v>
      </c>
      <c r="F231">
        <v>6998</v>
      </c>
      <c r="G231" t="s">
        <v>798</v>
      </c>
      <c r="H231" s="3">
        <v>43281</v>
      </c>
      <c r="I231" t="s">
        <v>230</v>
      </c>
      <c r="J231">
        <v>5300</v>
      </c>
      <c r="K231" s="1"/>
      <c r="M231" s="3">
        <v>43283</v>
      </c>
      <c r="N231" t="s">
        <v>54</v>
      </c>
      <c r="O231" t="s">
        <v>720</v>
      </c>
      <c r="P231" t="s">
        <v>56</v>
      </c>
      <c r="Q231">
        <v>4200</v>
      </c>
      <c r="R231" s="3">
        <v>43343</v>
      </c>
      <c r="S231" t="s">
        <v>54</v>
      </c>
      <c r="T231" t="s">
        <v>720</v>
      </c>
      <c r="U231" t="s">
        <v>60</v>
      </c>
      <c r="V231">
        <v>970</v>
      </c>
      <c r="AG231" t="s">
        <v>796</v>
      </c>
      <c r="AH231" s="3">
        <v>43305</v>
      </c>
      <c r="AI231">
        <v>6998</v>
      </c>
      <c r="AJ231">
        <v>0</v>
      </c>
      <c r="AS231" t="s">
        <v>742</v>
      </c>
      <c r="AT231" s="3">
        <v>43404</v>
      </c>
      <c r="AU231">
        <v>15776</v>
      </c>
      <c r="AV231">
        <v>0</v>
      </c>
      <c r="AW231">
        <v>322</v>
      </c>
      <c r="AX231">
        <v>0</v>
      </c>
    </row>
    <row r="232" spans="1:50" x14ac:dyDescent="0.25">
      <c r="A232" t="s">
        <v>799</v>
      </c>
      <c r="B232" s="3">
        <v>43287</v>
      </c>
      <c r="C232" t="s">
        <v>87</v>
      </c>
      <c r="D232" t="s">
        <v>300</v>
      </c>
      <c r="E232" t="s">
        <v>89</v>
      </c>
      <c r="F232">
        <v>3595</v>
      </c>
      <c r="G232" t="s">
        <v>800</v>
      </c>
      <c r="H232" s="3">
        <v>43291</v>
      </c>
      <c r="I232" t="s">
        <v>514</v>
      </c>
      <c r="J232">
        <v>2600</v>
      </c>
      <c r="K232" s="1"/>
      <c r="M232" s="3">
        <v>43292</v>
      </c>
      <c r="N232" t="s">
        <v>57</v>
      </c>
      <c r="O232" t="s">
        <v>801</v>
      </c>
      <c r="P232" t="s">
        <v>56</v>
      </c>
      <c r="Q232">
        <v>1950</v>
      </c>
      <c r="R232" s="3">
        <v>43349</v>
      </c>
      <c r="S232" t="s">
        <v>57</v>
      </c>
      <c r="U232" t="s">
        <v>60</v>
      </c>
      <c r="V232">
        <v>570</v>
      </c>
      <c r="AG232" t="s">
        <v>708</v>
      </c>
      <c r="AH232" s="3">
        <v>43293</v>
      </c>
      <c r="AI232">
        <v>3595</v>
      </c>
      <c r="AJ232">
        <v>0</v>
      </c>
      <c r="AS232" t="s">
        <v>292</v>
      </c>
      <c r="AT232" s="3">
        <v>43343</v>
      </c>
      <c r="AU232">
        <v>10432</v>
      </c>
      <c r="AV232">
        <v>0</v>
      </c>
      <c r="AW232">
        <v>213</v>
      </c>
      <c r="AX232">
        <v>0</v>
      </c>
    </row>
    <row r="233" spans="1:50" x14ac:dyDescent="0.25">
      <c r="A233" t="s">
        <v>802</v>
      </c>
      <c r="B233" s="3">
        <v>43293</v>
      </c>
      <c r="C233" t="s">
        <v>87</v>
      </c>
      <c r="D233" t="s">
        <v>245</v>
      </c>
      <c r="E233" t="s">
        <v>89</v>
      </c>
      <c r="F233">
        <v>7350</v>
      </c>
      <c r="G233" t="s">
        <v>803</v>
      </c>
      <c r="H233" s="3">
        <v>43293</v>
      </c>
      <c r="I233" t="s">
        <v>344</v>
      </c>
      <c r="J233">
        <v>6000</v>
      </c>
      <c r="K233" s="1"/>
      <c r="M233" s="3">
        <v>43294</v>
      </c>
      <c r="N233" t="s">
        <v>54</v>
      </c>
      <c r="O233" t="s">
        <v>410</v>
      </c>
      <c r="P233" t="s">
        <v>56</v>
      </c>
      <c r="Q233">
        <v>4900</v>
      </c>
      <c r="R233" s="3">
        <v>43318</v>
      </c>
      <c r="S233" t="s">
        <v>54</v>
      </c>
      <c r="T233" t="s">
        <v>410</v>
      </c>
      <c r="U233" t="s">
        <v>60</v>
      </c>
      <c r="V233">
        <v>950</v>
      </c>
      <c r="AG233" t="s">
        <v>804</v>
      </c>
      <c r="AH233" s="3">
        <v>43315</v>
      </c>
      <c r="AI233">
        <v>7350</v>
      </c>
      <c r="AJ233">
        <v>0</v>
      </c>
      <c r="AS233" t="s">
        <v>742</v>
      </c>
      <c r="AT233" s="3">
        <v>43404</v>
      </c>
      <c r="AU233">
        <v>26479</v>
      </c>
      <c r="AV233">
        <v>0</v>
      </c>
      <c r="AW233">
        <v>566</v>
      </c>
      <c r="AX233">
        <v>0</v>
      </c>
    </row>
    <row r="234" spans="1:50" x14ac:dyDescent="0.25">
      <c r="A234" t="s">
        <v>805</v>
      </c>
      <c r="B234" s="3">
        <v>43295</v>
      </c>
      <c r="C234" t="s">
        <v>87</v>
      </c>
      <c r="D234" t="s">
        <v>300</v>
      </c>
      <c r="E234" t="s">
        <v>89</v>
      </c>
      <c r="F234">
        <v>3595</v>
      </c>
      <c r="G234" t="s">
        <v>806</v>
      </c>
      <c r="H234" s="3">
        <v>43295</v>
      </c>
      <c r="I234" t="s">
        <v>514</v>
      </c>
      <c r="J234">
        <v>2600</v>
      </c>
      <c r="K234" s="1"/>
      <c r="M234" s="3">
        <v>43312</v>
      </c>
      <c r="N234" t="s">
        <v>57</v>
      </c>
      <c r="O234" t="s">
        <v>807</v>
      </c>
      <c r="P234" t="s">
        <v>56</v>
      </c>
      <c r="Q234">
        <v>1950</v>
      </c>
      <c r="R234" s="3">
        <v>43349</v>
      </c>
      <c r="S234" t="s">
        <v>57</v>
      </c>
      <c r="U234" t="s">
        <v>60</v>
      </c>
      <c r="V234">
        <v>570</v>
      </c>
      <c r="AG234" t="s">
        <v>783</v>
      </c>
      <c r="AH234" s="3">
        <v>43305</v>
      </c>
      <c r="AI234">
        <v>3595</v>
      </c>
      <c r="AJ234">
        <v>0</v>
      </c>
      <c r="AS234" t="s">
        <v>742</v>
      </c>
      <c r="AT234" s="3">
        <v>43404</v>
      </c>
      <c r="AU234">
        <v>30079</v>
      </c>
      <c r="AV234">
        <v>0</v>
      </c>
      <c r="AW234">
        <v>614</v>
      </c>
      <c r="AX234">
        <v>0</v>
      </c>
    </row>
    <row r="235" spans="1:50" x14ac:dyDescent="0.25">
      <c r="A235" t="s">
        <v>808</v>
      </c>
      <c r="B235" s="3">
        <v>43299</v>
      </c>
      <c r="C235" t="s">
        <v>87</v>
      </c>
      <c r="D235" t="s">
        <v>251</v>
      </c>
      <c r="E235" t="s">
        <v>89</v>
      </c>
      <c r="F235">
        <v>7050</v>
      </c>
      <c r="G235" t="s">
        <v>809</v>
      </c>
      <c r="H235" s="3">
        <v>43299</v>
      </c>
      <c r="I235" t="s">
        <v>344</v>
      </c>
      <c r="J235">
        <v>6000</v>
      </c>
      <c r="K235" s="1"/>
      <c r="M235" s="3">
        <v>43300</v>
      </c>
      <c r="N235" t="s">
        <v>54</v>
      </c>
      <c r="O235" t="s">
        <v>410</v>
      </c>
      <c r="P235" t="s">
        <v>56</v>
      </c>
      <c r="Q235">
        <v>4900</v>
      </c>
      <c r="R235" s="3">
        <v>43329</v>
      </c>
      <c r="S235" t="s">
        <v>54</v>
      </c>
      <c r="T235" t="s">
        <v>538</v>
      </c>
      <c r="U235" t="s">
        <v>60</v>
      </c>
      <c r="V235">
        <v>970</v>
      </c>
      <c r="AG235" t="s">
        <v>804</v>
      </c>
      <c r="AH235" s="3">
        <v>43315</v>
      </c>
      <c r="AI235">
        <v>7050</v>
      </c>
      <c r="AJ235">
        <v>0</v>
      </c>
      <c r="AS235" t="s">
        <v>742</v>
      </c>
      <c r="AT235" s="3">
        <v>43404</v>
      </c>
      <c r="AU235">
        <v>26479</v>
      </c>
      <c r="AV235">
        <v>0</v>
      </c>
      <c r="AW235">
        <v>566</v>
      </c>
      <c r="AX235">
        <v>0</v>
      </c>
    </row>
    <row r="236" spans="1:50" x14ac:dyDescent="0.25">
      <c r="A236" t="s">
        <v>810</v>
      </c>
      <c r="B236" s="3">
        <v>43299</v>
      </c>
      <c r="C236" t="s">
        <v>87</v>
      </c>
      <c r="D236" t="s">
        <v>300</v>
      </c>
      <c r="E236" t="s">
        <v>89</v>
      </c>
      <c r="F236">
        <v>3595</v>
      </c>
      <c r="G236" t="s">
        <v>811</v>
      </c>
      <c r="H236" s="3">
        <v>43299</v>
      </c>
      <c r="I236" t="s">
        <v>514</v>
      </c>
      <c r="J236">
        <v>2600</v>
      </c>
      <c r="K236" s="1"/>
      <c r="M236" s="3">
        <v>43300</v>
      </c>
      <c r="N236" t="s">
        <v>57</v>
      </c>
      <c r="O236" t="s">
        <v>812</v>
      </c>
      <c r="P236" t="s">
        <v>56</v>
      </c>
      <c r="Q236">
        <v>1950</v>
      </c>
      <c r="R236" s="3">
        <v>43349</v>
      </c>
      <c r="S236" t="s">
        <v>57</v>
      </c>
      <c r="U236" t="s">
        <v>60</v>
      </c>
      <c r="V236">
        <v>570</v>
      </c>
      <c r="AG236" t="s">
        <v>804</v>
      </c>
      <c r="AH236" s="3">
        <v>43315</v>
      </c>
      <c r="AI236">
        <v>3595</v>
      </c>
      <c r="AJ236">
        <v>0</v>
      </c>
      <c r="AS236" t="s">
        <v>742</v>
      </c>
      <c r="AT236" s="3">
        <v>43404</v>
      </c>
      <c r="AU236">
        <v>26479</v>
      </c>
      <c r="AV236">
        <v>0</v>
      </c>
      <c r="AW236">
        <v>566</v>
      </c>
      <c r="AX236">
        <v>0</v>
      </c>
    </row>
    <row r="237" spans="1:50" x14ac:dyDescent="0.25">
      <c r="A237" t="s">
        <v>813</v>
      </c>
      <c r="B237" s="3">
        <v>43300</v>
      </c>
      <c r="C237" t="s">
        <v>87</v>
      </c>
      <c r="D237" t="s">
        <v>814</v>
      </c>
      <c r="E237" t="s">
        <v>89</v>
      </c>
      <c r="F237">
        <v>9050</v>
      </c>
      <c r="G237" t="s">
        <v>815</v>
      </c>
      <c r="H237" s="3">
        <v>43300</v>
      </c>
      <c r="I237" t="s">
        <v>344</v>
      </c>
      <c r="J237">
        <v>8000</v>
      </c>
      <c r="K237" s="1"/>
      <c r="M237" s="3">
        <v>43301</v>
      </c>
      <c r="N237" t="s">
        <v>54</v>
      </c>
      <c r="O237" t="s">
        <v>816</v>
      </c>
      <c r="P237" t="s">
        <v>56</v>
      </c>
      <c r="Q237">
        <v>6900</v>
      </c>
      <c r="R237" s="3">
        <v>43343</v>
      </c>
      <c r="S237" t="s">
        <v>54</v>
      </c>
      <c r="T237" t="s">
        <v>538</v>
      </c>
      <c r="U237" t="s">
        <v>60</v>
      </c>
      <c r="V237">
        <v>970</v>
      </c>
      <c r="AG237" t="s">
        <v>817</v>
      </c>
      <c r="AH237" s="3">
        <v>43332</v>
      </c>
      <c r="AI237">
        <v>9050</v>
      </c>
      <c r="AJ237">
        <v>0</v>
      </c>
      <c r="AS237" t="s">
        <v>742</v>
      </c>
      <c r="AT237" s="3">
        <v>43404</v>
      </c>
      <c r="AU237">
        <v>17738</v>
      </c>
      <c r="AV237">
        <v>0</v>
      </c>
      <c r="AW237">
        <v>362</v>
      </c>
      <c r="AX237">
        <v>0</v>
      </c>
    </row>
    <row r="238" spans="1:50" x14ac:dyDescent="0.25">
      <c r="A238" t="s">
        <v>818</v>
      </c>
      <c r="B238" s="3">
        <v>43312</v>
      </c>
      <c r="C238" t="s">
        <v>87</v>
      </c>
      <c r="D238" t="s">
        <v>300</v>
      </c>
      <c r="E238" t="s">
        <v>89</v>
      </c>
      <c r="F238">
        <v>3595</v>
      </c>
      <c r="G238" t="s">
        <v>819</v>
      </c>
      <c r="H238" s="3">
        <v>43312</v>
      </c>
      <c r="I238" t="s">
        <v>514</v>
      </c>
      <c r="J238">
        <v>2600</v>
      </c>
      <c r="K238" s="1"/>
      <c r="M238" s="3">
        <v>43312</v>
      </c>
      <c r="N238" t="s">
        <v>57</v>
      </c>
      <c r="O238" t="s">
        <v>820</v>
      </c>
      <c r="P238" t="s">
        <v>56</v>
      </c>
      <c r="Q238">
        <v>1950</v>
      </c>
      <c r="R238" s="3">
        <v>43349</v>
      </c>
      <c r="S238" t="s">
        <v>57</v>
      </c>
      <c r="U238" t="s">
        <v>60</v>
      </c>
      <c r="V238">
        <v>570</v>
      </c>
      <c r="AG238" t="s">
        <v>821</v>
      </c>
      <c r="AH238" s="3">
        <v>43349</v>
      </c>
      <c r="AI238">
        <v>3595</v>
      </c>
      <c r="AJ238">
        <v>0</v>
      </c>
      <c r="AS238" t="s">
        <v>742</v>
      </c>
      <c r="AT238" s="3">
        <v>43404</v>
      </c>
      <c r="AU238">
        <v>16405</v>
      </c>
      <c r="AV238">
        <v>0</v>
      </c>
      <c r="AW238">
        <v>335</v>
      </c>
      <c r="AX238">
        <v>0</v>
      </c>
    </row>
    <row r="239" spans="1:50" x14ac:dyDescent="0.25">
      <c r="A239" t="s">
        <v>822</v>
      </c>
      <c r="B239" s="3">
        <v>43312</v>
      </c>
      <c r="C239" t="s">
        <v>87</v>
      </c>
      <c r="D239" t="s">
        <v>251</v>
      </c>
      <c r="E239" t="s">
        <v>89</v>
      </c>
      <c r="F239">
        <v>14500</v>
      </c>
      <c r="G239" t="s">
        <v>823</v>
      </c>
      <c r="H239" s="3">
        <v>43312</v>
      </c>
      <c r="I239" t="s">
        <v>824</v>
      </c>
      <c r="J239">
        <v>9000</v>
      </c>
      <c r="K239" s="1"/>
      <c r="M239" s="3">
        <v>43314</v>
      </c>
      <c r="N239" t="s">
        <v>54</v>
      </c>
      <c r="O239" t="s">
        <v>825</v>
      </c>
      <c r="P239" t="s">
        <v>56</v>
      </c>
      <c r="Q239">
        <v>7800</v>
      </c>
      <c r="R239" s="3">
        <v>43367</v>
      </c>
      <c r="S239" t="s">
        <v>54</v>
      </c>
      <c r="T239" t="s">
        <v>826</v>
      </c>
      <c r="U239" t="s">
        <v>60</v>
      </c>
      <c r="V239">
        <v>970</v>
      </c>
      <c r="AG239" t="s">
        <v>741</v>
      </c>
      <c r="AH239" s="3">
        <v>43340</v>
      </c>
      <c r="AI239">
        <v>14500</v>
      </c>
      <c r="AJ239">
        <v>0</v>
      </c>
      <c r="AS239" t="s">
        <v>742</v>
      </c>
      <c r="AT239" s="3">
        <v>43404</v>
      </c>
      <c r="AU239">
        <v>28296</v>
      </c>
      <c r="AV239">
        <v>0</v>
      </c>
      <c r="AW239">
        <v>604</v>
      </c>
      <c r="AX239">
        <v>0</v>
      </c>
    </row>
    <row r="240" spans="1:50" x14ac:dyDescent="0.25">
      <c r="A240" t="s">
        <v>827</v>
      </c>
      <c r="B240" s="3">
        <v>43312</v>
      </c>
      <c r="C240" t="s">
        <v>87</v>
      </c>
      <c r="D240" t="s">
        <v>238</v>
      </c>
      <c r="E240" t="s">
        <v>89</v>
      </c>
      <c r="F240">
        <v>9050</v>
      </c>
      <c r="G240" t="s">
        <v>828</v>
      </c>
      <c r="H240" s="3">
        <v>43312</v>
      </c>
      <c r="I240" t="s">
        <v>514</v>
      </c>
      <c r="J240">
        <v>8500</v>
      </c>
      <c r="K240" s="1"/>
      <c r="M240" s="3">
        <v>43312</v>
      </c>
      <c r="N240" t="s">
        <v>57</v>
      </c>
      <c r="O240" t="s">
        <v>829</v>
      </c>
      <c r="P240" t="s">
        <v>56</v>
      </c>
      <c r="Q240">
        <v>7400</v>
      </c>
      <c r="R240" s="3">
        <v>43413</v>
      </c>
      <c r="S240" t="s">
        <v>57</v>
      </c>
      <c r="U240" t="s">
        <v>60</v>
      </c>
      <c r="V240">
        <v>970</v>
      </c>
      <c r="AG240" t="s">
        <v>804</v>
      </c>
      <c r="AH240" s="3">
        <v>43315</v>
      </c>
      <c r="AI240">
        <v>9050</v>
      </c>
      <c r="AJ240">
        <v>0</v>
      </c>
      <c r="AS240" t="s">
        <v>742</v>
      </c>
      <c r="AT240" s="3">
        <v>43404</v>
      </c>
      <c r="AU240">
        <v>26479</v>
      </c>
      <c r="AV240">
        <v>0</v>
      </c>
      <c r="AW240">
        <v>566</v>
      </c>
      <c r="AX240">
        <v>0</v>
      </c>
    </row>
    <row r="241" spans="1:50" x14ac:dyDescent="0.25">
      <c r="A241" t="s">
        <v>830</v>
      </c>
      <c r="B241" s="3">
        <v>43312</v>
      </c>
      <c r="C241" t="s">
        <v>87</v>
      </c>
      <c r="D241" t="s">
        <v>288</v>
      </c>
      <c r="E241" t="s">
        <v>89</v>
      </c>
      <c r="F241">
        <v>9050</v>
      </c>
      <c r="G241" t="s">
        <v>831</v>
      </c>
      <c r="H241" s="3">
        <v>43312</v>
      </c>
      <c r="I241" t="s">
        <v>344</v>
      </c>
      <c r="J241">
        <v>8000</v>
      </c>
      <c r="K241" s="1"/>
      <c r="M241" s="3">
        <v>43318</v>
      </c>
      <c r="N241" t="s">
        <v>54</v>
      </c>
      <c r="O241" t="s">
        <v>410</v>
      </c>
      <c r="P241" t="s">
        <v>56</v>
      </c>
      <c r="Q241">
        <v>6850</v>
      </c>
      <c r="R241" s="3">
        <v>43343</v>
      </c>
      <c r="S241" t="s">
        <v>54</v>
      </c>
      <c r="T241" t="s">
        <v>538</v>
      </c>
      <c r="U241" t="s">
        <v>60</v>
      </c>
      <c r="V241">
        <v>970</v>
      </c>
      <c r="AG241" t="s">
        <v>817</v>
      </c>
      <c r="AH241" s="3">
        <v>43332</v>
      </c>
      <c r="AI241">
        <v>9050</v>
      </c>
      <c r="AJ241">
        <v>0</v>
      </c>
      <c r="AS241" t="s">
        <v>742</v>
      </c>
      <c r="AT241" s="3">
        <v>43404</v>
      </c>
      <c r="AU241">
        <v>17738</v>
      </c>
      <c r="AV241">
        <v>0</v>
      </c>
      <c r="AW241">
        <v>362</v>
      </c>
      <c r="AX241">
        <v>0</v>
      </c>
    </row>
    <row r="242" spans="1:50" x14ac:dyDescent="0.25">
      <c r="A242" t="s">
        <v>832</v>
      </c>
      <c r="B242" s="3">
        <v>43314</v>
      </c>
      <c r="C242" t="s">
        <v>87</v>
      </c>
      <c r="D242" t="s">
        <v>256</v>
      </c>
      <c r="E242" t="s">
        <v>89</v>
      </c>
      <c r="F242">
        <v>5795</v>
      </c>
      <c r="G242" t="s">
        <v>833</v>
      </c>
      <c r="H242" s="3">
        <v>43314</v>
      </c>
      <c r="I242" t="s">
        <v>514</v>
      </c>
      <c r="J242">
        <v>5000</v>
      </c>
      <c r="K242" s="1"/>
      <c r="M242" s="3">
        <v>43322</v>
      </c>
      <c r="N242" t="s">
        <v>57</v>
      </c>
      <c r="O242" t="s">
        <v>834</v>
      </c>
      <c r="P242" t="s">
        <v>56</v>
      </c>
      <c r="Q242">
        <v>3900</v>
      </c>
      <c r="R242" s="3">
        <v>43369</v>
      </c>
      <c r="S242" t="s">
        <v>57</v>
      </c>
      <c r="U242" t="s">
        <v>60</v>
      </c>
      <c r="V242">
        <v>970</v>
      </c>
      <c r="AG242" t="s">
        <v>835</v>
      </c>
      <c r="AH242" s="3">
        <v>43364</v>
      </c>
      <c r="AI242">
        <v>5795</v>
      </c>
      <c r="AJ242">
        <v>0</v>
      </c>
      <c r="AS242" t="s">
        <v>836</v>
      </c>
      <c r="AT242" s="3">
        <v>43404</v>
      </c>
      <c r="AU242">
        <v>46348</v>
      </c>
      <c r="AV242">
        <v>0</v>
      </c>
      <c r="AW242">
        <v>945</v>
      </c>
      <c r="AX242">
        <v>0</v>
      </c>
    </row>
    <row r="243" spans="1:50" x14ac:dyDescent="0.25">
      <c r="A243" t="s">
        <v>837</v>
      </c>
      <c r="B243" s="3">
        <v>43319</v>
      </c>
      <c r="C243" t="s">
        <v>87</v>
      </c>
      <c r="D243" t="s">
        <v>241</v>
      </c>
      <c r="E243" t="s">
        <v>89</v>
      </c>
      <c r="F243">
        <v>7050</v>
      </c>
      <c r="G243" t="s">
        <v>838</v>
      </c>
      <c r="H243" s="3">
        <v>43319</v>
      </c>
      <c r="I243" t="s">
        <v>344</v>
      </c>
      <c r="J243">
        <v>6000</v>
      </c>
      <c r="K243" s="1"/>
      <c r="M243" s="3">
        <v>43321</v>
      </c>
      <c r="N243" t="s">
        <v>54</v>
      </c>
      <c r="O243" t="s">
        <v>410</v>
      </c>
      <c r="P243" t="s">
        <v>56</v>
      </c>
      <c r="Q243">
        <v>4900</v>
      </c>
      <c r="R243" s="3">
        <v>43343</v>
      </c>
      <c r="S243" t="s">
        <v>54</v>
      </c>
      <c r="T243" t="s">
        <v>538</v>
      </c>
      <c r="U243" t="s">
        <v>60</v>
      </c>
      <c r="V243">
        <v>970</v>
      </c>
      <c r="AG243" t="s">
        <v>741</v>
      </c>
      <c r="AH243" s="3">
        <v>43340</v>
      </c>
      <c r="AI243">
        <v>7050</v>
      </c>
      <c r="AJ243">
        <v>0</v>
      </c>
      <c r="AS243" t="s">
        <v>742</v>
      </c>
      <c r="AT243" s="3">
        <v>43404</v>
      </c>
      <c r="AU243">
        <v>28296</v>
      </c>
      <c r="AV243">
        <v>0</v>
      </c>
      <c r="AW243">
        <v>604</v>
      </c>
      <c r="AX243">
        <v>0</v>
      </c>
    </row>
    <row r="244" spans="1:50" x14ac:dyDescent="0.25">
      <c r="A244" t="s">
        <v>839</v>
      </c>
      <c r="B244" s="3">
        <v>43321</v>
      </c>
      <c r="C244" t="s">
        <v>87</v>
      </c>
      <c r="D244" t="s">
        <v>245</v>
      </c>
      <c r="E244" t="s">
        <v>89</v>
      </c>
      <c r="F244">
        <v>7350</v>
      </c>
      <c r="G244" t="s">
        <v>840</v>
      </c>
      <c r="H244" s="3">
        <v>43321</v>
      </c>
      <c r="I244" t="s">
        <v>514</v>
      </c>
      <c r="J244">
        <v>6000</v>
      </c>
      <c r="K244" s="1"/>
      <c r="M244" s="3">
        <v>43321</v>
      </c>
      <c r="N244" t="s">
        <v>57</v>
      </c>
      <c r="O244" t="s">
        <v>841</v>
      </c>
      <c r="P244" t="s">
        <v>56</v>
      </c>
      <c r="Q244">
        <v>4900</v>
      </c>
      <c r="R244" s="3">
        <v>43369</v>
      </c>
      <c r="S244" t="s">
        <v>57</v>
      </c>
      <c r="U244" t="s">
        <v>60</v>
      </c>
      <c r="V244">
        <v>970</v>
      </c>
      <c r="AG244" t="s">
        <v>842</v>
      </c>
      <c r="AH244" s="3">
        <v>43354</v>
      </c>
      <c r="AI244">
        <v>7350</v>
      </c>
      <c r="AJ244">
        <v>0</v>
      </c>
      <c r="AS244" t="s">
        <v>836</v>
      </c>
      <c r="AT244" s="3">
        <v>43404</v>
      </c>
      <c r="AU244">
        <v>52028</v>
      </c>
      <c r="AV244">
        <v>0</v>
      </c>
      <c r="AW244">
        <v>1062</v>
      </c>
      <c r="AX244">
        <v>0</v>
      </c>
    </row>
    <row r="245" spans="1:50" x14ac:dyDescent="0.25">
      <c r="A245" t="s">
        <v>843</v>
      </c>
      <c r="B245" s="3">
        <v>43321</v>
      </c>
      <c r="C245" t="s">
        <v>87</v>
      </c>
      <c r="D245" t="s">
        <v>763</v>
      </c>
      <c r="E245" t="s">
        <v>89</v>
      </c>
      <c r="F245">
        <v>1000</v>
      </c>
      <c r="K245" s="1"/>
      <c r="AG245" t="s">
        <v>844</v>
      </c>
      <c r="AH245" s="3">
        <v>43358</v>
      </c>
      <c r="AI245">
        <v>1000</v>
      </c>
      <c r="AJ245">
        <v>0</v>
      </c>
      <c r="AS245" t="s">
        <v>836</v>
      </c>
      <c r="AT245" s="3">
        <v>43404</v>
      </c>
      <c r="AU245">
        <v>26165</v>
      </c>
      <c r="AV245">
        <v>0</v>
      </c>
      <c r="AW245">
        <v>535</v>
      </c>
      <c r="AX245">
        <v>0</v>
      </c>
    </row>
    <row r="246" spans="1:50" x14ac:dyDescent="0.25">
      <c r="A246" t="s">
        <v>845</v>
      </c>
      <c r="B246" s="3">
        <v>43321</v>
      </c>
      <c r="C246" t="s">
        <v>87</v>
      </c>
      <c r="D246" t="s">
        <v>378</v>
      </c>
      <c r="E246" t="s">
        <v>89</v>
      </c>
      <c r="F246">
        <v>7650</v>
      </c>
      <c r="G246" t="s">
        <v>846</v>
      </c>
      <c r="H246" s="3">
        <v>43321</v>
      </c>
      <c r="I246" t="s">
        <v>514</v>
      </c>
      <c r="J246">
        <v>6600</v>
      </c>
      <c r="K246" s="1"/>
      <c r="M246" s="3">
        <v>43372</v>
      </c>
      <c r="N246" t="s">
        <v>54</v>
      </c>
      <c r="O246" t="s">
        <v>847</v>
      </c>
      <c r="P246" t="s">
        <v>60</v>
      </c>
      <c r="Q246">
        <v>6500</v>
      </c>
      <c r="AG246" t="s">
        <v>844</v>
      </c>
      <c r="AH246" s="3">
        <v>43358</v>
      </c>
      <c r="AI246">
        <v>7650</v>
      </c>
      <c r="AJ246">
        <v>0</v>
      </c>
      <c r="AS246" t="s">
        <v>836</v>
      </c>
      <c r="AT246" s="3">
        <v>43404</v>
      </c>
      <c r="AU246">
        <v>26165</v>
      </c>
      <c r="AV246">
        <v>0</v>
      </c>
      <c r="AW246">
        <v>535</v>
      </c>
      <c r="AX246">
        <v>0</v>
      </c>
    </row>
    <row r="247" spans="1:50" x14ac:dyDescent="0.25">
      <c r="A247" t="s">
        <v>848</v>
      </c>
      <c r="B247" s="3">
        <v>43321</v>
      </c>
      <c r="C247" t="s">
        <v>87</v>
      </c>
      <c r="D247" t="s">
        <v>206</v>
      </c>
      <c r="E247" t="s">
        <v>89</v>
      </c>
      <c r="F247">
        <v>11000</v>
      </c>
      <c r="G247" t="s">
        <v>849</v>
      </c>
      <c r="H247" s="3">
        <v>43321</v>
      </c>
      <c r="I247" t="s">
        <v>514</v>
      </c>
      <c r="J247">
        <v>10500</v>
      </c>
      <c r="K247" s="1"/>
      <c r="M247" s="3">
        <v>43321</v>
      </c>
      <c r="N247" t="s">
        <v>57</v>
      </c>
      <c r="O247" t="s">
        <v>850</v>
      </c>
      <c r="P247" t="s">
        <v>56</v>
      </c>
      <c r="Q247">
        <v>9400</v>
      </c>
      <c r="R247" s="3">
        <v>43369</v>
      </c>
      <c r="S247" t="s">
        <v>57</v>
      </c>
      <c r="U247" t="s">
        <v>60</v>
      </c>
      <c r="V247">
        <v>970</v>
      </c>
      <c r="AG247" t="s">
        <v>842</v>
      </c>
      <c r="AH247" s="3">
        <v>43354</v>
      </c>
      <c r="AI247">
        <v>11000</v>
      </c>
      <c r="AJ247">
        <v>0</v>
      </c>
      <c r="AS247" t="s">
        <v>836</v>
      </c>
      <c r="AT247" s="3">
        <v>43404</v>
      </c>
      <c r="AU247">
        <v>52028</v>
      </c>
      <c r="AV247">
        <v>0</v>
      </c>
      <c r="AW247">
        <v>1062</v>
      </c>
      <c r="AX247">
        <v>0</v>
      </c>
    </row>
    <row r="248" spans="1:50" x14ac:dyDescent="0.25">
      <c r="A248" t="s">
        <v>851</v>
      </c>
      <c r="B248" s="3">
        <v>43322</v>
      </c>
      <c r="C248" t="s">
        <v>87</v>
      </c>
      <c r="D248" t="s">
        <v>718</v>
      </c>
      <c r="E248" t="s">
        <v>89</v>
      </c>
      <c r="F248">
        <v>7350</v>
      </c>
      <c r="G248" t="s">
        <v>852</v>
      </c>
      <c r="H248" s="3">
        <v>43322</v>
      </c>
      <c r="I248" t="s">
        <v>344</v>
      </c>
      <c r="J248">
        <v>6000</v>
      </c>
      <c r="K248" s="1"/>
      <c r="M248" s="3">
        <v>43343</v>
      </c>
      <c r="N248" t="s">
        <v>54</v>
      </c>
      <c r="O248" t="s">
        <v>538</v>
      </c>
      <c r="P248" t="s">
        <v>60</v>
      </c>
      <c r="Q248">
        <v>970</v>
      </c>
      <c r="R248" s="3">
        <v>43350</v>
      </c>
      <c r="S248" t="s">
        <v>54</v>
      </c>
      <c r="T248" t="s">
        <v>853</v>
      </c>
      <c r="U248" t="s">
        <v>56</v>
      </c>
      <c r="V248">
        <v>4900</v>
      </c>
      <c r="AG248" t="s">
        <v>821</v>
      </c>
      <c r="AH248" s="3">
        <v>43349</v>
      </c>
      <c r="AI248">
        <v>7350</v>
      </c>
      <c r="AJ248">
        <v>0</v>
      </c>
      <c r="AS248" t="s">
        <v>742</v>
      </c>
      <c r="AT248" s="3">
        <v>43404</v>
      </c>
      <c r="AU248">
        <v>16405</v>
      </c>
      <c r="AV248">
        <v>0</v>
      </c>
      <c r="AW248">
        <v>335</v>
      </c>
      <c r="AX248">
        <v>0</v>
      </c>
    </row>
    <row r="249" spans="1:50" x14ac:dyDescent="0.25">
      <c r="A249" t="s">
        <v>854</v>
      </c>
      <c r="B249" s="3">
        <v>43326</v>
      </c>
      <c r="C249" t="s">
        <v>87</v>
      </c>
      <c r="D249" t="s">
        <v>142</v>
      </c>
      <c r="E249" t="s">
        <v>89</v>
      </c>
      <c r="F249">
        <v>7050</v>
      </c>
      <c r="G249" t="s">
        <v>855</v>
      </c>
      <c r="H249" s="3">
        <v>43326</v>
      </c>
      <c r="I249" t="s">
        <v>514</v>
      </c>
      <c r="J249">
        <v>6200</v>
      </c>
      <c r="K249" s="1"/>
      <c r="M249" s="3">
        <v>43326</v>
      </c>
      <c r="N249" t="s">
        <v>57</v>
      </c>
      <c r="O249" t="s">
        <v>467</v>
      </c>
      <c r="P249" t="s">
        <v>56</v>
      </c>
      <c r="Q249">
        <v>5100</v>
      </c>
      <c r="R249" s="3">
        <v>43369</v>
      </c>
      <c r="S249" t="s">
        <v>57</v>
      </c>
      <c r="U249" t="s">
        <v>60</v>
      </c>
      <c r="V249">
        <v>970</v>
      </c>
      <c r="AG249" t="s">
        <v>844</v>
      </c>
      <c r="AH249" s="3">
        <v>43358</v>
      </c>
      <c r="AI249">
        <v>7050</v>
      </c>
      <c r="AJ249">
        <v>0</v>
      </c>
      <c r="AS249" t="s">
        <v>836</v>
      </c>
      <c r="AT249" s="3">
        <v>43404</v>
      </c>
      <c r="AU249">
        <v>26165</v>
      </c>
      <c r="AV249">
        <v>0</v>
      </c>
      <c r="AW249">
        <v>535</v>
      </c>
      <c r="AX249">
        <v>0</v>
      </c>
    </row>
    <row r="250" spans="1:50" x14ac:dyDescent="0.25">
      <c r="A250" t="s">
        <v>856</v>
      </c>
      <c r="B250" s="3">
        <v>43326</v>
      </c>
      <c r="C250" t="s">
        <v>87</v>
      </c>
      <c r="D250" t="s">
        <v>142</v>
      </c>
      <c r="E250" t="s">
        <v>89</v>
      </c>
      <c r="F250">
        <v>5795</v>
      </c>
      <c r="G250" t="s">
        <v>857</v>
      </c>
      <c r="H250" s="3">
        <v>43326</v>
      </c>
      <c r="I250" t="s">
        <v>514</v>
      </c>
      <c r="J250">
        <v>5100</v>
      </c>
      <c r="K250" s="1"/>
      <c r="M250" s="3">
        <v>43326</v>
      </c>
      <c r="N250" t="s">
        <v>57</v>
      </c>
      <c r="O250" t="s">
        <v>858</v>
      </c>
      <c r="P250" t="s">
        <v>56</v>
      </c>
      <c r="Q250">
        <v>4000</v>
      </c>
      <c r="R250" s="3">
        <v>43349</v>
      </c>
      <c r="S250" t="s">
        <v>57</v>
      </c>
      <c r="U250" t="s">
        <v>60</v>
      </c>
      <c r="V250">
        <v>970</v>
      </c>
      <c r="AG250" t="s">
        <v>821</v>
      </c>
      <c r="AH250" s="3">
        <v>43349</v>
      </c>
      <c r="AI250">
        <v>5795</v>
      </c>
      <c r="AJ250">
        <v>0</v>
      </c>
      <c r="AS250" t="s">
        <v>742</v>
      </c>
      <c r="AT250" s="3">
        <v>43404</v>
      </c>
      <c r="AU250">
        <v>16405</v>
      </c>
      <c r="AV250">
        <v>0</v>
      </c>
      <c r="AW250">
        <v>335</v>
      </c>
      <c r="AX250">
        <v>0</v>
      </c>
    </row>
    <row r="251" spans="1:50" x14ac:dyDescent="0.25">
      <c r="A251" t="s">
        <v>859</v>
      </c>
      <c r="B251" s="3">
        <v>43328</v>
      </c>
      <c r="C251" t="s">
        <v>87</v>
      </c>
      <c r="D251" t="s">
        <v>245</v>
      </c>
      <c r="E251" t="s">
        <v>89</v>
      </c>
      <c r="F251">
        <v>7350</v>
      </c>
      <c r="G251" t="s">
        <v>860</v>
      </c>
      <c r="H251" s="3">
        <v>43328</v>
      </c>
      <c r="I251" t="s">
        <v>344</v>
      </c>
      <c r="J251">
        <v>6000</v>
      </c>
      <c r="K251" s="1"/>
      <c r="M251" s="3">
        <v>43329</v>
      </c>
      <c r="N251" t="s">
        <v>54</v>
      </c>
      <c r="O251" t="s">
        <v>538</v>
      </c>
      <c r="P251" t="s">
        <v>56</v>
      </c>
      <c r="Q251">
        <v>4900</v>
      </c>
      <c r="R251" s="3">
        <v>43353</v>
      </c>
      <c r="S251" t="s">
        <v>54</v>
      </c>
      <c r="T251" t="s">
        <v>410</v>
      </c>
      <c r="U251" t="s">
        <v>60</v>
      </c>
      <c r="V251">
        <v>970</v>
      </c>
      <c r="AG251" t="s">
        <v>861</v>
      </c>
      <c r="AH251" s="3">
        <v>43351</v>
      </c>
      <c r="AI251">
        <v>7350</v>
      </c>
      <c r="AJ251">
        <v>0</v>
      </c>
      <c r="AS251" t="s">
        <v>836</v>
      </c>
      <c r="AT251" s="3">
        <v>43404</v>
      </c>
      <c r="AU251">
        <v>22879</v>
      </c>
      <c r="AV251">
        <v>0</v>
      </c>
      <c r="AW251">
        <v>467</v>
      </c>
      <c r="AX251">
        <v>0</v>
      </c>
    </row>
    <row r="252" spans="1:50" x14ac:dyDescent="0.25">
      <c r="A252" t="s">
        <v>862</v>
      </c>
      <c r="B252" s="3">
        <v>43333</v>
      </c>
      <c r="C252" t="s">
        <v>87</v>
      </c>
      <c r="D252" t="s">
        <v>251</v>
      </c>
      <c r="E252" t="s">
        <v>89</v>
      </c>
      <c r="F252">
        <v>7050</v>
      </c>
      <c r="G252" t="s">
        <v>863</v>
      </c>
      <c r="H252" s="3">
        <v>43333</v>
      </c>
      <c r="I252" t="s">
        <v>344</v>
      </c>
      <c r="J252">
        <v>6000</v>
      </c>
      <c r="K252" s="1"/>
      <c r="M252" s="3">
        <v>43335</v>
      </c>
      <c r="N252" t="s">
        <v>54</v>
      </c>
      <c r="O252" t="s">
        <v>538</v>
      </c>
      <c r="P252" t="s">
        <v>56</v>
      </c>
      <c r="Q252">
        <v>4900</v>
      </c>
      <c r="R252" s="3">
        <v>43383</v>
      </c>
      <c r="S252" t="s">
        <v>54</v>
      </c>
      <c r="T252" t="s">
        <v>410</v>
      </c>
      <c r="U252" t="s">
        <v>60</v>
      </c>
      <c r="V252">
        <v>970</v>
      </c>
      <c r="AG252" t="s">
        <v>842</v>
      </c>
      <c r="AH252" s="3">
        <v>43354</v>
      </c>
      <c r="AI252">
        <v>7050</v>
      </c>
      <c r="AJ252">
        <v>0</v>
      </c>
      <c r="AS252" t="s">
        <v>836</v>
      </c>
      <c r="AT252" s="3">
        <v>43404</v>
      </c>
      <c r="AU252">
        <v>52028</v>
      </c>
      <c r="AV252">
        <v>0</v>
      </c>
      <c r="AW252">
        <v>1062</v>
      </c>
      <c r="AX252">
        <v>0</v>
      </c>
    </row>
    <row r="253" spans="1:50" x14ac:dyDescent="0.25">
      <c r="A253" t="s">
        <v>864</v>
      </c>
      <c r="B253" s="3">
        <v>43333</v>
      </c>
      <c r="C253" t="s">
        <v>87</v>
      </c>
      <c r="D253" t="s">
        <v>152</v>
      </c>
      <c r="E253" t="s">
        <v>89</v>
      </c>
      <c r="F253">
        <v>5795</v>
      </c>
      <c r="G253" t="s">
        <v>865</v>
      </c>
      <c r="H253" s="3">
        <v>43333</v>
      </c>
      <c r="I253" t="s">
        <v>514</v>
      </c>
      <c r="J253">
        <v>5100</v>
      </c>
      <c r="K253" s="1"/>
      <c r="M253" s="3">
        <v>43344</v>
      </c>
      <c r="N253" t="s">
        <v>57</v>
      </c>
      <c r="O253" t="s">
        <v>459</v>
      </c>
      <c r="P253" t="s">
        <v>56</v>
      </c>
      <c r="Q253">
        <v>4000</v>
      </c>
      <c r="R253" s="3">
        <v>43369</v>
      </c>
      <c r="S253" t="s">
        <v>57</v>
      </c>
      <c r="U253" t="s">
        <v>60</v>
      </c>
      <c r="V253">
        <v>970</v>
      </c>
      <c r="AG253" t="s">
        <v>842</v>
      </c>
      <c r="AH253" s="3">
        <v>43354</v>
      </c>
      <c r="AI253">
        <v>5795</v>
      </c>
      <c r="AJ253">
        <v>0</v>
      </c>
      <c r="AS253" t="s">
        <v>836</v>
      </c>
      <c r="AT253" s="3">
        <v>43404</v>
      </c>
      <c r="AU253">
        <v>52028</v>
      </c>
      <c r="AV253">
        <v>0</v>
      </c>
      <c r="AW253">
        <v>1062</v>
      </c>
      <c r="AX253">
        <v>0</v>
      </c>
    </row>
    <row r="254" spans="1:50" x14ac:dyDescent="0.25">
      <c r="A254" t="s">
        <v>866</v>
      </c>
      <c r="B254" s="3">
        <v>43340</v>
      </c>
      <c r="C254" t="s">
        <v>87</v>
      </c>
      <c r="D254" t="s">
        <v>241</v>
      </c>
      <c r="E254" t="s">
        <v>89</v>
      </c>
      <c r="F254">
        <v>6998</v>
      </c>
      <c r="G254" t="s">
        <v>867</v>
      </c>
      <c r="H254" s="3">
        <v>43340</v>
      </c>
      <c r="I254" t="s">
        <v>344</v>
      </c>
      <c r="J254">
        <v>6000</v>
      </c>
      <c r="K254" s="1"/>
      <c r="M254" s="3">
        <v>43343</v>
      </c>
      <c r="N254" t="s">
        <v>54</v>
      </c>
      <c r="O254" t="s">
        <v>579</v>
      </c>
      <c r="P254" t="s">
        <v>56</v>
      </c>
      <c r="Q254">
        <v>4900</v>
      </c>
      <c r="R254" s="3">
        <v>43353</v>
      </c>
      <c r="S254" t="s">
        <v>54</v>
      </c>
      <c r="T254" t="s">
        <v>410</v>
      </c>
      <c r="U254" t="s">
        <v>60</v>
      </c>
      <c r="V254">
        <v>970</v>
      </c>
      <c r="AG254" t="s">
        <v>861</v>
      </c>
      <c r="AH254" s="3">
        <v>43351</v>
      </c>
      <c r="AI254">
        <v>6998</v>
      </c>
      <c r="AJ254">
        <v>0</v>
      </c>
      <c r="AS254" t="s">
        <v>836</v>
      </c>
      <c r="AT254" s="3">
        <v>43404</v>
      </c>
      <c r="AU254">
        <v>22879</v>
      </c>
      <c r="AV254">
        <v>0</v>
      </c>
      <c r="AW254">
        <v>467</v>
      </c>
      <c r="AX254">
        <v>0</v>
      </c>
    </row>
    <row r="255" spans="1:50" x14ac:dyDescent="0.25">
      <c r="A255" t="s">
        <v>868</v>
      </c>
      <c r="B255" s="3">
        <v>43342</v>
      </c>
      <c r="C255" t="s">
        <v>87</v>
      </c>
      <c r="D255" t="s">
        <v>251</v>
      </c>
      <c r="E255" t="s">
        <v>89</v>
      </c>
      <c r="F255">
        <v>8998</v>
      </c>
      <c r="G255" t="s">
        <v>869</v>
      </c>
      <c r="H255" s="3">
        <v>43342</v>
      </c>
      <c r="I255" t="s">
        <v>344</v>
      </c>
      <c r="J255">
        <v>7000</v>
      </c>
      <c r="K255" s="1"/>
      <c r="M255" s="3">
        <v>43343</v>
      </c>
      <c r="N255" t="s">
        <v>54</v>
      </c>
      <c r="O255" t="s">
        <v>579</v>
      </c>
      <c r="P255" t="s">
        <v>56</v>
      </c>
      <c r="Q255">
        <v>5900</v>
      </c>
      <c r="R255" s="3">
        <v>43353</v>
      </c>
      <c r="S255" t="s">
        <v>54</v>
      </c>
      <c r="T255" t="s">
        <v>410</v>
      </c>
      <c r="U255" t="s">
        <v>60</v>
      </c>
      <c r="V255">
        <v>970</v>
      </c>
      <c r="AG255" t="s">
        <v>861</v>
      </c>
      <c r="AH255" s="3">
        <v>43351</v>
      </c>
      <c r="AI255">
        <v>8998</v>
      </c>
      <c r="AJ255">
        <v>0</v>
      </c>
      <c r="AS255" t="s">
        <v>836</v>
      </c>
      <c r="AT255" s="3">
        <v>43404</v>
      </c>
      <c r="AU255">
        <v>22879</v>
      </c>
      <c r="AV255">
        <v>0</v>
      </c>
      <c r="AW255">
        <v>467</v>
      </c>
      <c r="AX255">
        <v>0</v>
      </c>
    </row>
    <row r="256" spans="1:50" x14ac:dyDescent="0.25">
      <c r="A256" t="s">
        <v>870</v>
      </c>
      <c r="B256" s="3">
        <v>43342</v>
      </c>
      <c r="C256" t="s">
        <v>87</v>
      </c>
      <c r="D256" t="s">
        <v>206</v>
      </c>
      <c r="E256" t="s">
        <v>89</v>
      </c>
      <c r="F256">
        <v>11000</v>
      </c>
      <c r="G256" t="s">
        <v>871</v>
      </c>
      <c r="H256" s="3">
        <v>43342</v>
      </c>
      <c r="I256" t="s">
        <v>344</v>
      </c>
      <c r="J256">
        <v>14000</v>
      </c>
      <c r="K256" s="1"/>
      <c r="M256" s="3">
        <v>43343</v>
      </c>
      <c r="N256" t="s">
        <v>54</v>
      </c>
      <c r="O256" t="s">
        <v>579</v>
      </c>
      <c r="P256" t="s">
        <v>56</v>
      </c>
      <c r="Q256">
        <v>12750</v>
      </c>
      <c r="R256" s="3">
        <v>43383</v>
      </c>
      <c r="S256" t="s">
        <v>54</v>
      </c>
      <c r="T256" t="s">
        <v>410</v>
      </c>
      <c r="U256" t="s">
        <v>60</v>
      </c>
      <c r="V256">
        <v>970</v>
      </c>
      <c r="AG256" t="s">
        <v>844</v>
      </c>
      <c r="AH256" s="3">
        <v>43358</v>
      </c>
      <c r="AI256">
        <v>11000</v>
      </c>
      <c r="AJ256">
        <v>0</v>
      </c>
      <c r="AS256" t="s">
        <v>836</v>
      </c>
      <c r="AT256" s="3">
        <v>43404</v>
      </c>
      <c r="AU256">
        <v>26165</v>
      </c>
      <c r="AV256">
        <v>0</v>
      </c>
      <c r="AW256">
        <v>535</v>
      </c>
      <c r="AX256">
        <v>0</v>
      </c>
    </row>
    <row r="257" spans="1:50" x14ac:dyDescent="0.25">
      <c r="A257" t="s">
        <v>872</v>
      </c>
      <c r="B257" s="3">
        <v>43342</v>
      </c>
      <c r="C257" t="s">
        <v>87</v>
      </c>
      <c r="D257" t="s">
        <v>238</v>
      </c>
      <c r="E257" t="s">
        <v>89</v>
      </c>
      <c r="F257">
        <v>9050</v>
      </c>
      <c r="K257" s="1"/>
      <c r="AG257" t="s">
        <v>842</v>
      </c>
      <c r="AH257" s="3">
        <v>43354</v>
      </c>
      <c r="AI257">
        <v>9050</v>
      </c>
      <c r="AJ257">
        <v>0</v>
      </c>
      <c r="AS257" t="s">
        <v>836</v>
      </c>
      <c r="AT257" s="3">
        <v>43404</v>
      </c>
      <c r="AU257">
        <v>52028</v>
      </c>
      <c r="AV257">
        <v>0</v>
      </c>
      <c r="AW257">
        <v>1062</v>
      </c>
      <c r="AX257">
        <v>0</v>
      </c>
    </row>
    <row r="258" spans="1:50" x14ac:dyDescent="0.25">
      <c r="A258" t="s">
        <v>873</v>
      </c>
      <c r="B258" s="3">
        <v>43342</v>
      </c>
      <c r="C258" t="s">
        <v>87</v>
      </c>
      <c r="D258" t="s">
        <v>152</v>
      </c>
      <c r="E258" t="s">
        <v>89</v>
      </c>
      <c r="F258">
        <v>5795</v>
      </c>
      <c r="G258" t="s">
        <v>874</v>
      </c>
      <c r="H258" s="3">
        <v>43342</v>
      </c>
      <c r="I258" t="s">
        <v>514</v>
      </c>
      <c r="J258">
        <v>5200</v>
      </c>
      <c r="K258" s="1"/>
      <c r="M258" s="3">
        <v>43363</v>
      </c>
      <c r="N258" t="s">
        <v>57</v>
      </c>
      <c r="O258" t="s">
        <v>875</v>
      </c>
      <c r="P258" t="s">
        <v>56</v>
      </c>
      <c r="Q258">
        <v>4100</v>
      </c>
      <c r="R258" s="3">
        <v>43369</v>
      </c>
      <c r="S258" t="s">
        <v>57</v>
      </c>
      <c r="U258" t="s">
        <v>60</v>
      </c>
      <c r="V258">
        <v>970</v>
      </c>
      <c r="AG258" t="s">
        <v>842</v>
      </c>
      <c r="AH258" s="3">
        <v>43354</v>
      </c>
      <c r="AI258">
        <v>5795</v>
      </c>
      <c r="AJ258">
        <v>0</v>
      </c>
      <c r="AS258" t="s">
        <v>836</v>
      </c>
      <c r="AT258" s="3">
        <v>43404</v>
      </c>
      <c r="AU258">
        <v>52028</v>
      </c>
      <c r="AV258">
        <v>0</v>
      </c>
      <c r="AW258">
        <v>1062</v>
      </c>
      <c r="AX258">
        <v>0</v>
      </c>
    </row>
    <row r="259" spans="1:50" x14ac:dyDescent="0.25">
      <c r="A259" t="s">
        <v>876</v>
      </c>
      <c r="B259" s="3">
        <v>43343</v>
      </c>
      <c r="C259" t="s">
        <v>87</v>
      </c>
      <c r="D259" t="s">
        <v>251</v>
      </c>
      <c r="E259" t="s">
        <v>89</v>
      </c>
      <c r="F259">
        <v>7050</v>
      </c>
      <c r="G259" t="s">
        <v>877</v>
      </c>
      <c r="H259" s="3">
        <v>43343</v>
      </c>
      <c r="I259" t="s">
        <v>344</v>
      </c>
      <c r="J259">
        <v>6000</v>
      </c>
      <c r="K259" s="1"/>
      <c r="M259" s="3">
        <v>43344</v>
      </c>
      <c r="N259" t="s">
        <v>54</v>
      </c>
      <c r="O259" t="s">
        <v>494</v>
      </c>
      <c r="P259" t="s">
        <v>56</v>
      </c>
      <c r="Q259">
        <v>4900</v>
      </c>
      <c r="R259" s="3">
        <v>43383</v>
      </c>
      <c r="S259" t="s">
        <v>54</v>
      </c>
      <c r="T259" t="s">
        <v>410</v>
      </c>
      <c r="U259" t="s">
        <v>60</v>
      </c>
      <c r="V259">
        <v>970</v>
      </c>
      <c r="AG259" t="s">
        <v>878</v>
      </c>
      <c r="AH259" s="3">
        <v>43382</v>
      </c>
      <c r="AI259">
        <v>7050</v>
      </c>
      <c r="AJ259">
        <v>0</v>
      </c>
      <c r="AS259" t="s">
        <v>879</v>
      </c>
      <c r="AT259" s="3">
        <v>43539</v>
      </c>
      <c r="AU259">
        <v>36697</v>
      </c>
      <c r="AV259">
        <v>0</v>
      </c>
      <c r="AW259">
        <v>749</v>
      </c>
      <c r="AX259">
        <v>0</v>
      </c>
    </row>
    <row r="260" spans="1:50" x14ac:dyDescent="0.25">
      <c r="A260" t="s">
        <v>880</v>
      </c>
      <c r="B260" s="3">
        <v>43343</v>
      </c>
      <c r="C260" t="s">
        <v>87</v>
      </c>
      <c r="D260" t="s">
        <v>241</v>
      </c>
      <c r="E260" t="s">
        <v>89</v>
      </c>
      <c r="F260">
        <v>6998</v>
      </c>
      <c r="G260" t="s">
        <v>881</v>
      </c>
      <c r="H260" s="3">
        <v>43343</v>
      </c>
      <c r="I260" t="s">
        <v>344</v>
      </c>
      <c r="J260">
        <v>6000</v>
      </c>
      <c r="K260" s="1"/>
      <c r="M260" s="3">
        <v>43344</v>
      </c>
      <c r="N260" t="s">
        <v>54</v>
      </c>
      <c r="O260" t="s">
        <v>494</v>
      </c>
      <c r="P260" t="s">
        <v>56</v>
      </c>
      <c r="Q260">
        <v>4900</v>
      </c>
      <c r="R260" s="3">
        <v>43383</v>
      </c>
      <c r="S260" t="s">
        <v>54</v>
      </c>
      <c r="T260" t="s">
        <v>410</v>
      </c>
      <c r="U260" t="s">
        <v>60</v>
      </c>
      <c r="V260">
        <v>970</v>
      </c>
      <c r="AG260" t="s">
        <v>878</v>
      </c>
      <c r="AH260" s="3">
        <v>43382</v>
      </c>
      <c r="AI260">
        <v>6998</v>
      </c>
      <c r="AJ260">
        <v>0</v>
      </c>
      <c r="AS260" t="s">
        <v>879</v>
      </c>
      <c r="AT260" s="3">
        <v>43539</v>
      </c>
      <c r="AU260">
        <v>36697</v>
      </c>
      <c r="AV260">
        <v>0</v>
      </c>
      <c r="AW260">
        <v>749</v>
      </c>
      <c r="AX260">
        <v>0</v>
      </c>
    </row>
    <row r="261" spans="1:50" x14ac:dyDescent="0.25">
      <c r="A261" t="s">
        <v>882</v>
      </c>
      <c r="B261" s="3">
        <v>43344</v>
      </c>
      <c r="C261" t="s">
        <v>87</v>
      </c>
      <c r="D261" t="s">
        <v>814</v>
      </c>
      <c r="E261" t="s">
        <v>89</v>
      </c>
      <c r="F261">
        <v>9050</v>
      </c>
      <c r="G261" t="s">
        <v>883</v>
      </c>
      <c r="H261" s="3">
        <v>43344</v>
      </c>
      <c r="I261" t="s">
        <v>344</v>
      </c>
      <c r="J261">
        <v>8000</v>
      </c>
      <c r="K261" s="1"/>
      <c r="M261" s="3">
        <v>43349</v>
      </c>
      <c r="N261" t="s">
        <v>57</v>
      </c>
      <c r="O261" t="s">
        <v>884</v>
      </c>
      <c r="P261" t="s">
        <v>56</v>
      </c>
      <c r="Q261">
        <v>6900</v>
      </c>
      <c r="AG261" t="s">
        <v>885</v>
      </c>
      <c r="AH261" s="3">
        <v>43358</v>
      </c>
      <c r="AI261">
        <v>9050</v>
      </c>
      <c r="AJ261">
        <v>0</v>
      </c>
      <c r="AS261" t="s">
        <v>836</v>
      </c>
      <c r="AT261" s="3">
        <v>43404</v>
      </c>
      <c r="AU261">
        <v>8869</v>
      </c>
      <c r="AV261">
        <v>0</v>
      </c>
      <c r="AW261">
        <v>181</v>
      </c>
      <c r="AX261">
        <v>0</v>
      </c>
    </row>
    <row r="262" spans="1:50" x14ac:dyDescent="0.25">
      <c r="A262" t="s">
        <v>886</v>
      </c>
      <c r="B262" s="3">
        <v>43346</v>
      </c>
      <c r="C262" t="s">
        <v>87</v>
      </c>
      <c r="D262" t="s">
        <v>142</v>
      </c>
      <c r="E262" t="s">
        <v>89</v>
      </c>
      <c r="F262">
        <v>7050</v>
      </c>
      <c r="G262" t="s">
        <v>887</v>
      </c>
      <c r="H262" s="3">
        <v>43346</v>
      </c>
      <c r="I262" t="s">
        <v>344</v>
      </c>
      <c r="J262">
        <v>6000</v>
      </c>
      <c r="K262" s="1"/>
      <c r="M262" s="3">
        <v>43445</v>
      </c>
      <c r="N262" t="s">
        <v>54</v>
      </c>
      <c r="O262" t="s">
        <v>632</v>
      </c>
      <c r="P262" t="s">
        <v>60</v>
      </c>
      <c r="Q262">
        <v>970</v>
      </c>
      <c r="AG262" t="s">
        <v>888</v>
      </c>
      <c r="AH262" s="3">
        <v>43421</v>
      </c>
      <c r="AI262">
        <v>7050</v>
      </c>
      <c r="AJ262">
        <v>0</v>
      </c>
      <c r="AS262" t="s">
        <v>879</v>
      </c>
      <c r="AT262" s="3">
        <v>43539</v>
      </c>
      <c r="AU262">
        <v>64919</v>
      </c>
      <c r="AV262">
        <v>0</v>
      </c>
      <c r="AW262">
        <v>1325</v>
      </c>
      <c r="AX262">
        <v>0</v>
      </c>
    </row>
    <row r="263" spans="1:50" x14ac:dyDescent="0.25">
      <c r="A263" t="s">
        <v>889</v>
      </c>
      <c r="B263" s="3">
        <v>43347</v>
      </c>
      <c r="C263" t="s">
        <v>87</v>
      </c>
      <c r="D263" t="s">
        <v>142</v>
      </c>
      <c r="E263" t="s">
        <v>89</v>
      </c>
      <c r="F263">
        <v>7050</v>
      </c>
      <c r="G263" t="s">
        <v>890</v>
      </c>
      <c r="H263" s="3">
        <v>43347</v>
      </c>
      <c r="I263" t="s">
        <v>344</v>
      </c>
      <c r="J263">
        <v>6000</v>
      </c>
      <c r="K263" s="1"/>
      <c r="M263" s="3">
        <v>43349</v>
      </c>
      <c r="N263" t="s">
        <v>54</v>
      </c>
      <c r="O263" t="s">
        <v>410</v>
      </c>
      <c r="P263" t="s">
        <v>56</v>
      </c>
      <c r="Q263">
        <v>4900</v>
      </c>
      <c r="R263" s="3">
        <v>43445</v>
      </c>
      <c r="S263" t="s">
        <v>54</v>
      </c>
      <c r="T263" t="s">
        <v>632</v>
      </c>
      <c r="U263" t="s">
        <v>60</v>
      </c>
      <c r="V263">
        <v>970</v>
      </c>
      <c r="AG263" t="s">
        <v>842</v>
      </c>
      <c r="AH263" s="3">
        <v>43354</v>
      </c>
      <c r="AI263">
        <v>7050</v>
      </c>
      <c r="AJ263">
        <v>0</v>
      </c>
      <c r="AS263" t="s">
        <v>836</v>
      </c>
      <c r="AT263" s="3">
        <v>43404</v>
      </c>
      <c r="AU263">
        <v>52028</v>
      </c>
      <c r="AV263">
        <v>0</v>
      </c>
      <c r="AW263">
        <v>1062</v>
      </c>
      <c r="AX263">
        <v>0</v>
      </c>
    </row>
    <row r="264" spans="1:50" x14ac:dyDescent="0.25">
      <c r="A264" t="s">
        <v>891</v>
      </c>
      <c r="B264" s="3">
        <v>43347</v>
      </c>
      <c r="C264" t="s">
        <v>87</v>
      </c>
      <c r="D264" t="s">
        <v>245</v>
      </c>
      <c r="E264" t="s">
        <v>89</v>
      </c>
      <c r="F264">
        <v>7350</v>
      </c>
      <c r="G264" t="s">
        <v>892</v>
      </c>
      <c r="H264" s="3">
        <v>43347</v>
      </c>
      <c r="I264" t="s">
        <v>344</v>
      </c>
      <c r="J264">
        <v>6000</v>
      </c>
      <c r="K264" s="1"/>
      <c r="M264" s="3">
        <v>43349</v>
      </c>
      <c r="N264" t="s">
        <v>54</v>
      </c>
      <c r="O264" t="s">
        <v>410</v>
      </c>
      <c r="P264" t="s">
        <v>56</v>
      </c>
      <c r="Q264">
        <v>4900</v>
      </c>
      <c r="R264" s="3">
        <v>43383</v>
      </c>
      <c r="S264" t="s">
        <v>54</v>
      </c>
      <c r="T264" t="s">
        <v>410</v>
      </c>
      <c r="U264" t="s">
        <v>60</v>
      </c>
      <c r="V264">
        <v>970</v>
      </c>
      <c r="AG264" t="s">
        <v>878</v>
      </c>
      <c r="AH264" s="3">
        <v>43382</v>
      </c>
      <c r="AI264">
        <v>7350</v>
      </c>
      <c r="AJ264">
        <v>0</v>
      </c>
      <c r="AS264" t="s">
        <v>879</v>
      </c>
      <c r="AT264" s="3">
        <v>43539</v>
      </c>
      <c r="AU264">
        <v>36697</v>
      </c>
      <c r="AV264">
        <v>0</v>
      </c>
      <c r="AW264">
        <v>749</v>
      </c>
      <c r="AX264">
        <v>0</v>
      </c>
    </row>
    <row r="265" spans="1:50" x14ac:dyDescent="0.25">
      <c r="A265" t="s">
        <v>893</v>
      </c>
      <c r="B265" s="3">
        <v>43351</v>
      </c>
      <c r="C265" t="s">
        <v>87</v>
      </c>
      <c r="D265" t="s">
        <v>241</v>
      </c>
      <c r="E265" t="s">
        <v>89</v>
      </c>
      <c r="F265">
        <v>6998</v>
      </c>
      <c r="G265" t="s">
        <v>894</v>
      </c>
      <c r="H265" s="3">
        <v>43351</v>
      </c>
      <c r="I265" t="s">
        <v>230</v>
      </c>
      <c r="J265">
        <v>5000</v>
      </c>
      <c r="K265" s="1"/>
      <c r="M265" s="3">
        <v>43360</v>
      </c>
      <c r="N265" t="s">
        <v>54</v>
      </c>
      <c r="O265" t="s">
        <v>895</v>
      </c>
      <c r="P265" t="s">
        <v>56</v>
      </c>
      <c r="Q265">
        <v>4400</v>
      </c>
      <c r="R265" s="3">
        <v>43413</v>
      </c>
      <c r="S265" t="s">
        <v>54</v>
      </c>
      <c r="T265" t="s">
        <v>305</v>
      </c>
      <c r="U265" t="s">
        <v>60</v>
      </c>
      <c r="V265">
        <v>470</v>
      </c>
      <c r="AG265" t="s">
        <v>896</v>
      </c>
      <c r="AH265" s="3">
        <v>43419</v>
      </c>
      <c r="AI265">
        <v>6998</v>
      </c>
      <c r="AJ265">
        <v>0</v>
      </c>
      <c r="AS265" t="s">
        <v>897</v>
      </c>
      <c r="AT265" s="3">
        <v>43483</v>
      </c>
      <c r="AU265">
        <v>10381</v>
      </c>
      <c r="AV265">
        <v>0</v>
      </c>
      <c r="AW265">
        <v>212</v>
      </c>
      <c r="AX265">
        <v>0</v>
      </c>
    </row>
    <row r="266" spans="1:50" x14ac:dyDescent="0.25">
      <c r="A266" t="s">
        <v>898</v>
      </c>
      <c r="B266" s="3">
        <v>43355</v>
      </c>
      <c r="C266" t="s">
        <v>87</v>
      </c>
      <c r="D266" t="s">
        <v>241</v>
      </c>
      <c r="E266" t="s">
        <v>89</v>
      </c>
      <c r="F266">
        <v>8998</v>
      </c>
      <c r="G266" t="s">
        <v>899</v>
      </c>
      <c r="H266" s="3">
        <v>43355</v>
      </c>
      <c r="I266" t="s">
        <v>230</v>
      </c>
      <c r="J266">
        <v>5500</v>
      </c>
      <c r="K266" s="1"/>
      <c r="M266" s="3">
        <v>43363</v>
      </c>
      <c r="N266" t="s">
        <v>54</v>
      </c>
      <c r="O266" t="s">
        <v>900</v>
      </c>
      <c r="P266" t="s">
        <v>56</v>
      </c>
      <c r="Q266">
        <v>4400</v>
      </c>
      <c r="R266" s="3">
        <v>43388</v>
      </c>
      <c r="S266" t="s">
        <v>54</v>
      </c>
      <c r="T266" t="s">
        <v>901</v>
      </c>
      <c r="U266" t="s">
        <v>60</v>
      </c>
      <c r="V266">
        <v>970</v>
      </c>
      <c r="AG266" t="s">
        <v>835</v>
      </c>
      <c r="AH266" s="3">
        <v>43364</v>
      </c>
      <c r="AI266">
        <v>8998</v>
      </c>
      <c r="AJ266">
        <v>0</v>
      </c>
      <c r="AS266" t="s">
        <v>836</v>
      </c>
      <c r="AT266" s="3">
        <v>43404</v>
      </c>
      <c r="AU266">
        <v>46348</v>
      </c>
      <c r="AV266">
        <v>0</v>
      </c>
      <c r="AW266">
        <v>945</v>
      </c>
      <c r="AX266">
        <v>0</v>
      </c>
    </row>
    <row r="267" spans="1:50" x14ac:dyDescent="0.25">
      <c r="A267" t="s">
        <v>902</v>
      </c>
      <c r="B267" s="3">
        <v>43355</v>
      </c>
      <c r="C267" t="s">
        <v>87</v>
      </c>
      <c r="D267" t="s">
        <v>238</v>
      </c>
      <c r="E267" t="s">
        <v>89</v>
      </c>
      <c r="F267">
        <v>9050</v>
      </c>
      <c r="G267" t="s">
        <v>903</v>
      </c>
      <c r="H267" s="3">
        <v>43355</v>
      </c>
      <c r="I267" t="s">
        <v>230</v>
      </c>
      <c r="J267">
        <v>10500</v>
      </c>
      <c r="K267" s="1"/>
      <c r="M267" s="3">
        <v>43360</v>
      </c>
      <c r="N267" t="s">
        <v>54</v>
      </c>
      <c r="O267" t="s">
        <v>895</v>
      </c>
      <c r="P267" t="s">
        <v>56</v>
      </c>
      <c r="Q267">
        <v>9400</v>
      </c>
      <c r="R267" s="3">
        <v>43388</v>
      </c>
      <c r="S267" t="s">
        <v>54</v>
      </c>
      <c r="T267" t="s">
        <v>901</v>
      </c>
      <c r="U267" t="s">
        <v>60</v>
      </c>
      <c r="V267">
        <v>970</v>
      </c>
      <c r="AG267" t="s">
        <v>835</v>
      </c>
      <c r="AH267" s="3">
        <v>43364</v>
      </c>
      <c r="AI267">
        <v>9050</v>
      </c>
      <c r="AJ267">
        <v>0</v>
      </c>
      <c r="AS267" t="s">
        <v>836</v>
      </c>
      <c r="AT267" s="3">
        <v>43404</v>
      </c>
      <c r="AU267">
        <v>46348</v>
      </c>
      <c r="AV267">
        <v>0</v>
      </c>
      <c r="AW267">
        <v>945</v>
      </c>
      <c r="AX267">
        <v>0</v>
      </c>
    </row>
    <row r="268" spans="1:50" x14ac:dyDescent="0.25">
      <c r="A268" t="s">
        <v>904</v>
      </c>
      <c r="B268" s="3">
        <v>43354</v>
      </c>
      <c r="C268" t="s">
        <v>87</v>
      </c>
      <c r="D268" t="s">
        <v>238</v>
      </c>
      <c r="E268" t="s">
        <v>89</v>
      </c>
      <c r="F268">
        <v>9050</v>
      </c>
      <c r="K268" s="1"/>
      <c r="AG268" t="s">
        <v>835</v>
      </c>
      <c r="AH268" s="3">
        <v>43364</v>
      </c>
      <c r="AI268">
        <v>9050</v>
      </c>
      <c r="AJ268">
        <v>0</v>
      </c>
      <c r="AS268" t="s">
        <v>836</v>
      </c>
      <c r="AT268" s="3">
        <v>43404</v>
      </c>
      <c r="AU268">
        <v>46348</v>
      </c>
      <c r="AV268">
        <v>0</v>
      </c>
      <c r="AW268">
        <v>945</v>
      </c>
      <c r="AX268">
        <v>0</v>
      </c>
    </row>
    <row r="269" spans="1:50" x14ac:dyDescent="0.25">
      <c r="A269" t="s">
        <v>905</v>
      </c>
      <c r="B269" s="3">
        <v>43357</v>
      </c>
      <c r="C269" t="s">
        <v>87</v>
      </c>
      <c r="D269" t="s">
        <v>245</v>
      </c>
      <c r="E269" t="s">
        <v>89</v>
      </c>
      <c r="F269">
        <v>7350</v>
      </c>
      <c r="G269" t="s">
        <v>906</v>
      </c>
      <c r="H269" s="3">
        <v>43357</v>
      </c>
      <c r="I269" t="s">
        <v>399</v>
      </c>
      <c r="J269">
        <v>6000</v>
      </c>
      <c r="K269" s="1"/>
      <c r="M269" s="3">
        <v>43358</v>
      </c>
      <c r="N269" t="s">
        <v>54</v>
      </c>
      <c r="O269" t="s">
        <v>399</v>
      </c>
      <c r="P269" t="s">
        <v>56</v>
      </c>
      <c r="Q269">
        <v>4900</v>
      </c>
      <c r="R269" s="3">
        <v>43367</v>
      </c>
      <c r="S269" t="s">
        <v>54</v>
      </c>
      <c r="T269" t="s">
        <v>907</v>
      </c>
      <c r="U269" t="s">
        <v>60</v>
      </c>
      <c r="V269">
        <v>970</v>
      </c>
      <c r="AG269" t="s">
        <v>908</v>
      </c>
      <c r="AH269" s="3">
        <v>43367</v>
      </c>
      <c r="AI269">
        <v>7350</v>
      </c>
      <c r="AJ269">
        <v>0</v>
      </c>
      <c r="AS269" t="s">
        <v>879</v>
      </c>
      <c r="AT269" s="3">
        <v>43539</v>
      </c>
      <c r="AU269">
        <v>7203</v>
      </c>
      <c r="AV269">
        <v>0</v>
      </c>
      <c r="AW269">
        <v>147</v>
      </c>
      <c r="AX269">
        <v>0</v>
      </c>
    </row>
    <row r="270" spans="1:50" x14ac:dyDescent="0.25">
      <c r="A270" t="s">
        <v>909</v>
      </c>
      <c r="B270" s="3">
        <v>43360</v>
      </c>
      <c r="C270" t="s">
        <v>87</v>
      </c>
      <c r="D270" t="s">
        <v>378</v>
      </c>
      <c r="E270" t="s">
        <v>89</v>
      </c>
      <c r="F270">
        <v>7350</v>
      </c>
      <c r="G270" t="s">
        <v>910</v>
      </c>
      <c r="H270" s="3">
        <v>43360</v>
      </c>
      <c r="I270" t="s">
        <v>514</v>
      </c>
      <c r="J270">
        <v>6000</v>
      </c>
      <c r="K270" s="1"/>
      <c r="M270" s="3">
        <v>43363</v>
      </c>
      <c r="N270" t="s">
        <v>54</v>
      </c>
      <c r="O270" t="s">
        <v>911</v>
      </c>
      <c r="P270" t="s">
        <v>56</v>
      </c>
      <c r="Q270">
        <v>4900</v>
      </c>
      <c r="R270" s="3">
        <v>43369</v>
      </c>
      <c r="S270" t="s">
        <v>57</v>
      </c>
      <c r="U270" t="s">
        <v>60</v>
      </c>
      <c r="V270">
        <v>970</v>
      </c>
      <c r="AG270" t="s">
        <v>835</v>
      </c>
      <c r="AH270" s="3">
        <v>43364</v>
      </c>
      <c r="AI270">
        <v>7350</v>
      </c>
      <c r="AJ270">
        <v>0</v>
      </c>
      <c r="AS270" t="s">
        <v>836</v>
      </c>
      <c r="AT270" s="3">
        <v>43404</v>
      </c>
      <c r="AU270">
        <v>46348</v>
      </c>
      <c r="AV270">
        <v>0</v>
      </c>
      <c r="AW270">
        <v>945</v>
      </c>
      <c r="AX270">
        <v>0</v>
      </c>
    </row>
    <row r="271" spans="1:50" x14ac:dyDescent="0.25">
      <c r="A271" t="s">
        <v>912</v>
      </c>
      <c r="B271" s="3">
        <v>43360</v>
      </c>
      <c r="C271" t="s">
        <v>87</v>
      </c>
      <c r="D271" t="s">
        <v>152</v>
      </c>
      <c r="E271" t="s">
        <v>89</v>
      </c>
      <c r="F271">
        <v>5795</v>
      </c>
      <c r="G271" t="s">
        <v>913</v>
      </c>
      <c r="H271" s="3">
        <v>43360</v>
      </c>
      <c r="I271" t="s">
        <v>514</v>
      </c>
      <c r="J271">
        <v>5000</v>
      </c>
      <c r="K271" s="1"/>
      <c r="M271" s="3">
        <v>43363</v>
      </c>
      <c r="N271" t="s">
        <v>57</v>
      </c>
      <c r="O271" t="s">
        <v>914</v>
      </c>
      <c r="P271" t="s">
        <v>56</v>
      </c>
      <c r="Q271">
        <v>3900</v>
      </c>
      <c r="R271" s="3">
        <v>43369</v>
      </c>
      <c r="S271" t="s">
        <v>57</v>
      </c>
      <c r="U271" t="s">
        <v>60</v>
      </c>
      <c r="V271">
        <v>970</v>
      </c>
      <c r="AG271" t="s">
        <v>915</v>
      </c>
      <c r="AH271" s="3">
        <v>43364</v>
      </c>
      <c r="AI271">
        <v>5795</v>
      </c>
      <c r="AJ271">
        <v>0</v>
      </c>
      <c r="AS271" t="s">
        <v>836</v>
      </c>
      <c r="AT271" s="3">
        <v>43404</v>
      </c>
      <c r="AU271">
        <v>5679</v>
      </c>
      <c r="AV271">
        <v>0</v>
      </c>
      <c r="AW271">
        <v>116</v>
      </c>
      <c r="AX271">
        <v>0</v>
      </c>
    </row>
    <row r="272" spans="1:50" x14ac:dyDescent="0.25">
      <c r="A272" t="s">
        <v>916</v>
      </c>
      <c r="B272" s="3">
        <v>43361</v>
      </c>
      <c r="C272" t="s">
        <v>87</v>
      </c>
      <c r="D272" t="s">
        <v>251</v>
      </c>
      <c r="E272" t="s">
        <v>89</v>
      </c>
      <c r="F272">
        <v>7050</v>
      </c>
      <c r="G272" t="s">
        <v>917</v>
      </c>
      <c r="H272" s="3">
        <v>43361</v>
      </c>
      <c r="I272" t="s">
        <v>514</v>
      </c>
      <c r="J272">
        <v>6200</v>
      </c>
      <c r="K272" s="1"/>
      <c r="M272" s="3">
        <v>43363</v>
      </c>
      <c r="N272" t="s">
        <v>54</v>
      </c>
      <c r="O272" t="s">
        <v>911</v>
      </c>
      <c r="P272" t="s">
        <v>56</v>
      </c>
      <c r="Q272">
        <v>4900</v>
      </c>
      <c r="R272" s="3">
        <v>43363</v>
      </c>
      <c r="S272" t="s">
        <v>57</v>
      </c>
      <c r="T272" t="s">
        <v>918</v>
      </c>
      <c r="U272" t="s">
        <v>56</v>
      </c>
      <c r="V272">
        <v>200</v>
      </c>
      <c r="W272" s="3">
        <v>43369</v>
      </c>
      <c r="X272" t="s">
        <v>57</v>
      </c>
      <c r="Z272" t="s">
        <v>60</v>
      </c>
      <c r="AA272">
        <v>970</v>
      </c>
      <c r="AG272" t="s">
        <v>835</v>
      </c>
      <c r="AH272" s="3">
        <v>43364</v>
      </c>
      <c r="AI272">
        <v>7050</v>
      </c>
      <c r="AJ272">
        <v>0</v>
      </c>
      <c r="AS272" t="s">
        <v>836</v>
      </c>
      <c r="AT272" s="3">
        <v>43404</v>
      </c>
      <c r="AU272">
        <v>46348</v>
      </c>
      <c r="AV272">
        <v>0</v>
      </c>
      <c r="AW272">
        <v>945</v>
      </c>
      <c r="AX272">
        <v>0</v>
      </c>
    </row>
    <row r="273" spans="1:50" x14ac:dyDescent="0.25">
      <c r="A273" t="s">
        <v>919</v>
      </c>
      <c r="B273" s="3">
        <v>43363</v>
      </c>
      <c r="C273" t="s">
        <v>87</v>
      </c>
      <c r="D273" t="s">
        <v>241</v>
      </c>
      <c r="E273" t="s">
        <v>89</v>
      </c>
      <c r="F273">
        <v>6998</v>
      </c>
      <c r="G273" t="s">
        <v>920</v>
      </c>
      <c r="H273" s="3">
        <v>43363</v>
      </c>
      <c r="I273" t="s">
        <v>514</v>
      </c>
      <c r="J273">
        <v>5000</v>
      </c>
      <c r="K273" s="1"/>
      <c r="M273" s="3">
        <v>43367</v>
      </c>
      <c r="N273" t="s">
        <v>54</v>
      </c>
      <c r="O273" t="s">
        <v>410</v>
      </c>
      <c r="P273" t="s">
        <v>56</v>
      </c>
      <c r="Q273">
        <v>3900</v>
      </c>
      <c r="R273" s="3">
        <v>43428</v>
      </c>
      <c r="S273" t="s">
        <v>57</v>
      </c>
      <c r="T273" t="s">
        <v>560</v>
      </c>
      <c r="U273" t="s">
        <v>60</v>
      </c>
      <c r="V273">
        <v>970</v>
      </c>
      <c r="AG273" t="s">
        <v>888</v>
      </c>
      <c r="AH273" s="3">
        <v>43421</v>
      </c>
      <c r="AI273">
        <v>6998</v>
      </c>
      <c r="AJ273">
        <v>0</v>
      </c>
      <c r="AS273" t="s">
        <v>879</v>
      </c>
      <c r="AT273" s="3">
        <v>43539</v>
      </c>
      <c r="AU273">
        <v>64919</v>
      </c>
      <c r="AV273">
        <v>0</v>
      </c>
      <c r="AW273">
        <v>1325</v>
      </c>
      <c r="AX273">
        <v>0</v>
      </c>
    </row>
    <row r="274" spans="1:50" x14ac:dyDescent="0.25">
      <c r="A274" t="s">
        <v>921</v>
      </c>
      <c r="B274" s="3">
        <v>43370</v>
      </c>
      <c r="C274" t="s">
        <v>87</v>
      </c>
      <c r="D274" t="s">
        <v>142</v>
      </c>
      <c r="E274" t="s">
        <v>89</v>
      </c>
      <c r="F274">
        <v>7050</v>
      </c>
      <c r="G274" t="s">
        <v>922</v>
      </c>
      <c r="H274" s="3">
        <v>43370</v>
      </c>
      <c r="I274" t="s">
        <v>344</v>
      </c>
      <c r="J274">
        <v>6000</v>
      </c>
      <c r="K274" s="1"/>
      <c r="M274" s="3">
        <v>43378</v>
      </c>
      <c r="N274" t="s">
        <v>54</v>
      </c>
      <c r="O274" t="s">
        <v>923</v>
      </c>
      <c r="P274" t="s">
        <v>56</v>
      </c>
      <c r="Q274">
        <v>4900</v>
      </c>
      <c r="R274" s="3">
        <v>43445</v>
      </c>
      <c r="S274" t="s">
        <v>54</v>
      </c>
      <c r="T274" t="s">
        <v>632</v>
      </c>
      <c r="U274" t="s">
        <v>60</v>
      </c>
      <c r="V274">
        <v>970</v>
      </c>
      <c r="AG274" t="s">
        <v>888</v>
      </c>
      <c r="AH274" s="3">
        <v>43421</v>
      </c>
      <c r="AI274">
        <v>7050</v>
      </c>
      <c r="AJ274">
        <v>0</v>
      </c>
      <c r="AS274" t="s">
        <v>879</v>
      </c>
      <c r="AT274" s="3">
        <v>43539</v>
      </c>
      <c r="AU274">
        <v>64919</v>
      </c>
      <c r="AV274">
        <v>0</v>
      </c>
      <c r="AW274">
        <v>1325</v>
      </c>
      <c r="AX274">
        <v>0</v>
      </c>
    </row>
    <row r="275" spans="1:50" x14ac:dyDescent="0.25">
      <c r="A275" t="s">
        <v>924</v>
      </c>
      <c r="B275" s="3">
        <v>43371</v>
      </c>
      <c r="C275" t="s">
        <v>87</v>
      </c>
      <c r="D275" t="s">
        <v>241</v>
      </c>
      <c r="E275" t="s">
        <v>89</v>
      </c>
      <c r="F275">
        <v>6998</v>
      </c>
      <c r="G275" t="s">
        <v>925</v>
      </c>
      <c r="H275" s="3">
        <v>43371</v>
      </c>
      <c r="I275" t="s">
        <v>399</v>
      </c>
      <c r="J275">
        <v>10000</v>
      </c>
      <c r="K275" s="1"/>
      <c r="M275" s="3">
        <v>43372</v>
      </c>
      <c r="N275" t="s">
        <v>54</v>
      </c>
      <c r="O275" t="s">
        <v>926</v>
      </c>
      <c r="P275" t="s">
        <v>56</v>
      </c>
      <c r="Q275">
        <v>8800</v>
      </c>
      <c r="R275" s="3">
        <v>43388</v>
      </c>
      <c r="S275" t="s">
        <v>54</v>
      </c>
      <c r="T275" t="s">
        <v>399</v>
      </c>
      <c r="U275" t="s">
        <v>60</v>
      </c>
      <c r="V275">
        <v>970</v>
      </c>
      <c r="AG275" t="s">
        <v>878</v>
      </c>
      <c r="AH275" s="3">
        <v>43382</v>
      </c>
      <c r="AI275">
        <v>6998</v>
      </c>
      <c r="AJ275">
        <v>0</v>
      </c>
      <c r="AS275" t="s">
        <v>879</v>
      </c>
      <c r="AT275" s="3">
        <v>43539</v>
      </c>
      <c r="AU275">
        <v>36697</v>
      </c>
      <c r="AV275">
        <v>0</v>
      </c>
      <c r="AW275">
        <v>749</v>
      </c>
      <c r="AX275">
        <v>0</v>
      </c>
    </row>
    <row r="276" spans="1:50" x14ac:dyDescent="0.25">
      <c r="A276" t="s">
        <v>927</v>
      </c>
      <c r="B276" s="3">
        <v>43371</v>
      </c>
      <c r="C276" t="s">
        <v>87</v>
      </c>
      <c r="D276" t="s">
        <v>262</v>
      </c>
      <c r="E276" t="s">
        <v>89</v>
      </c>
      <c r="F276">
        <v>9050</v>
      </c>
      <c r="K276" s="1"/>
      <c r="AG276" t="s">
        <v>878</v>
      </c>
      <c r="AH276" s="3">
        <v>43382</v>
      </c>
      <c r="AI276">
        <v>9050</v>
      </c>
      <c r="AJ276">
        <v>0</v>
      </c>
      <c r="AS276" t="s">
        <v>879</v>
      </c>
      <c r="AT276" s="3">
        <v>43539</v>
      </c>
      <c r="AU276">
        <v>36697</v>
      </c>
      <c r="AV276">
        <v>0</v>
      </c>
      <c r="AW276">
        <v>749</v>
      </c>
      <c r="AX276">
        <v>0</v>
      </c>
    </row>
    <row r="277" spans="1:50" x14ac:dyDescent="0.25">
      <c r="A277" t="s">
        <v>928</v>
      </c>
      <c r="B277" s="3">
        <v>43372</v>
      </c>
      <c r="C277" t="s">
        <v>87</v>
      </c>
      <c r="D277" t="s">
        <v>251</v>
      </c>
      <c r="E277" t="s">
        <v>89</v>
      </c>
      <c r="F277">
        <v>8998</v>
      </c>
      <c r="G277" t="s">
        <v>929</v>
      </c>
      <c r="H277" s="3">
        <v>43372</v>
      </c>
      <c r="I277" t="s">
        <v>344</v>
      </c>
      <c r="J277">
        <v>7000</v>
      </c>
      <c r="K277" s="1"/>
      <c r="M277" s="3">
        <v>43378</v>
      </c>
      <c r="N277" t="s">
        <v>54</v>
      </c>
      <c r="O277" t="s">
        <v>923</v>
      </c>
      <c r="P277" t="s">
        <v>56</v>
      </c>
      <c r="Q277">
        <v>5900</v>
      </c>
      <c r="R277" s="3">
        <v>43445</v>
      </c>
      <c r="S277" t="s">
        <v>54</v>
      </c>
      <c r="T277" t="s">
        <v>632</v>
      </c>
      <c r="U277" t="s">
        <v>60</v>
      </c>
      <c r="V277">
        <v>970</v>
      </c>
      <c r="AG277" t="s">
        <v>888</v>
      </c>
      <c r="AH277" s="3">
        <v>43421</v>
      </c>
      <c r="AI277">
        <v>8998</v>
      </c>
      <c r="AJ277">
        <v>0</v>
      </c>
      <c r="AS277" t="s">
        <v>879</v>
      </c>
      <c r="AT277" s="3">
        <v>43539</v>
      </c>
      <c r="AU277">
        <v>64919</v>
      </c>
      <c r="AV277">
        <v>0</v>
      </c>
      <c r="AW277">
        <v>1325</v>
      </c>
      <c r="AX277">
        <v>0</v>
      </c>
    </row>
    <row r="278" spans="1:50" x14ac:dyDescent="0.25">
      <c r="A278" t="s">
        <v>930</v>
      </c>
      <c r="B278" s="3">
        <v>43378</v>
      </c>
      <c r="C278" t="s">
        <v>87</v>
      </c>
      <c r="D278" t="s">
        <v>650</v>
      </c>
      <c r="E278" t="s">
        <v>89</v>
      </c>
      <c r="F278">
        <v>5500</v>
      </c>
      <c r="G278" t="s">
        <v>931</v>
      </c>
      <c r="H278" s="3">
        <v>43378</v>
      </c>
      <c r="I278" t="s">
        <v>514</v>
      </c>
      <c r="J278">
        <v>4000</v>
      </c>
      <c r="K278" s="1"/>
      <c r="M278" s="3">
        <v>43393</v>
      </c>
      <c r="N278" t="s">
        <v>57</v>
      </c>
      <c r="P278" t="s">
        <v>56</v>
      </c>
      <c r="Q278">
        <v>2950</v>
      </c>
      <c r="R278" s="3">
        <v>43404</v>
      </c>
      <c r="S278" t="s">
        <v>57</v>
      </c>
      <c r="U278" t="s">
        <v>60</v>
      </c>
      <c r="V278">
        <v>970</v>
      </c>
      <c r="AG278" t="s">
        <v>932</v>
      </c>
      <c r="AH278" s="3">
        <v>43419</v>
      </c>
      <c r="AI278">
        <v>5500</v>
      </c>
      <c r="AJ278">
        <v>0</v>
      </c>
      <c r="AS278" t="s">
        <v>879</v>
      </c>
      <c r="AT278" s="3">
        <v>43539</v>
      </c>
      <c r="AU278">
        <v>5390</v>
      </c>
      <c r="AV278">
        <v>0</v>
      </c>
      <c r="AW278">
        <v>110</v>
      </c>
      <c r="AX278">
        <v>0</v>
      </c>
    </row>
    <row r="279" spans="1:50" x14ac:dyDescent="0.25">
      <c r="A279" t="s">
        <v>933</v>
      </c>
      <c r="B279" s="3">
        <v>43381</v>
      </c>
      <c r="C279" t="s">
        <v>87</v>
      </c>
      <c r="D279" t="s">
        <v>206</v>
      </c>
      <c r="E279" t="s">
        <v>89</v>
      </c>
      <c r="F279">
        <v>11000</v>
      </c>
      <c r="G279" t="s">
        <v>934</v>
      </c>
      <c r="H279" s="3">
        <v>43381</v>
      </c>
      <c r="I279" t="s">
        <v>344</v>
      </c>
      <c r="J279">
        <v>10000</v>
      </c>
      <c r="K279" s="1"/>
      <c r="M279" s="3">
        <v>43421</v>
      </c>
      <c r="N279" t="s">
        <v>54</v>
      </c>
      <c r="O279" t="s">
        <v>632</v>
      </c>
      <c r="P279" t="s">
        <v>56</v>
      </c>
      <c r="Q279">
        <v>8900</v>
      </c>
      <c r="R279" s="3">
        <v>43445</v>
      </c>
      <c r="S279" t="s">
        <v>54</v>
      </c>
      <c r="T279" t="s">
        <v>632</v>
      </c>
      <c r="U279" t="s">
        <v>60</v>
      </c>
      <c r="V279">
        <v>970</v>
      </c>
      <c r="AG279" t="s">
        <v>935</v>
      </c>
      <c r="AH279" s="3">
        <v>43421</v>
      </c>
      <c r="AI279">
        <v>11000</v>
      </c>
      <c r="AJ279">
        <v>0</v>
      </c>
      <c r="AS279" t="s">
        <v>897</v>
      </c>
      <c r="AT279" s="3">
        <v>43483</v>
      </c>
      <c r="AU279">
        <v>10780</v>
      </c>
      <c r="AV279">
        <v>0</v>
      </c>
      <c r="AW279">
        <v>220</v>
      </c>
      <c r="AX279">
        <v>0</v>
      </c>
    </row>
    <row r="280" spans="1:50" x14ac:dyDescent="0.25">
      <c r="A280" t="s">
        <v>936</v>
      </c>
      <c r="B280" s="3">
        <v>43381</v>
      </c>
      <c r="C280" t="s">
        <v>87</v>
      </c>
      <c r="D280" t="s">
        <v>256</v>
      </c>
      <c r="E280" t="s">
        <v>89</v>
      </c>
      <c r="F280">
        <v>3595</v>
      </c>
      <c r="G280" t="s">
        <v>937</v>
      </c>
      <c r="H280" s="3">
        <v>43381</v>
      </c>
      <c r="I280" t="s">
        <v>514</v>
      </c>
      <c r="J280">
        <v>2500</v>
      </c>
      <c r="K280" s="1"/>
      <c r="M280" s="3">
        <v>43391</v>
      </c>
      <c r="N280" t="s">
        <v>57</v>
      </c>
      <c r="O280" t="s">
        <v>841</v>
      </c>
      <c r="P280" t="s">
        <v>56</v>
      </c>
      <c r="Q280">
        <v>1950</v>
      </c>
      <c r="R280" s="3">
        <v>43428</v>
      </c>
      <c r="S280" t="s">
        <v>57</v>
      </c>
      <c r="T280" t="s">
        <v>560</v>
      </c>
      <c r="U280" t="s">
        <v>60</v>
      </c>
      <c r="V280">
        <v>470</v>
      </c>
      <c r="AG280" t="s">
        <v>938</v>
      </c>
      <c r="AH280" s="3">
        <v>43419</v>
      </c>
      <c r="AI280">
        <v>3595</v>
      </c>
      <c r="AJ280">
        <v>0</v>
      </c>
      <c r="AS280" t="s">
        <v>879</v>
      </c>
      <c r="AT280" s="3">
        <v>43539</v>
      </c>
      <c r="AU280">
        <v>24387</v>
      </c>
      <c r="AV280">
        <v>0</v>
      </c>
      <c r="AW280">
        <v>498</v>
      </c>
      <c r="AX280">
        <v>0</v>
      </c>
    </row>
    <row r="281" spans="1:50" x14ac:dyDescent="0.25">
      <c r="A281" t="s">
        <v>939</v>
      </c>
      <c r="B281" s="3">
        <v>43382</v>
      </c>
      <c r="C281" t="s">
        <v>87</v>
      </c>
      <c r="D281" t="s">
        <v>300</v>
      </c>
      <c r="E281" t="s">
        <v>89</v>
      </c>
      <c r="F281">
        <v>3595</v>
      </c>
      <c r="G281" t="s">
        <v>940</v>
      </c>
      <c r="H281" s="3">
        <v>43382</v>
      </c>
      <c r="I281" t="s">
        <v>514</v>
      </c>
      <c r="J281">
        <v>2500</v>
      </c>
      <c r="K281" s="1"/>
      <c r="M281" s="3">
        <v>43391</v>
      </c>
      <c r="N281" t="s">
        <v>57</v>
      </c>
      <c r="O281" t="s">
        <v>841</v>
      </c>
      <c r="P281" t="s">
        <v>56</v>
      </c>
      <c r="Q281">
        <v>1950</v>
      </c>
      <c r="R281" s="3">
        <v>43428</v>
      </c>
      <c r="S281" t="s">
        <v>57</v>
      </c>
      <c r="T281" t="s">
        <v>560</v>
      </c>
      <c r="U281" t="s">
        <v>60</v>
      </c>
      <c r="V281">
        <v>470</v>
      </c>
      <c r="AG281" t="s">
        <v>938</v>
      </c>
      <c r="AH281" s="3">
        <v>43419</v>
      </c>
      <c r="AI281">
        <v>3595</v>
      </c>
      <c r="AJ281">
        <v>0</v>
      </c>
      <c r="AS281" t="s">
        <v>879</v>
      </c>
      <c r="AT281" s="3">
        <v>43539</v>
      </c>
      <c r="AU281">
        <v>24387</v>
      </c>
      <c r="AV281">
        <v>0</v>
      </c>
      <c r="AW281">
        <v>498</v>
      </c>
      <c r="AX281">
        <v>0</v>
      </c>
    </row>
    <row r="282" spans="1:50" x14ac:dyDescent="0.25">
      <c r="A282" t="s">
        <v>941</v>
      </c>
      <c r="B282" s="3">
        <v>43393</v>
      </c>
      <c r="C282" t="s">
        <v>87</v>
      </c>
      <c r="D282" t="s">
        <v>300</v>
      </c>
      <c r="E282" t="s">
        <v>89</v>
      </c>
      <c r="F282">
        <v>3595</v>
      </c>
      <c r="G282" t="s">
        <v>942</v>
      </c>
      <c r="H282" s="3">
        <v>43393</v>
      </c>
      <c r="I282" t="s">
        <v>514</v>
      </c>
      <c r="J282">
        <v>2500</v>
      </c>
      <c r="K282" s="1"/>
      <c r="M282" s="3">
        <v>43393</v>
      </c>
      <c r="N282" t="s">
        <v>57</v>
      </c>
      <c r="P282" t="s">
        <v>56</v>
      </c>
      <c r="Q282">
        <v>1950</v>
      </c>
      <c r="R282" s="3">
        <v>43439</v>
      </c>
      <c r="S282" t="s">
        <v>57</v>
      </c>
      <c r="U282" t="s">
        <v>60</v>
      </c>
      <c r="V282">
        <v>470</v>
      </c>
      <c r="AG282" t="s">
        <v>943</v>
      </c>
      <c r="AH282" s="3">
        <v>43419</v>
      </c>
      <c r="AI282">
        <v>3595</v>
      </c>
      <c r="AJ282">
        <v>0</v>
      </c>
      <c r="AS282" t="s">
        <v>879</v>
      </c>
      <c r="AT282" s="3">
        <v>43539</v>
      </c>
      <c r="AU282">
        <v>3523</v>
      </c>
      <c r="AV282">
        <v>0</v>
      </c>
      <c r="AW282">
        <v>72</v>
      </c>
      <c r="AX282">
        <v>0</v>
      </c>
    </row>
    <row r="283" spans="1:50" x14ac:dyDescent="0.25">
      <c r="A283" t="s">
        <v>944</v>
      </c>
      <c r="B283" s="3">
        <v>43395</v>
      </c>
      <c r="C283" t="s">
        <v>87</v>
      </c>
      <c r="D283" t="s">
        <v>814</v>
      </c>
      <c r="E283" t="s">
        <v>89</v>
      </c>
      <c r="F283">
        <v>9050</v>
      </c>
      <c r="G283" t="s">
        <v>945</v>
      </c>
      <c r="H283" s="3">
        <v>43395</v>
      </c>
      <c r="I283" t="s">
        <v>344</v>
      </c>
      <c r="J283">
        <v>13000</v>
      </c>
      <c r="K283" s="1"/>
      <c r="M283" s="3">
        <v>43397</v>
      </c>
      <c r="N283" t="s">
        <v>54</v>
      </c>
      <c r="O283" t="s">
        <v>410</v>
      </c>
      <c r="P283" t="s">
        <v>56</v>
      </c>
      <c r="Q283">
        <v>11900</v>
      </c>
      <c r="R283" s="3">
        <v>43434</v>
      </c>
      <c r="S283" t="s">
        <v>54</v>
      </c>
      <c r="T283" t="s">
        <v>410</v>
      </c>
      <c r="U283" t="s">
        <v>60</v>
      </c>
      <c r="V283">
        <v>970</v>
      </c>
      <c r="AG283" t="s">
        <v>888</v>
      </c>
      <c r="AH283" s="3">
        <v>43421</v>
      </c>
      <c r="AI283">
        <v>9050</v>
      </c>
      <c r="AJ283">
        <v>0</v>
      </c>
      <c r="AS283" t="s">
        <v>879</v>
      </c>
      <c r="AT283" s="3">
        <v>43539</v>
      </c>
      <c r="AU283">
        <v>64919</v>
      </c>
      <c r="AV283">
        <v>0</v>
      </c>
      <c r="AW283">
        <v>1325</v>
      </c>
      <c r="AX283">
        <v>0</v>
      </c>
    </row>
    <row r="284" spans="1:50" x14ac:dyDescent="0.25">
      <c r="A284" t="s">
        <v>946</v>
      </c>
      <c r="B284" s="3">
        <v>43395</v>
      </c>
      <c r="C284" t="s">
        <v>87</v>
      </c>
      <c r="D284" t="s">
        <v>238</v>
      </c>
      <c r="E284" t="s">
        <v>89</v>
      </c>
      <c r="F284">
        <v>9050</v>
      </c>
      <c r="K284" s="1"/>
      <c r="AG284" t="s">
        <v>888</v>
      </c>
      <c r="AH284" s="3">
        <v>43421</v>
      </c>
      <c r="AI284">
        <v>9050</v>
      </c>
      <c r="AJ284">
        <v>0</v>
      </c>
      <c r="AS284" t="s">
        <v>879</v>
      </c>
      <c r="AT284" s="3">
        <v>43539</v>
      </c>
      <c r="AU284">
        <v>64919</v>
      </c>
      <c r="AV284">
        <v>0</v>
      </c>
      <c r="AW284">
        <v>1325</v>
      </c>
      <c r="AX284">
        <v>0</v>
      </c>
    </row>
    <row r="285" spans="1:50" x14ac:dyDescent="0.25">
      <c r="A285" t="s">
        <v>947</v>
      </c>
      <c r="B285" s="3">
        <v>43395</v>
      </c>
      <c r="C285" t="s">
        <v>87</v>
      </c>
      <c r="D285" t="s">
        <v>251</v>
      </c>
      <c r="E285" t="s">
        <v>89</v>
      </c>
      <c r="F285">
        <v>7050</v>
      </c>
      <c r="G285" t="s">
        <v>948</v>
      </c>
      <c r="H285" s="3">
        <v>43395</v>
      </c>
      <c r="I285" t="s">
        <v>514</v>
      </c>
      <c r="J285">
        <v>6200</v>
      </c>
      <c r="K285" s="1"/>
      <c r="M285" s="3">
        <v>43399</v>
      </c>
      <c r="N285" t="s">
        <v>57</v>
      </c>
      <c r="P285" t="s">
        <v>56</v>
      </c>
      <c r="Q285">
        <v>5100</v>
      </c>
      <c r="R285" s="3">
        <v>43428</v>
      </c>
      <c r="S285" t="s">
        <v>57</v>
      </c>
      <c r="T285" t="s">
        <v>560</v>
      </c>
      <c r="U285" t="s">
        <v>60</v>
      </c>
      <c r="V285">
        <v>970</v>
      </c>
      <c r="AG285" t="s">
        <v>938</v>
      </c>
      <c r="AH285" s="3">
        <v>43419</v>
      </c>
      <c r="AI285">
        <v>7050</v>
      </c>
      <c r="AJ285">
        <v>0</v>
      </c>
      <c r="AS285" t="s">
        <v>879</v>
      </c>
      <c r="AT285" s="3">
        <v>43539</v>
      </c>
      <c r="AU285">
        <v>24387</v>
      </c>
      <c r="AV285">
        <v>0</v>
      </c>
      <c r="AW285">
        <v>498</v>
      </c>
      <c r="AX285">
        <v>0</v>
      </c>
    </row>
    <row r="286" spans="1:50" x14ac:dyDescent="0.25">
      <c r="A286" t="s">
        <v>949</v>
      </c>
      <c r="B286" s="3">
        <v>43398</v>
      </c>
      <c r="C286" t="s">
        <v>87</v>
      </c>
      <c r="D286" t="s">
        <v>245</v>
      </c>
      <c r="E286" t="s">
        <v>89</v>
      </c>
      <c r="F286">
        <v>7350</v>
      </c>
      <c r="G286" t="s">
        <v>950</v>
      </c>
      <c r="H286" s="3">
        <v>43398</v>
      </c>
      <c r="I286" t="s">
        <v>514</v>
      </c>
      <c r="J286">
        <v>6500</v>
      </c>
      <c r="K286" s="1"/>
      <c r="M286" s="3">
        <v>43404</v>
      </c>
      <c r="N286" t="s">
        <v>54</v>
      </c>
      <c r="O286" t="s">
        <v>951</v>
      </c>
      <c r="P286" t="s">
        <v>56</v>
      </c>
      <c r="Q286">
        <v>5400</v>
      </c>
      <c r="R286" s="3">
        <v>43449</v>
      </c>
      <c r="S286" t="s">
        <v>57</v>
      </c>
      <c r="U286" t="s">
        <v>60</v>
      </c>
      <c r="V286">
        <v>970</v>
      </c>
      <c r="AG286" t="s">
        <v>952</v>
      </c>
      <c r="AH286" s="3">
        <v>43449</v>
      </c>
      <c r="AI286">
        <v>7350</v>
      </c>
      <c r="AJ286">
        <v>0</v>
      </c>
      <c r="AS286" t="s">
        <v>957</v>
      </c>
      <c r="AT286" s="3">
        <v>43544</v>
      </c>
      <c r="AU286">
        <v>7203</v>
      </c>
      <c r="AV286">
        <v>0</v>
      </c>
      <c r="AW286">
        <v>147</v>
      </c>
      <c r="AX286">
        <v>0</v>
      </c>
    </row>
    <row r="287" spans="1:50" x14ac:dyDescent="0.25">
      <c r="A287" t="s">
        <v>953</v>
      </c>
      <c r="B287" s="3">
        <v>43397</v>
      </c>
      <c r="C287" t="s">
        <v>87</v>
      </c>
      <c r="D287" t="s">
        <v>300</v>
      </c>
      <c r="E287" t="s">
        <v>89</v>
      </c>
      <c r="F287">
        <v>3595</v>
      </c>
      <c r="G287" t="s">
        <v>954</v>
      </c>
      <c r="H287" s="3">
        <v>43398</v>
      </c>
      <c r="I287" t="s">
        <v>514</v>
      </c>
      <c r="J287">
        <v>2500</v>
      </c>
      <c r="K287" s="1"/>
      <c r="M287" s="3">
        <v>43399</v>
      </c>
      <c r="N287" t="s">
        <v>57</v>
      </c>
      <c r="P287" t="s">
        <v>56</v>
      </c>
      <c r="Q287">
        <v>1950</v>
      </c>
      <c r="R287" s="3">
        <v>43428</v>
      </c>
      <c r="S287" t="s">
        <v>57</v>
      </c>
      <c r="T287" t="s">
        <v>560</v>
      </c>
      <c r="U287" t="s">
        <v>60</v>
      </c>
      <c r="V287">
        <v>470</v>
      </c>
      <c r="AG287" t="s">
        <v>938</v>
      </c>
      <c r="AH287" s="3">
        <v>43419</v>
      </c>
      <c r="AI287">
        <v>3595</v>
      </c>
      <c r="AJ287">
        <v>0</v>
      </c>
      <c r="AS287" t="s">
        <v>879</v>
      </c>
      <c r="AT287" s="3">
        <v>43539</v>
      </c>
      <c r="AU287">
        <v>24387</v>
      </c>
      <c r="AV287">
        <v>0</v>
      </c>
      <c r="AW287">
        <v>498</v>
      </c>
      <c r="AX287">
        <v>0</v>
      </c>
    </row>
    <row r="288" spans="1:50" x14ac:dyDescent="0.25">
      <c r="A288" t="s">
        <v>955</v>
      </c>
      <c r="B288" s="3">
        <v>43398</v>
      </c>
      <c r="C288" t="s">
        <v>87</v>
      </c>
      <c r="D288" t="s">
        <v>142</v>
      </c>
      <c r="E288" t="s">
        <v>89</v>
      </c>
      <c r="F288">
        <v>7050</v>
      </c>
      <c r="G288" t="s">
        <v>956</v>
      </c>
      <c r="H288" s="3">
        <v>43398</v>
      </c>
      <c r="I288" t="s">
        <v>514</v>
      </c>
      <c r="J288">
        <v>5900</v>
      </c>
      <c r="K288" s="1"/>
      <c r="M288" s="3">
        <v>43404</v>
      </c>
      <c r="N288" t="s">
        <v>54</v>
      </c>
      <c r="O288" t="s">
        <v>951</v>
      </c>
      <c r="P288" t="s">
        <v>56</v>
      </c>
      <c r="Q288">
        <v>3400</v>
      </c>
      <c r="R288" s="3">
        <v>43404</v>
      </c>
      <c r="S288" t="s">
        <v>57</v>
      </c>
      <c r="U288" t="s">
        <v>56</v>
      </c>
      <c r="V288">
        <v>1400</v>
      </c>
      <c r="W288" s="3">
        <v>43428</v>
      </c>
      <c r="X288" t="s">
        <v>57</v>
      </c>
      <c r="Y288" t="s">
        <v>560</v>
      </c>
      <c r="Z288" t="s">
        <v>60</v>
      </c>
      <c r="AA288">
        <v>970</v>
      </c>
      <c r="AG288" t="s">
        <v>938</v>
      </c>
      <c r="AH288" s="3">
        <v>43419</v>
      </c>
      <c r="AI288">
        <v>7050</v>
      </c>
      <c r="AJ288">
        <v>0</v>
      </c>
      <c r="AS288" t="s">
        <v>879</v>
      </c>
      <c r="AT288" s="3">
        <v>43539</v>
      </c>
      <c r="AU288">
        <v>24387</v>
      </c>
      <c r="AV288">
        <v>0</v>
      </c>
      <c r="AW288">
        <v>498</v>
      </c>
      <c r="AX288">
        <v>0</v>
      </c>
    </row>
    <row r="289" spans="1:56" x14ac:dyDescent="0.25">
      <c r="A289" t="s">
        <v>958</v>
      </c>
      <c r="B289" s="3">
        <v>43402</v>
      </c>
      <c r="C289" t="s">
        <v>87</v>
      </c>
      <c r="D289" t="s">
        <v>262</v>
      </c>
      <c r="E289" t="s">
        <v>89</v>
      </c>
      <c r="F289">
        <v>9050</v>
      </c>
      <c r="G289" t="s">
        <v>959</v>
      </c>
      <c r="H289" s="3">
        <v>43402</v>
      </c>
      <c r="I289" t="s">
        <v>344</v>
      </c>
      <c r="J289">
        <v>9000</v>
      </c>
      <c r="K289" s="1"/>
      <c r="M289" s="3">
        <v>43403</v>
      </c>
      <c r="N289" t="s">
        <v>54</v>
      </c>
      <c r="O289" t="s">
        <v>410</v>
      </c>
      <c r="P289" t="s">
        <v>56</v>
      </c>
      <c r="Q289">
        <v>7900</v>
      </c>
      <c r="R289" s="3">
        <v>43445</v>
      </c>
      <c r="S289" t="s">
        <v>54</v>
      </c>
      <c r="T289" t="s">
        <v>632</v>
      </c>
      <c r="U289" t="s">
        <v>60</v>
      </c>
      <c r="V289">
        <v>970</v>
      </c>
      <c r="AG289" t="s">
        <v>888</v>
      </c>
      <c r="AH289" s="3">
        <v>43421</v>
      </c>
      <c r="AI289">
        <v>9050</v>
      </c>
      <c r="AJ289">
        <v>0</v>
      </c>
      <c r="AS289" t="s">
        <v>879</v>
      </c>
      <c r="AT289" s="3">
        <v>43539</v>
      </c>
      <c r="AU289">
        <v>64919</v>
      </c>
      <c r="AV289">
        <v>0</v>
      </c>
      <c r="AW289">
        <v>1325</v>
      </c>
      <c r="AX289">
        <v>0</v>
      </c>
    </row>
    <row r="290" spans="1:56" x14ac:dyDescent="0.25">
      <c r="A290" t="s">
        <v>960</v>
      </c>
      <c r="B290" s="3">
        <v>43403</v>
      </c>
      <c r="C290" t="s">
        <v>87</v>
      </c>
      <c r="D290" t="s">
        <v>251</v>
      </c>
      <c r="E290" t="s">
        <v>89</v>
      </c>
      <c r="F290">
        <v>8998</v>
      </c>
      <c r="G290" t="s">
        <v>961</v>
      </c>
      <c r="H290" s="3">
        <v>43403</v>
      </c>
      <c r="I290" t="s">
        <v>344</v>
      </c>
      <c r="J290">
        <v>7000</v>
      </c>
      <c r="K290" s="1"/>
      <c r="M290" s="3">
        <v>43403</v>
      </c>
      <c r="N290" t="s">
        <v>54</v>
      </c>
      <c r="O290" t="s">
        <v>410</v>
      </c>
      <c r="P290" t="s">
        <v>56</v>
      </c>
      <c r="Q290">
        <v>5900</v>
      </c>
      <c r="R290" s="3">
        <v>43445</v>
      </c>
      <c r="S290" t="s">
        <v>54</v>
      </c>
      <c r="T290" t="s">
        <v>632</v>
      </c>
      <c r="U290" t="s">
        <v>60</v>
      </c>
      <c r="V290">
        <v>970</v>
      </c>
      <c r="AG290" t="s">
        <v>888</v>
      </c>
      <c r="AH290" s="3">
        <v>43421</v>
      </c>
      <c r="AI290">
        <v>8998</v>
      </c>
      <c r="AJ290">
        <v>0</v>
      </c>
      <c r="AS290" t="s">
        <v>879</v>
      </c>
      <c r="AT290" s="3">
        <v>43539</v>
      </c>
      <c r="AU290">
        <v>64919</v>
      </c>
      <c r="AV290">
        <v>0</v>
      </c>
      <c r="AW290">
        <v>1325</v>
      </c>
      <c r="AX290">
        <v>0</v>
      </c>
    </row>
    <row r="291" spans="1:56" x14ac:dyDescent="0.25">
      <c r="A291" t="s">
        <v>962</v>
      </c>
      <c r="B291" s="3">
        <v>43404</v>
      </c>
      <c r="C291" t="s">
        <v>87</v>
      </c>
      <c r="D291" t="s">
        <v>142</v>
      </c>
      <c r="E291" t="s">
        <v>89</v>
      </c>
      <c r="F291">
        <v>7350</v>
      </c>
      <c r="G291" t="s">
        <v>963</v>
      </c>
      <c r="H291" s="3">
        <v>43404</v>
      </c>
      <c r="I291" t="s">
        <v>514</v>
      </c>
      <c r="J291">
        <v>6500</v>
      </c>
      <c r="K291" s="1"/>
      <c r="M291" s="3">
        <v>43404</v>
      </c>
      <c r="N291" t="s">
        <v>54</v>
      </c>
      <c r="O291" t="s">
        <v>951</v>
      </c>
      <c r="P291" t="s">
        <v>56</v>
      </c>
      <c r="Q291">
        <v>5400</v>
      </c>
      <c r="R291" s="3">
        <v>43428</v>
      </c>
      <c r="S291" t="s">
        <v>57</v>
      </c>
      <c r="T291" t="s">
        <v>560</v>
      </c>
      <c r="U291" t="s">
        <v>60</v>
      </c>
      <c r="V291">
        <v>970</v>
      </c>
      <c r="AG291" t="s">
        <v>964</v>
      </c>
      <c r="AH291" s="3">
        <v>43419</v>
      </c>
      <c r="AI291">
        <v>7350</v>
      </c>
      <c r="AJ291">
        <v>0</v>
      </c>
      <c r="AS291" t="s">
        <v>879</v>
      </c>
      <c r="AT291" s="3">
        <v>43539</v>
      </c>
      <c r="AU291">
        <v>7203</v>
      </c>
      <c r="AV291">
        <v>0</v>
      </c>
      <c r="AW291">
        <v>147</v>
      </c>
      <c r="AX291">
        <v>0</v>
      </c>
    </row>
    <row r="292" spans="1:56" x14ac:dyDescent="0.25">
      <c r="A292" t="s">
        <v>965</v>
      </c>
      <c r="B292" s="3">
        <v>43423</v>
      </c>
      <c r="C292" t="s">
        <v>87</v>
      </c>
      <c r="D292" t="s">
        <v>245</v>
      </c>
      <c r="E292" t="s">
        <v>89</v>
      </c>
      <c r="F292">
        <v>7350</v>
      </c>
      <c r="G292" t="s">
        <v>966</v>
      </c>
      <c r="H292" s="3">
        <v>43423</v>
      </c>
      <c r="I292" t="s">
        <v>601</v>
      </c>
      <c r="J292">
        <v>6500</v>
      </c>
      <c r="K292" s="1"/>
      <c r="M292" s="3">
        <v>43424</v>
      </c>
      <c r="N292" t="s">
        <v>54</v>
      </c>
      <c r="O292" t="s">
        <v>967</v>
      </c>
      <c r="P292" t="s">
        <v>56</v>
      </c>
      <c r="Q292">
        <v>5950</v>
      </c>
      <c r="R292" s="3">
        <v>43476</v>
      </c>
      <c r="S292" t="s">
        <v>54</v>
      </c>
      <c r="T292" t="s">
        <v>968</v>
      </c>
      <c r="U292" t="s">
        <v>60</v>
      </c>
      <c r="V292">
        <v>470</v>
      </c>
      <c r="AG292" t="s">
        <v>969</v>
      </c>
      <c r="AH292" s="3">
        <v>43452</v>
      </c>
      <c r="AI292">
        <v>7350</v>
      </c>
      <c r="AJ292">
        <v>0</v>
      </c>
      <c r="AS292" t="s">
        <v>970</v>
      </c>
      <c r="AT292" s="3">
        <v>43514</v>
      </c>
      <c r="AU292">
        <v>43069</v>
      </c>
      <c r="AV292">
        <v>0</v>
      </c>
      <c r="AW292">
        <v>879</v>
      </c>
      <c r="AX292">
        <v>0</v>
      </c>
      <c r="AY292" t="s">
        <v>879</v>
      </c>
      <c r="AZ292" s="3">
        <v>43539</v>
      </c>
      <c r="BA292">
        <v>15727</v>
      </c>
      <c r="BB292">
        <v>0</v>
      </c>
      <c r="BC292">
        <v>321</v>
      </c>
      <c r="BD292">
        <v>0</v>
      </c>
    </row>
    <row r="293" spans="1:56" x14ac:dyDescent="0.25">
      <c r="A293" t="s">
        <v>971</v>
      </c>
      <c r="B293" s="3">
        <v>43420</v>
      </c>
      <c r="C293" t="s">
        <v>87</v>
      </c>
      <c r="D293" t="s">
        <v>378</v>
      </c>
      <c r="E293" t="s">
        <v>89</v>
      </c>
      <c r="F293">
        <v>7650</v>
      </c>
      <c r="G293" t="s">
        <v>972</v>
      </c>
      <c r="H293" s="3">
        <v>43424</v>
      </c>
      <c r="I293" t="s">
        <v>514</v>
      </c>
      <c r="J293">
        <v>7000</v>
      </c>
      <c r="K293" s="1"/>
      <c r="M293" s="3">
        <v>43428</v>
      </c>
      <c r="N293" t="s">
        <v>54</v>
      </c>
      <c r="O293" t="s">
        <v>973</v>
      </c>
      <c r="P293" t="s">
        <v>56</v>
      </c>
      <c r="Q293">
        <v>5900</v>
      </c>
      <c r="AG293" t="s">
        <v>974</v>
      </c>
      <c r="AH293" s="3">
        <v>43433</v>
      </c>
      <c r="AI293">
        <v>7650</v>
      </c>
      <c r="AJ293">
        <v>0</v>
      </c>
      <c r="AS293" t="s">
        <v>897</v>
      </c>
      <c r="AT293" s="3">
        <v>43483</v>
      </c>
      <c r="AU293">
        <v>7497</v>
      </c>
      <c r="AV293">
        <v>0</v>
      </c>
      <c r="AW293">
        <v>153</v>
      </c>
      <c r="AX293">
        <v>0</v>
      </c>
    </row>
    <row r="294" spans="1:56" x14ac:dyDescent="0.25">
      <c r="A294" t="s">
        <v>975</v>
      </c>
      <c r="B294" s="3">
        <v>43421</v>
      </c>
      <c r="C294" t="s">
        <v>87</v>
      </c>
      <c r="D294" t="s">
        <v>300</v>
      </c>
      <c r="E294" t="s">
        <v>89</v>
      </c>
      <c r="F294">
        <v>3595</v>
      </c>
      <c r="G294" t="s">
        <v>976</v>
      </c>
      <c r="H294" s="3">
        <v>43424</v>
      </c>
      <c r="I294" t="s">
        <v>514</v>
      </c>
      <c r="J294">
        <v>2500</v>
      </c>
      <c r="K294" s="1"/>
      <c r="M294" s="3">
        <v>43428</v>
      </c>
      <c r="N294" t="s">
        <v>57</v>
      </c>
      <c r="O294" t="s">
        <v>977</v>
      </c>
      <c r="P294" t="s">
        <v>56</v>
      </c>
      <c r="Q294">
        <v>1950</v>
      </c>
      <c r="R294" s="3">
        <v>43439</v>
      </c>
      <c r="S294" t="s">
        <v>57</v>
      </c>
      <c r="U294" t="s">
        <v>60</v>
      </c>
      <c r="V294">
        <v>470</v>
      </c>
      <c r="AG294" t="s">
        <v>978</v>
      </c>
      <c r="AH294" s="3">
        <v>43433</v>
      </c>
      <c r="AI294">
        <v>3595</v>
      </c>
      <c r="AJ294">
        <v>0</v>
      </c>
      <c r="AS294" t="s">
        <v>897</v>
      </c>
      <c r="AT294" s="3">
        <v>43483</v>
      </c>
      <c r="AU294">
        <v>17341</v>
      </c>
      <c r="AV294">
        <v>0</v>
      </c>
      <c r="AW294">
        <v>354</v>
      </c>
      <c r="AX294">
        <v>0</v>
      </c>
    </row>
    <row r="295" spans="1:56" x14ac:dyDescent="0.25">
      <c r="A295" t="s">
        <v>979</v>
      </c>
      <c r="B295" s="3">
        <v>43426</v>
      </c>
      <c r="C295" t="s">
        <v>87</v>
      </c>
      <c r="D295" t="s">
        <v>276</v>
      </c>
      <c r="E295" t="s">
        <v>89</v>
      </c>
      <c r="F295">
        <v>11200</v>
      </c>
      <c r="G295" t="s">
        <v>980</v>
      </c>
      <c r="H295" s="3">
        <v>43426</v>
      </c>
      <c r="I295" t="s">
        <v>344</v>
      </c>
      <c r="J295">
        <v>10000</v>
      </c>
      <c r="K295" s="1"/>
      <c r="M295" s="3">
        <v>43428</v>
      </c>
      <c r="N295" t="s">
        <v>54</v>
      </c>
      <c r="O295" t="s">
        <v>981</v>
      </c>
      <c r="P295" t="s">
        <v>56</v>
      </c>
      <c r="Q295">
        <v>8900</v>
      </c>
      <c r="R295" s="3">
        <v>43512</v>
      </c>
      <c r="S295" t="s">
        <v>54</v>
      </c>
      <c r="T295" t="s">
        <v>410</v>
      </c>
      <c r="U295" t="s">
        <v>60</v>
      </c>
      <c r="V295">
        <v>970</v>
      </c>
      <c r="AG295" t="s">
        <v>969</v>
      </c>
      <c r="AH295" s="3">
        <v>43452</v>
      </c>
      <c r="AI295">
        <v>11200</v>
      </c>
      <c r="AJ295">
        <v>0</v>
      </c>
      <c r="AS295" t="s">
        <v>970</v>
      </c>
      <c r="AT295" s="3">
        <v>43514</v>
      </c>
      <c r="AU295">
        <v>43069</v>
      </c>
      <c r="AV295">
        <v>0</v>
      </c>
      <c r="AW295">
        <v>879</v>
      </c>
      <c r="AX295">
        <v>0</v>
      </c>
      <c r="AY295" t="s">
        <v>879</v>
      </c>
      <c r="AZ295" s="3">
        <v>43539</v>
      </c>
      <c r="BA295">
        <v>15727</v>
      </c>
      <c r="BB295">
        <v>0</v>
      </c>
      <c r="BC295">
        <v>321</v>
      </c>
      <c r="BD295">
        <v>0</v>
      </c>
    </row>
    <row r="296" spans="1:56" x14ac:dyDescent="0.25">
      <c r="A296" t="s">
        <v>982</v>
      </c>
      <c r="B296" s="3">
        <v>43416</v>
      </c>
      <c r="C296" t="s">
        <v>87</v>
      </c>
      <c r="D296" t="s">
        <v>300</v>
      </c>
      <c r="E296" t="s">
        <v>89</v>
      </c>
      <c r="F296">
        <v>3595</v>
      </c>
      <c r="G296" t="s">
        <v>983</v>
      </c>
      <c r="H296" s="3">
        <v>43427</v>
      </c>
      <c r="I296" t="s">
        <v>514</v>
      </c>
      <c r="J296">
        <v>2500</v>
      </c>
      <c r="K296" s="1"/>
      <c r="M296" s="3">
        <v>43428</v>
      </c>
      <c r="N296" t="s">
        <v>57</v>
      </c>
      <c r="O296" t="s">
        <v>984</v>
      </c>
      <c r="P296" t="s">
        <v>56</v>
      </c>
      <c r="Q296">
        <v>1950</v>
      </c>
      <c r="R296" s="3">
        <v>43439</v>
      </c>
      <c r="S296" t="s">
        <v>57</v>
      </c>
      <c r="U296" t="s">
        <v>60</v>
      </c>
      <c r="V296">
        <v>470</v>
      </c>
      <c r="AG296" t="s">
        <v>896</v>
      </c>
      <c r="AH296" s="3">
        <v>43419</v>
      </c>
      <c r="AI296">
        <v>3595</v>
      </c>
      <c r="AJ296">
        <v>0</v>
      </c>
      <c r="AS296" t="s">
        <v>897</v>
      </c>
      <c r="AT296" s="3">
        <v>43483</v>
      </c>
      <c r="AU296">
        <v>10381</v>
      </c>
      <c r="AV296">
        <v>0</v>
      </c>
      <c r="AW296">
        <v>212</v>
      </c>
      <c r="AX296">
        <v>0</v>
      </c>
    </row>
    <row r="297" spans="1:56" x14ac:dyDescent="0.25">
      <c r="A297" t="s">
        <v>985</v>
      </c>
      <c r="B297" s="3">
        <v>43427</v>
      </c>
      <c r="C297" t="s">
        <v>87</v>
      </c>
      <c r="D297" t="s">
        <v>238</v>
      </c>
      <c r="E297" t="s">
        <v>89</v>
      </c>
      <c r="F297">
        <v>9050</v>
      </c>
      <c r="G297" t="s">
        <v>986</v>
      </c>
      <c r="H297" s="3">
        <v>43427</v>
      </c>
      <c r="I297" t="s">
        <v>344</v>
      </c>
      <c r="J297">
        <v>8000</v>
      </c>
      <c r="K297" s="1"/>
      <c r="M297" s="3">
        <v>43428</v>
      </c>
      <c r="N297" t="s">
        <v>54</v>
      </c>
      <c r="O297" t="s">
        <v>981</v>
      </c>
      <c r="P297" t="s">
        <v>56</v>
      </c>
      <c r="Q297">
        <v>6900</v>
      </c>
      <c r="R297" s="3">
        <v>43542</v>
      </c>
      <c r="S297" t="s">
        <v>54</v>
      </c>
      <c r="T297" t="s">
        <v>410</v>
      </c>
      <c r="U297" t="s">
        <v>60</v>
      </c>
      <c r="V297">
        <v>970</v>
      </c>
      <c r="AG297" t="s">
        <v>987</v>
      </c>
      <c r="AH297" s="3">
        <v>43477</v>
      </c>
      <c r="AI297">
        <v>9050</v>
      </c>
      <c r="AJ297">
        <v>0</v>
      </c>
      <c r="AS297" t="s">
        <v>957</v>
      </c>
      <c r="AT297" s="3">
        <v>43544</v>
      </c>
      <c r="AU297">
        <v>8869</v>
      </c>
      <c r="AV297">
        <v>0</v>
      </c>
      <c r="AW297">
        <v>181</v>
      </c>
      <c r="AX297">
        <v>0</v>
      </c>
    </row>
    <row r="298" spans="1:56" x14ac:dyDescent="0.25">
      <c r="A298" t="s">
        <v>988</v>
      </c>
      <c r="B298" s="3">
        <v>43427</v>
      </c>
      <c r="C298" t="s">
        <v>87</v>
      </c>
      <c r="D298" t="s">
        <v>251</v>
      </c>
      <c r="E298" t="s">
        <v>89</v>
      </c>
      <c r="F298">
        <v>7050</v>
      </c>
      <c r="G298" t="s">
        <v>989</v>
      </c>
      <c r="H298" s="3">
        <v>43427</v>
      </c>
      <c r="I298" t="s">
        <v>601</v>
      </c>
      <c r="J298">
        <v>8000</v>
      </c>
      <c r="K298" s="1"/>
      <c r="M298" s="3">
        <v>43434</v>
      </c>
      <c r="N298" t="s">
        <v>54</v>
      </c>
      <c r="O298" t="s">
        <v>968</v>
      </c>
      <c r="P298" t="s">
        <v>60</v>
      </c>
      <c r="Q298">
        <v>950</v>
      </c>
      <c r="R298" s="3">
        <v>43434</v>
      </c>
      <c r="S298" t="s">
        <v>54</v>
      </c>
      <c r="T298" t="s">
        <v>601</v>
      </c>
      <c r="U298" t="s">
        <v>56</v>
      </c>
      <c r="V298">
        <v>6950</v>
      </c>
      <c r="AG298" t="s">
        <v>978</v>
      </c>
      <c r="AH298" s="3">
        <v>43433</v>
      </c>
      <c r="AI298">
        <v>7050</v>
      </c>
      <c r="AJ298">
        <v>0</v>
      </c>
      <c r="AS298" t="s">
        <v>897</v>
      </c>
      <c r="AT298" s="3">
        <v>43483</v>
      </c>
      <c r="AU298">
        <v>17341</v>
      </c>
      <c r="AV298">
        <v>0</v>
      </c>
      <c r="AW298">
        <v>354</v>
      </c>
      <c r="AX298">
        <v>0</v>
      </c>
    </row>
    <row r="299" spans="1:56" x14ac:dyDescent="0.25">
      <c r="A299" t="s">
        <v>990</v>
      </c>
      <c r="B299" s="3">
        <v>43427</v>
      </c>
      <c r="C299" t="s">
        <v>87</v>
      </c>
      <c r="D299" t="s">
        <v>142</v>
      </c>
      <c r="E299" t="s">
        <v>89</v>
      </c>
      <c r="F299">
        <v>7050</v>
      </c>
      <c r="K299" s="1"/>
      <c r="AG299" t="s">
        <v>978</v>
      </c>
      <c r="AH299" s="3">
        <v>43433</v>
      </c>
      <c r="AI299">
        <v>7050</v>
      </c>
      <c r="AJ299">
        <v>0</v>
      </c>
      <c r="AS299" t="s">
        <v>897</v>
      </c>
      <c r="AT299" s="3">
        <v>43483</v>
      </c>
      <c r="AU299">
        <v>17341</v>
      </c>
      <c r="AV299">
        <v>0</v>
      </c>
      <c r="AW299">
        <v>354</v>
      </c>
      <c r="AX299">
        <v>0</v>
      </c>
    </row>
    <row r="300" spans="1:56" x14ac:dyDescent="0.25">
      <c r="A300" t="s">
        <v>991</v>
      </c>
      <c r="B300" s="3">
        <v>43427</v>
      </c>
      <c r="C300" t="s">
        <v>87</v>
      </c>
      <c r="D300" t="s">
        <v>300</v>
      </c>
      <c r="E300" t="s">
        <v>89</v>
      </c>
      <c r="F300">
        <v>3595</v>
      </c>
      <c r="G300" t="s">
        <v>992</v>
      </c>
      <c r="H300" s="3">
        <v>43427</v>
      </c>
      <c r="I300" t="s">
        <v>514</v>
      </c>
      <c r="J300">
        <v>2500</v>
      </c>
      <c r="K300" s="1"/>
      <c r="M300" s="3">
        <v>43428</v>
      </c>
      <c r="N300" t="s">
        <v>57</v>
      </c>
      <c r="O300" t="s">
        <v>993</v>
      </c>
      <c r="P300" t="s">
        <v>56</v>
      </c>
      <c r="Q300">
        <v>1950</v>
      </c>
      <c r="R300" s="3">
        <v>43439</v>
      </c>
      <c r="S300" t="s">
        <v>57</v>
      </c>
      <c r="U300" t="s">
        <v>60</v>
      </c>
      <c r="V300">
        <v>470</v>
      </c>
      <c r="AG300" t="s">
        <v>994</v>
      </c>
      <c r="AH300" s="3">
        <v>43438</v>
      </c>
      <c r="AI300">
        <v>3595</v>
      </c>
      <c r="AJ300">
        <v>0</v>
      </c>
      <c r="AS300" t="s">
        <v>897</v>
      </c>
      <c r="AT300" s="3">
        <v>43483</v>
      </c>
      <c r="AU300">
        <v>3523</v>
      </c>
      <c r="AV300">
        <v>0</v>
      </c>
      <c r="AW300">
        <v>72</v>
      </c>
      <c r="AX300">
        <v>0</v>
      </c>
    </row>
    <row r="301" spans="1:56" x14ac:dyDescent="0.25">
      <c r="A301" t="s">
        <v>995</v>
      </c>
      <c r="B301" s="3">
        <v>43427</v>
      </c>
      <c r="C301" t="s">
        <v>87</v>
      </c>
      <c r="D301" t="s">
        <v>241</v>
      </c>
      <c r="E301" t="s">
        <v>89</v>
      </c>
      <c r="F301">
        <v>6998</v>
      </c>
      <c r="G301" t="s">
        <v>996</v>
      </c>
      <c r="H301" s="3">
        <v>43427</v>
      </c>
      <c r="I301" t="s">
        <v>344</v>
      </c>
      <c r="J301">
        <v>6000</v>
      </c>
      <c r="K301" s="1"/>
      <c r="M301" s="3">
        <v>43428</v>
      </c>
      <c r="N301" t="s">
        <v>54</v>
      </c>
      <c r="O301" t="s">
        <v>981</v>
      </c>
      <c r="P301" t="s">
        <v>56</v>
      </c>
      <c r="Q301">
        <v>4900</v>
      </c>
      <c r="R301" s="3">
        <v>43512</v>
      </c>
      <c r="S301" t="s">
        <v>54</v>
      </c>
      <c r="T301" t="s">
        <v>410</v>
      </c>
      <c r="U301" t="s">
        <v>60</v>
      </c>
      <c r="V301">
        <v>970</v>
      </c>
      <c r="AG301" t="s">
        <v>997</v>
      </c>
      <c r="AH301" s="3">
        <v>43452</v>
      </c>
      <c r="AI301">
        <v>6998</v>
      </c>
      <c r="AJ301">
        <v>0</v>
      </c>
      <c r="AS301" t="s">
        <v>970</v>
      </c>
      <c r="AT301" s="3">
        <v>43514</v>
      </c>
      <c r="AU301">
        <v>6858</v>
      </c>
      <c r="AV301">
        <v>0</v>
      </c>
      <c r="AW301">
        <v>140</v>
      </c>
      <c r="AX301">
        <v>0</v>
      </c>
    </row>
    <row r="302" spans="1:56" x14ac:dyDescent="0.25">
      <c r="A302" t="s">
        <v>998</v>
      </c>
      <c r="B302" s="3">
        <v>43433</v>
      </c>
      <c r="C302" t="s">
        <v>87</v>
      </c>
      <c r="D302" t="s">
        <v>251</v>
      </c>
      <c r="E302" t="s">
        <v>89</v>
      </c>
      <c r="F302">
        <v>8998</v>
      </c>
      <c r="G302" t="s">
        <v>999</v>
      </c>
      <c r="H302" s="3">
        <v>43433</v>
      </c>
      <c r="I302" t="s">
        <v>230</v>
      </c>
      <c r="J302">
        <v>6000</v>
      </c>
      <c r="K302" s="1"/>
      <c r="M302" s="3">
        <v>43434</v>
      </c>
      <c r="N302" t="s">
        <v>54</v>
      </c>
      <c r="O302" t="s">
        <v>305</v>
      </c>
      <c r="P302" t="s">
        <v>56</v>
      </c>
      <c r="Q302">
        <v>5400</v>
      </c>
      <c r="R302" s="3">
        <v>43455</v>
      </c>
      <c r="S302" t="s">
        <v>54</v>
      </c>
      <c r="T302" t="s">
        <v>305</v>
      </c>
      <c r="U302" t="s">
        <v>60</v>
      </c>
      <c r="V302">
        <v>470</v>
      </c>
      <c r="AG302" t="s">
        <v>969</v>
      </c>
      <c r="AH302" s="3">
        <v>43452</v>
      </c>
      <c r="AI302">
        <v>8998</v>
      </c>
      <c r="AJ302">
        <v>0</v>
      </c>
      <c r="AS302" t="s">
        <v>970</v>
      </c>
      <c r="AT302" s="3">
        <v>43514</v>
      </c>
      <c r="AU302">
        <v>43069</v>
      </c>
      <c r="AV302">
        <v>0</v>
      </c>
      <c r="AW302">
        <v>879</v>
      </c>
      <c r="AX302">
        <v>0</v>
      </c>
      <c r="AY302" t="s">
        <v>879</v>
      </c>
      <c r="AZ302" s="3">
        <v>43539</v>
      </c>
      <c r="BA302">
        <v>15727</v>
      </c>
      <c r="BB302">
        <v>0</v>
      </c>
      <c r="BC302">
        <v>321</v>
      </c>
      <c r="BD302">
        <v>0</v>
      </c>
    </row>
    <row r="303" spans="1:56" x14ac:dyDescent="0.25">
      <c r="A303" t="s">
        <v>1000</v>
      </c>
      <c r="B303" s="3">
        <v>43434</v>
      </c>
      <c r="C303" t="s">
        <v>87</v>
      </c>
      <c r="D303" t="s">
        <v>262</v>
      </c>
      <c r="E303" t="s">
        <v>89</v>
      </c>
      <c r="F303">
        <v>9050</v>
      </c>
      <c r="G303" t="s">
        <v>1001</v>
      </c>
      <c r="H303" s="3">
        <v>43434</v>
      </c>
      <c r="I303" t="s">
        <v>344</v>
      </c>
      <c r="J303">
        <v>12000</v>
      </c>
      <c r="K303" s="1"/>
      <c r="M303" s="3">
        <v>43439</v>
      </c>
      <c r="N303" t="s">
        <v>54</v>
      </c>
      <c r="O303" t="s">
        <v>1002</v>
      </c>
      <c r="P303" t="s">
        <v>56</v>
      </c>
      <c r="Q303">
        <v>9900</v>
      </c>
      <c r="R303" s="3">
        <v>43512</v>
      </c>
      <c r="S303" t="s">
        <v>54</v>
      </c>
      <c r="T303" t="s">
        <v>410</v>
      </c>
      <c r="U303" t="s">
        <v>60</v>
      </c>
      <c r="V303">
        <v>1950</v>
      </c>
      <c r="AG303" t="s">
        <v>969</v>
      </c>
      <c r="AH303" s="3">
        <v>43452</v>
      </c>
      <c r="AI303">
        <v>9050</v>
      </c>
      <c r="AJ303">
        <v>0</v>
      </c>
      <c r="AS303" t="s">
        <v>970</v>
      </c>
      <c r="AT303" s="3">
        <v>43514</v>
      </c>
      <c r="AU303">
        <v>43069</v>
      </c>
      <c r="AV303">
        <v>0</v>
      </c>
      <c r="AW303">
        <v>879</v>
      </c>
      <c r="AX303">
        <v>0</v>
      </c>
      <c r="AY303" t="s">
        <v>879</v>
      </c>
      <c r="AZ303" s="3">
        <v>43539</v>
      </c>
      <c r="BA303">
        <v>15727</v>
      </c>
      <c r="BB303">
        <v>0</v>
      </c>
      <c r="BC303">
        <v>321</v>
      </c>
      <c r="BD303">
        <v>0</v>
      </c>
    </row>
    <row r="304" spans="1:56" x14ac:dyDescent="0.25">
      <c r="A304" t="s">
        <v>1003</v>
      </c>
      <c r="B304" s="3">
        <v>43434</v>
      </c>
      <c r="C304" t="s">
        <v>87</v>
      </c>
      <c r="D304" t="s">
        <v>486</v>
      </c>
      <c r="E304" t="s">
        <v>89</v>
      </c>
      <c r="F304">
        <v>6998</v>
      </c>
      <c r="K304" s="1"/>
      <c r="AG304" t="s">
        <v>969</v>
      </c>
      <c r="AH304" s="3">
        <v>43452</v>
      </c>
      <c r="AI304">
        <v>6998</v>
      </c>
      <c r="AJ304">
        <v>0</v>
      </c>
      <c r="AS304" t="s">
        <v>970</v>
      </c>
      <c r="AT304" s="3">
        <v>43514</v>
      </c>
      <c r="AU304">
        <v>43069</v>
      </c>
      <c r="AV304">
        <v>0</v>
      </c>
      <c r="AW304">
        <v>879</v>
      </c>
      <c r="AX304">
        <v>0</v>
      </c>
      <c r="AY304" t="s">
        <v>879</v>
      </c>
      <c r="AZ304" s="3">
        <v>43539</v>
      </c>
      <c r="BA304">
        <v>15727</v>
      </c>
      <c r="BB304">
        <v>0</v>
      </c>
      <c r="BC304">
        <v>321</v>
      </c>
      <c r="BD304">
        <v>0</v>
      </c>
    </row>
    <row r="305" spans="1:56" x14ac:dyDescent="0.25">
      <c r="A305" t="s">
        <v>1004</v>
      </c>
      <c r="B305" s="3">
        <v>43434</v>
      </c>
      <c r="C305" t="s">
        <v>87</v>
      </c>
      <c r="D305" t="s">
        <v>238</v>
      </c>
      <c r="E305" t="s">
        <v>89</v>
      </c>
      <c r="F305">
        <v>9050</v>
      </c>
      <c r="G305" t="s">
        <v>1005</v>
      </c>
      <c r="H305" s="3">
        <v>43435</v>
      </c>
      <c r="I305" t="s">
        <v>344</v>
      </c>
      <c r="J305">
        <v>12000</v>
      </c>
      <c r="K305" s="1"/>
      <c r="M305" s="3">
        <v>43439</v>
      </c>
      <c r="N305" t="s">
        <v>54</v>
      </c>
      <c r="O305" t="s">
        <v>1002</v>
      </c>
      <c r="P305" t="s">
        <v>56</v>
      </c>
      <c r="Q305">
        <v>9900</v>
      </c>
      <c r="R305" s="3">
        <v>43512</v>
      </c>
      <c r="S305" t="s">
        <v>54</v>
      </c>
      <c r="T305" t="s">
        <v>410</v>
      </c>
      <c r="U305" t="s">
        <v>60</v>
      </c>
      <c r="V305">
        <v>1950</v>
      </c>
      <c r="AG305" t="s">
        <v>969</v>
      </c>
      <c r="AH305" s="3">
        <v>43452</v>
      </c>
      <c r="AI305">
        <v>9050</v>
      </c>
      <c r="AJ305">
        <v>0</v>
      </c>
      <c r="AS305" t="s">
        <v>970</v>
      </c>
      <c r="AT305" s="3">
        <v>43514</v>
      </c>
      <c r="AU305">
        <v>43069</v>
      </c>
      <c r="AV305">
        <v>0</v>
      </c>
      <c r="AW305">
        <v>879</v>
      </c>
      <c r="AX305">
        <v>0</v>
      </c>
      <c r="AY305" t="s">
        <v>879</v>
      </c>
      <c r="AZ305" s="3">
        <v>43539</v>
      </c>
      <c r="BA305">
        <v>15727</v>
      </c>
      <c r="BB305">
        <v>0</v>
      </c>
      <c r="BC305">
        <v>321</v>
      </c>
      <c r="BD305">
        <v>0</v>
      </c>
    </row>
    <row r="306" spans="1:56" x14ac:dyDescent="0.25">
      <c r="A306" t="s">
        <v>1006</v>
      </c>
      <c r="B306" s="3">
        <v>43435</v>
      </c>
      <c r="C306" t="s">
        <v>87</v>
      </c>
      <c r="D306" t="s">
        <v>245</v>
      </c>
      <c r="E306" t="s">
        <v>89</v>
      </c>
      <c r="F306">
        <v>7350</v>
      </c>
      <c r="K306" s="1"/>
      <c r="AG306" t="s">
        <v>969</v>
      </c>
      <c r="AH306" s="3">
        <v>43452</v>
      </c>
      <c r="AI306">
        <v>7350</v>
      </c>
      <c r="AJ306">
        <v>0</v>
      </c>
      <c r="AS306" t="s">
        <v>970</v>
      </c>
      <c r="AT306" s="3">
        <v>43514</v>
      </c>
      <c r="AU306">
        <v>43069</v>
      </c>
      <c r="AV306">
        <v>0</v>
      </c>
      <c r="AW306">
        <v>879</v>
      </c>
      <c r="AX306">
        <v>0</v>
      </c>
      <c r="AY306" t="s">
        <v>879</v>
      </c>
      <c r="AZ306" s="3">
        <v>43539</v>
      </c>
      <c r="BA306">
        <v>15727</v>
      </c>
      <c r="BB306">
        <v>0</v>
      </c>
      <c r="BC306">
        <v>321</v>
      </c>
      <c r="BD306">
        <v>0</v>
      </c>
    </row>
    <row r="307" spans="1:56" x14ac:dyDescent="0.25">
      <c r="A307" t="s">
        <v>1007</v>
      </c>
      <c r="B307" s="3">
        <v>43439</v>
      </c>
      <c r="C307" t="s">
        <v>87</v>
      </c>
      <c r="D307" t="s">
        <v>142</v>
      </c>
      <c r="E307" t="s">
        <v>89</v>
      </c>
      <c r="F307">
        <v>7050</v>
      </c>
      <c r="G307" t="s">
        <v>1008</v>
      </c>
      <c r="H307" s="3">
        <v>43439</v>
      </c>
      <c r="I307" t="s">
        <v>514</v>
      </c>
      <c r="J307">
        <v>5800</v>
      </c>
      <c r="K307" s="1"/>
      <c r="M307" s="3">
        <v>43440</v>
      </c>
      <c r="N307" t="s">
        <v>57</v>
      </c>
      <c r="P307" t="s">
        <v>56</v>
      </c>
      <c r="Q307">
        <v>4700</v>
      </c>
      <c r="R307" s="3">
        <v>43476</v>
      </c>
      <c r="S307" t="s">
        <v>57</v>
      </c>
      <c r="U307" t="s">
        <v>60</v>
      </c>
      <c r="V307">
        <v>970</v>
      </c>
      <c r="AG307" t="s">
        <v>1009</v>
      </c>
      <c r="AH307" s="3">
        <v>43458</v>
      </c>
      <c r="AI307">
        <v>7050</v>
      </c>
      <c r="AJ307">
        <v>0</v>
      </c>
      <c r="AS307" t="s">
        <v>970</v>
      </c>
      <c r="AT307" s="3">
        <v>43514</v>
      </c>
      <c r="AU307">
        <v>17341</v>
      </c>
      <c r="AV307">
        <v>0</v>
      </c>
      <c r="AW307">
        <v>354</v>
      </c>
      <c r="AX307">
        <v>0</v>
      </c>
      <c r="AY307" t="s">
        <v>879</v>
      </c>
      <c r="AZ307" s="3">
        <v>43539</v>
      </c>
      <c r="BA307">
        <v>13767</v>
      </c>
      <c r="BB307">
        <v>0</v>
      </c>
      <c r="BC307">
        <v>281</v>
      </c>
      <c r="BD307">
        <v>0</v>
      </c>
    </row>
    <row r="308" spans="1:56" x14ac:dyDescent="0.25">
      <c r="A308" t="s">
        <v>1010</v>
      </c>
      <c r="B308" s="3">
        <v>43445</v>
      </c>
      <c r="C308" t="s">
        <v>87</v>
      </c>
      <c r="D308" t="s">
        <v>300</v>
      </c>
      <c r="E308" t="s">
        <v>89</v>
      </c>
      <c r="F308">
        <v>3595</v>
      </c>
      <c r="G308" t="s">
        <v>1011</v>
      </c>
      <c r="H308" s="3">
        <v>43445</v>
      </c>
      <c r="I308" t="s">
        <v>514</v>
      </c>
      <c r="J308">
        <v>2500</v>
      </c>
      <c r="K308" s="1"/>
      <c r="M308" s="3">
        <v>43449</v>
      </c>
      <c r="N308" t="s">
        <v>57</v>
      </c>
      <c r="P308" t="s">
        <v>60</v>
      </c>
      <c r="Q308">
        <v>470</v>
      </c>
      <c r="R308" s="3">
        <v>43449</v>
      </c>
      <c r="S308" t="s">
        <v>54</v>
      </c>
      <c r="T308" t="s">
        <v>1012</v>
      </c>
      <c r="U308" t="s">
        <v>56</v>
      </c>
      <c r="V308">
        <v>1950</v>
      </c>
      <c r="AG308" t="s">
        <v>1013</v>
      </c>
      <c r="AH308" s="3">
        <v>43502</v>
      </c>
      <c r="AI308">
        <v>3595</v>
      </c>
      <c r="AJ308">
        <v>0</v>
      </c>
      <c r="AS308" t="s">
        <v>957</v>
      </c>
      <c r="AT308" s="3">
        <v>43544</v>
      </c>
      <c r="AU308">
        <v>3523</v>
      </c>
      <c r="AV308">
        <v>0</v>
      </c>
      <c r="AW308">
        <v>72</v>
      </c>
      <c r="AX308">
        <v>0</v>
      </c>
    </row>
    <row r="309" spans="1:56" x14ac:dyDescent="0.25">
      <c r="A309" t="s">
        <v>1014</v>
      </c>
      <c r="B309" s="3">
        <v>43445</v>
      </c>
      <c r="C309" t="s">
        <v>87</v>
      </c>
      <c r="D309" t="s">
        <v>251</v>
      </c>
      <c r="E309" t="s">
        <v>89</v>
      </c>
      <c r="F309">
        <v>7050</v>
      </c>
      <c r="G309" t="s">
        <v>1015</v>
      </c>
      <c r="H309" s="3">
        <v>43445</v>
      </c>
      <c r="I309" t="s">
        <v>514</v>
      </c>
      <c r="J309">
        <v>7500</v>
      </c>
      <c r="K309" s="1"/>
      <c r="M309" s="3">
        <v>43449</v>
      </c>
      <c r="N309" t="s">
        <v>54</v>
      </c>
      <c r="O309" t="s">
        <v>1016</v>
      </c>
      <c r="P309" t="s">
        <v>56</v>
      </c>
      <c r="Q309">
        <v>6450</v>
      </c>
      <c r="R309" s="3">
        <v>43476</v>
      </c>
      <c r="S309" t="s">
        <v>57</v>
      </c>
      <c r="U309" t="s">
        <v>60</v>
      </c>
      <c r="V309">
        <v>970</v>
      </c>
      <c r="AG309" t="s">
        <v>1009</v>
      </c>
      <c r="AH309" s="3">
        <v>43458</v>
      </c>
      <c r="AI309">
        <v>7050</v>
      </c>
      <c r="AJ309">
        <v>0</v>
      </c>
      <c r="AS309" t="s">
        <v>970</v>
      </c>
      <c r="AT309" s="3">
        <v>43514</v>
      </c>
      <c r="AU309">
        <v>17341</v>
      </c>
      <c r="AV309">
        <v>0</v>
      </c>
      <c r="AW309">
        <v>354</v>
      </c>
      <c r="AX309">
        <v>0</v>
      </c>
      <c r="AY309" t="s">
        <v>879</v>
      </c>
      <c r="AZ309" s="3">
        <v>43539</v>
      </c>
      <c r="BA309">
        <v>13767</v>
      </c>
      <c r="BB309">
        <v>0</v>
      </c>
      <c r="BC309">
        <v>281</v>
      </c>
      <c r="BD309">
        <v>0</v>
      </c>
    </row>
    <row r="310" spans="1:56" x14ac:dyDescent="0.25">
      <c r="A310" t="s">
        <v>1017</v>
      </c>
      <c r="B310" s="3">
        <v>43445</v>
      </c>
      <c r="C310" t="s">
        <v>87</v>
      </c>
      <c r="D310" t="s">
        <v>241</v>
      </c>
      <c r="E310" t="s">
        <v>89</v>
      </c>
      <c r="F310">
        <v>6998</v>
      </c>
      <c r="K310" s="1"/>
      <c r="AG310" t="s">
        <v>1009</v>
      </c>
      <c r="AH310" s="3">
        <v>43458</v>
      </c>
      <c r="AI310">
        <v>6998</v>
      </c>
      <c r="AJ310">
        <v>0</v>
      </c>
      <c r="AS310" t="s">
        <v>970</v>
      </c>
      <c r="AT310" s="3">
        <v>43514</v>
      </c>
      <c r="AU310">
        <v>17341</v>
      </c>
      <c r="AV310">
        <v>0</v>
      </c>
      <c r="AW310">
        <v>354</v>
      </c>
      <c r="AX310">
        <v>0</v>
      </c>
      <c r="AY310" t="s">
        <v>879</v>
      </c>
      <c r="AZ310" s="3">
        <v>43539</v>
      </c>
      <c r="BA310">
        <v>13767</v>
      </c>
      <c r="BB310">
        <v>0</v>
      </c>
      <c r="BC310">
        <v>281</v>
      </c>
      <c r="BD310">
        <v>0</v>
      </c>
    </row>
    <row r="311" spans="1:56" x14ac:dyDescent="0.25">
      <c r="A311" t="s">
        <v>1018</v>
      </c>
      <c r="B311" s="3">
        <v>43445</v>
      </c>
      <c r="C311" t="s">
        <v>87</v>
      </c>
      <c r="D311" t="s">
        <v>206</v>
      </c>
      <c r="E311" t="s">
        <v>89</v>
      </c>
      <c r="F311">
        <v>11000</v>
      </c>
      <c r="G311" t="s">
        <v>1019</v>
      </c>
      <c r="H311" s="3">
        <v>43445</v>
      </c>
      <c r="I311" t="s">
        <v>344</v>
      </c>
      <c r="J311">
        <v>10500</v>
      </c>
      <c r="K311" s="1"/>
      <c r="M311" s="3">
        <v>43449</v>
      </c>
      <c r="N311" t="s">
        <v>54</v>
      </c>
      <c r="O311" t="s">
        <v>410</v>
      </c>
      <c r="P311" t="s">
        <v>56</v>
      </c>
      <c r="Q311">
        <v>9400</v>
      </c>
      <c r="R311" s="3">
        <v>43512</v>
      </c>
      <c r="S311" t="s">
        <v>54</v>
      </c>
      <c r="T311" t="s">
        <v>410</v>
      </c>
      <c r="U311" t="s">
        <v>60</v>
      </c>
      <c r="V311">
        <v>970</v>
      </c>
      <c r="AG311" t="s">
        <v>1020</v>
      </c>
      <c r="AH311" s="3">
        <v>43461</v>
      </c>
      <c r="AI311">
        <v>11000</v>
      </c>
      <c r="AJ311">
        <v>0</v>
      </c>
      <c r="AS311" t="s">
        <v>970</v>
      </c>
      <c r="AT311" s="3">
        <v>43514</v>
      </c>
      <c r="AU311">
        <v>10780</v>
      </c>
      <c r="AV311">
        <v>0</v>
      </c>
      <c r="AW311">
        <v>220</v>
      </c>
      <c r="AX311">
        <v>0</v>
      </c>
    </row>
    <row r="312" spans="1:56" x14ac:dyDescent="0.25">
      <c r="A312" t="s">
        <v>1021</v>
      </c>
      <c r="B312" s="3">
        <v>43445</v>
      </c>
      <c r="C312" t="s">
        <v>87</v>
      </c>
      <c r="D312" t="s">
        <v>378</v>
      </c>
      <c r="E312" t="s">
        <v>89</v>
      </c>
      <c r="F312">
        <v>11000</v>
      </c>
      <c r="G312" t="s">
        <v>1022</v>
      </c>
      <c r="H312" s="3">
        <v>43445</v>
      </c>
      <c r="I312" t="s">
        <v>514</v>
      </c>
      <c r="J312">
        <v>9000</v>
      </c>
      <c r="K312" s="1"/>
      <c r="M312" s="3">
        <v>43449</v>
      </c>
      <c r="N312" t="s">
        <v>54</v>
      </c>
      <c r="O312" t="s">
        <v>1023</v>
      </c>
      <c r="P312" t="s">
        <v>56</v>
      </c>
      <c r="Q312">
        <v>7900</v>
      </c>
      <c r="R312" s="3">
        <v>43468</v>
      </c>
      <c r="S312" t="s">
        <v>54</v>
      </c>
      <c r="T312" t="s">
        <v>1023</v>
      </c>
      <c r="U312" t="s">
        <v>60</v>
      </c>
      <c r="V312">
        <v>970</v>
      </c>
      <c r="AG312" t="s">
        <v>1024</v>
      </c>
      <c r="AH312" s="3">
        <v>43458</v>
      </c>
      <c r="AI312">
        <v>11000</v>
      </c>
      <c r="AJ312">
        <v>0</v>
      </c>
      <c r="AS312" t="s">
        <v>970</v>
      </c>
      <c r="AT312" s="3">
        <v>43514</v>
      </c>
      <c r="AU312">
        <v>7497</v>
      </c>
      <c r="AV312">
        <v>0</v>
      </c>
      <c r="AW312">
        <v>153</v>
      </c>
      <c r="AX312">
        <v>0</v>
      </c>
      <c r="AY312" t="s">
        <v>879</v>
      </c>
      <c r="AZ312" s="3">
        <v>43539</v>
      </c>
      <c r="BA312">
        <v>3283</v>
      </c>
      <c r="BB312">
        <v>0</v>
      </c>
      <c r="BC312">
        <v>67</v>
      </c>
      <c r="BD312">
        <v>0</v>
      </c>
    </row>
    <row r="313" spans="1:56" x14ac:dyDescent="0.25">
      <c r="A313" t="s">
        <v>1025</v>
      </c>
      <c r="B313" s="3">
        <v>43447</v>
      </c>
      <c r="C313" t="s">
        <v>87</v>
      </c>
      <c r="D313" t="s">
        <v>142</v>
      </c>
      <c r="E313" t="s">
        <v>89</v>
      </c>
      <c r="F313">
        <v>7050</v>
      </c>
      <c r="G313" t="s">
        <v>1026</v>
      </c>
      <c r="H313" s="3">
        <v>43447</v>
      </c>
      <c r="I313" t="s">
        <v>514</v>
      </c>
      <c r="J313">
        <v>6000</v>
      </c>
      <c r="K313" s="1"/>
      <c r="M313" s="3">
        <v>43449</v>
      </c>
      <c r="N313" t="s">
        <v>57</v>
      </c>
      <c r="P313" t="s">
        <v>56</v>
      </c>
      <c r="Q313">
        <v>4900</v>
      </c>
      <c r="R313" s="3">
        <v>43512</v>
      </c>
      <c r="S313" t="s">
        <v>57</v>
      </c>
      <c r="U313" t="s">
        <v>60</v>
      </c>
      <c r="V313">
        <v>970</v>
      </c>
      <c r="AG313" t="s">
        <v>1009</v>
      </c>
      <c r="AH313" s="3">
        <v>43458</v>
      </c>
      <c r="AI313">
        <v>7050</v>
      </c>
      <c r="AJ313">
        <v>0</v>
      </c>
      <c r="AS313" t="s">
        <v>970</v>
      </c>
      <c r="AT313" s="3">
        <v>43514</v>
      </c>
      <c r="AU313">
        <v>17341</v>
      </c>
      <c r="AV313">
        <v>0</v>
      </c>
      <c r="AW313">
        <v>354</v>
      </c>
      <c r="AX313">
        <v>0</v>
      </c>
      <c r="AY313" t="s">
        <v>879</v>
      </c>
      <c r="AZ313" s="3">
        <v>43539</v>
      </c>
      <c r="BA313">
        <v>13767</v>
      </c>
      <c r="BB313">
        <v>0</v>
      </c>
      <c r="BC313">
        <v>281</v>
      </c>
      <c r="BD313">
        <v>0</v>
      </c>
    </row>
    <row r="314" spans="1:56" x14ac:dyDescent="0.25">
      <c r="A314" t="s">
        <v>1027</v>
      </c>
      <c r="B314" s="3">
        <v>43448</v>
      </c>
      <c r="C314" t="s">
        <v>87</v>
      </c>
      <c r="D314" t="s">
        <v>718</v>
      </c>
      <c r="E314" t="s">
        <v>89</v>
      </c>
      <c r="F314">
        <v>7350</v>
      </c>
      <c r="G314" t="s">
        <v>1028</v>
      </c>
      <c r="H314" s="3">
        <v>43448</v>
      </c>
      <c r="I314" t="s">
        <v>514</v>
      </c>
      <c r="J314">
        <v>6500</v>
      </c>
      <c r="K314" s="1">
        <v>1</v>
      </c>
      <c r="M314" s="3">
        <v>43465</v>
      </c>
      <c r="N314" t="s">
        <v>54</v>
      </c>
      <c r="O314" t="s">
        <v>1023</v>
      </c>
      <c r="P314" t="s">
        <v>56</v>
      </c>
      <c r="Q314">
        <v>5300</v>
      </c>
      <c r="AG314" t="s">
        <v>1029</v>
      </c>
      <c r="AH314" s="3">
        <v>43494</v>
      </c>
      <c r="AI314">
        <v>7350</v>
      </c>
      <c r="AJ314">
        <v>34500</v>
      </c>
    </row>
    <row r="315" spans="1:56" x14ac:dyDescent="0.25">
      <c r="A315" t="s">
        <v>1030</v>
      </c>
      <c r="B315" s="3">
        <v>43454</v>
      </c>
      <c r="C315" t="s">
        <v>87</v>
      </c>
      <c r="D315" t="s">
        <v>300</v>
      </c>
      <c r="E315" t="s">
        <v>89</v>
      </c>
      <c r="F315">
        <v>3595</v>
      </c>
      <c r="G315" t="s">
        <v>1031</v>
      </c>
      <c r="H315" s="3">
        <v>43454</v>
      </c>
      <c r="I315" t="s">
        <v>514</v>
      </c>
      <c r="J315">
        <v>2500</v>
      </c>
      <c r="K315" s="1"/>
      <c r="M315" s="3">
        <v>43455</v>
      </c>
      <c r="N315" t="s">
        <v>57</v>
      </c>
      <c r="P315" t="s">
        <v>56</v>
      </c>
      <c r="Q315">
        <v>1950</v>
      </c>
      <c r="R315" s="3">
        <v>43512</v>
      </c>
      <c r="S315" t="s">
        <v>57</v>
      </c>
      <c r="U315" t="s">
        <v>60</v>
      </c>
      <c r="V315">
        <v>470</v>
      </c>
      <c r="AG315" t="s">
        <v>1009</v>
      </c>
      <c r="AH315" s="3">
        <v>43458</v>
      </c>
      <c r="AI315">
        <v>3595</v>
      </c>
      <c r="AJ315">
        <v>0</v>
      </c>
      <c r="AS315" t="s">
        <v>970</v>
      </c>
      <c r="AT315" s="3">
        <v>43514</v>
      </c>
      <c r="AU315">
        <v>17341</v>
      </c>
      <c r="AV315">
        <v>0</v>
      </c>
      <c r="AW315">
        <v>354</v>
      </c>
      <c r="AX315">
        <v>0</v>
      </c>
      <c r="AY315" t="s">
        <v>879</v>
      </c>
      <c r="AZ315" s="3">
        <v>43539</v>
      </c>
      <c r="BA315">
        <v>13767</v>
      </c>
      <c r="BB315">
        <v>0</v>
      </c>
      <c r="BC315">
        <v>281</v>
      </c>
      <c r="BD315">
        <v>0</v>
      </c>
    </row>
    <row r="316" spans="1:56" x14ac:dyDescent="0.25">
      <c r="A316" t="s">
        <v>1032</v>
      </c>
      <c r="B316" s="3">
        <v>43455</v>
      </c>
      <c r="C316" t="s">
        <v>87</v>
      </c>
      <c r="D316" t="s">
        <v>245</v>
      </c>
      <c r="E316" t="s">
        <v>89</v>
      </c>
      <c r="F316">
        <v>9100</v>
      </c>
      <c r="G316" t="s">
        <v>1033</v>
      </c>
      <c r="H316" s="3">
        <v>43455</v>
      </c>
      <c r="I316" t="s">
        <v>344</v>
      </c>
      <c r="J316">
        <v>6000</v>
      </c>
      <c r="K316" s="1"/>
      <c r="M316" s="3">
        <v>43455</v>
      </c>
      <c r="N316" t="s">
        <v>54</v>
      </c>
      <c r="O316" t="s">
        <v>632</v>
      </c>
      <c r="P316" t="s">
        <v>56</v>
      </c>
      <c r="Q316">
        <v>4900</v>
      </c>
      <c r="R316" s="3">
        <v>43551</v>
      </c>
      <c r="S316" t="s">
        <v>54</v>
      </c>
      <c r="T316" t="s">
        <v>410</v>
      </c>
      <c r="U316" t="s">
        <v>60</v>
      </c>
      <c r="V316">
        <v>970</v>
      </c>
      <c r="AG316" t="s">
        <v>1034</v>
      </c>
      <c r="AH316" s="3">
        <v>43483</v>
      </c>
      <c r="AI316">
        <v>9100</v>
      </c>
      <c r="AJ316">
        <v>0</v>
      </c>
      <c r="AS316" t="s">
        <v>957</v>
      </c>
      <c r="AT316" s="3">
        <v>43544</v>
      </c>
      <c r="AU316">
        <v>33565</v>
      </c>
      <c r="AV316">
        <v>0</v>
      </c>
      <c r="AW316">
        <v>685</v>
      </c>
      <c r="AX316">
        <v>0</v>
      </c>
    </row>
    <row r="317" spans="1:56" x14ac:dyDescent="0.25">
      <c r="A317" t="s">
        <v>1035</v>
      </c>
      <c r="B317" s="3">
        <v>43447</v>
      </c>
      <c r="C317" t="s">
        <v>87</v>
      </c>
      <c r="D317" t="s">
        <v>262</v>
      </c>
      <c r="E317" t="s">
        <v>89</v>
      </c>
      <c r="F317">
        <v>9050</v>
      </c>
      <c r="G317" t="s">
        <v>1036</v>
      </c>
      <c r="H317" s="3">
        <v>43455</v>
      </c>
      <c r="I317" t="s">
        <v>344</v>
      </c>
      <c r="J317">
        <v>8000</v>
      </c>
      <c r="K317" s="1"/>
      <c r="M317" s="3">
        <v>43455</v>
      </c>
      <c r="N317" t="s">
        <v>54</v>
      </c>
      <c r="O317" t="s">
        <v>632</v>
      </c>
      <c r="P317" t="s">
        <v>56</v>
      </c>
      <c r="Q317">
        <v>6900</v>
      </c>
      <c r="R317" s="3">
        <v>43537</v>
      </c>
      <c r="S317" t="s">
        <v>54</v>
      </c>
      <c r="T317" t="s">
        <v>410</v>
      </c>
      <c r="U317" t="s">
        <v>60</v>
      </c>
      <c r="V317">
        <v>970</v>
      </c>
      <c r="AG317" t="s">
        <v>1037</v>
      </c>
      <c r="AH317" s="3">
        <v>43461</v>
      </c>
      <c r="AI317">
        <v>9050</v>
      </c>
      <c r="AJ317">
        <v>0</v>
      </c>
      <c r="AS317" t="s">
        <v>970</v>
      </c>
      <c r="AT317" s="3">
        <v>43514</v>
      </c>
      <c r="AU317">
        <v>8869</v>
      </c>
      <c r="AV317">
        <v>0</v>
      </c>
      <c r="AW317">
        <v>181</v>
      </c>
      <c r="AX317">
        <v>0</v>
      </c>
    </row>
    <row r="318" spans="1:56" x14ac:dyDescent="0.25">
      <c r="A318" t="s">
        <v>1038</v>
      </c>
      <c r="B318" s="3">
        <v>43456</v>
      </c>
      <c r="C318" t="s">
        <v>87</v>
      </c>
      <c r="D318" t="s">
        <v>814</v>
      </c>
      <c r="E318" t="s">
        <v>89</v>
      </c>
      <c r="F318">
        <v>9050</v>
      </c>
      <c r="G318" t="s">
        <v>1039</v>
      </c>
      <c r="H318" s="3">
        <v>43456</v>
      </c>
      <c r="I318" t="s">
        <v>514</v>
      </c>
      <c r="J318">
        <v>8700</v>
      </c>
      <c r="K318" s="1">
        <v>1</v>
      </c>
      <c r="M318" s="3">
        <v>43465</v>
      </c>
      <c r="N318" t="s">
        <v>54</v>
      </c>
      <c r="O318" t="s">
        <v>1023</v>
      </c>
      <c r="P318" t="s">
        <v>56</v>
      </c>
      <c r="Q318">
        <v>7500</v>
      </c>
      <c r="AG318" t="s">
        <v>1029</v>
      </c>
      <c r="AH318" s="3">
        <v>43494</v>
      </c>
      <c r="AI318">
        <v>9050</v>
      </c>
      <c r="AJ318">
        <v>34500</v>
      </c>
    </row>
    <row r="319" spans="1:56" x14ac:dyDescent="0.25">
      <c r="A319" t="s">
        <v>1040</v>
      </c>
      <c r="B319" s="3">
        <v>43458</v>
      </c>
      <c r="C319" t="s">
        <v>87</v>
      </c>
      <c r="D319" t="s">
        <v>238</v>
      </c>
      <c r="E319" t="s">
        <v>89</v>
      </c>
      <c r="F319">
        <v>9050</v>
      </c>
      <c r="G319" t="s">
        <v>1041</v>
      </c>
      <c r="H319" s="3">
        <v>43458</v>
      </c>
      <c r="I319" t="s">
        <v>344</v>
      </c>
      <c r="J319">
        <v>8000</v>
      </c>
      <c r="K319" s="1">
        <v>1</v>
      </c>
      <c r="M319" s="3">
        <v>43468</v>
      </c>
      <c r="N319" t="s">
        <v>54</v>
      </c>
      <c r="O319" t="s">
        <v>632</v>
      </c>
      <c r="P319" t="s">
        <v>56</v>
      </c>
      <c r="Q319">
        <v>6900</v>
      </c>
      <c r="R319" s="3">
        <v>43542</v>
      </c>
      <c r="S319" t="s">
        <v>54</v>
      </c>
      <c r="T319" t="s">
        <v>410</v>
      </c>
      <c r="U319" t="s">
        <v>60</v>
      </c>
      <c r="V319">
        <v>970</v>
      </c>
      <c r="AG319" t="s">
        <v>1029</v>
      </c>
      <c r="AH319" s="3">
        <v>43494</v>
      </c>
      <c r="AI319">
        <v>9050</v>
      </c>
      <c r="AJ319">
        <v>34500</v>
      </c>
    </row>
    <row r="320" spans="1:56" x14ac:dyDescent="0.25">
      <c r="A320" t="s">
        <v>1042</v>
      </c>
      <c r="B320" s="3">
        <v>43458</v>
      </c>
      <c r="C320" t="s">
        <v>87</v>
      </c>
      <c r="D320" t="s">
        <v>251</v>
      </c>
      <c r="E320" t="s">
        <v>89</v>
      </c>
      <c r="F320">
        <v>7050</v>
      </c>
      <c r="G320" t="s">
        <v>1043</v>
      </c>
      <c r="H320" s="3">
        <v>43458</v>
      </c>
      <c r="I320" t="s">
        <v>136</v>
      </c>
      <c r="J320">
        <v>6000</v>
      </c>
      <c r="K320" s="1"/>
      <c r="M320" s="3">
        <v>43465</v>
      </c>
      <c r="N320" t="s">
        <v>57</v>
      </c>
      <c r="P320" t="s">
        <v>56</v>
      </c>
      <c r="Q320">
        <v>4900</v>
      </c>
      <c r="AG320" t="s">
        <v>1044</v>
      </c>
      <c r="AH320" s="3">
        <v>43474</v>
      </c>
      <c r="AI320">
        <v>7050</v>
      </c>
      <c r="AJ320">
        <v>0</v>
      </c>
      <c r="AS320" t="s">
        <v>957</v>
      </c>
      <c r="AT320" s="3">
        <v>43544</v>
      </c>
      <c r="AU320">
        <v>19250</v>
      </c>
      <c r="AV320">
        <v>0</v>
      </c>
      <c r="AW320">
        <v>393</v>
      </c>
      <c r="AX320">
        <v>0</v>
      </c>
    </row>
    <row r="321" spans="1:50" x14ac:dyDescent="0.25">
      <c r="A321" t="s">
        <v>1045</v>
      </c>
      <c r="B321" s="3">
        <v>43460</v>
      </c>
      <c r="C321" t="s">
        <v>87</v>
      </c>
      <c r="D321" t="s">
        <v>300</v>
      </c>
      <c r="E321" t="s">
        <v>89</v>
      </c>
      <c r="F321">
        <v>3595</v>
      </c>
      <c r="G321" t="s">
        <v>1046</v>
      </c>
      <c r="H321" s="3">
        <v>43460</v>
      </c>
      <c r="I321" t="s">
        <v>514</v>
      </c>
      <c r="J321">
        <v>2500</v>
      </c>
      <c r="K321" s="1"/>
      <c r="M321" s="3">
        <v>43468</v>
      </c>
      <c r="N321" t="s">
        <v>54</v>
      </c>
      <c r="O321" t="s">
        <v>1012</v>
      </c>
      <c r="P321" t="s">
        <v>56</v>
      </c>
      <c r="Q321">
        <v>1900</v>
      </c>
      <c r="AG321" t="s">
        <v>1044</v>
      </c>
      <c r="AH321" s="3">
        <v>43474</v>
      </c>
      <c r="AI321">
        <v>3595</v>
      </c>
      <c r="AJ321">
        <v>0</v>
      </c>
      <c r="AS321" t="s">
        <v>957</v>
      </c>
      <c r="AT321" s="3">
        <v>43544</v>
      </c>
      <c r="AU321">
        <v>19250</v>
      </c>
      <c r="AV321">
        <v>0</v>
      </c>
      <c r="AW321">
        <v>393</v>
      </c>
      <c r="AX321">
        <v>0</v>
      </c>
    </row>
    <row r="322" spans="1:50" x14ac:dyDescent="0.25">
      <c r="A322" t="s">
        <v>1047</v>
      </c>
      <c r="B322" s="3">
        <v>43463</v>
      </c>
      <c r="C322" t="s">
        <v>87</v>
      </c>
      <c r="D322" t="s">
        <v>251</v>
      </c>
      <c r="E322" t="s">
        <v>89</v>
      </c>
      <c r="F322">
        <v>7050</v>
      </c>
      <c r="G322" t="s">
        <v>1048</v>
      </c>
      <c r="H322" s="3">
        <v>43463</v>
      </c>
      <c r="I322" t="s">
        <v>514</v>
      </c>
      <c r="J322">
        <v>6200</v>
      </c>
      <c r="K322" s="1"/>
      <c r="M322" s="3">
        <v>43468</v>
      </c>
      <c r="N322" t="s">
        <v>54</v>
      </c>
      <c r="O322" t="s">
        <v>1012</v>
      </c>
      <c r="P322" t="s">
        <v>56</v>
      </c>
      <c r="Q322">
        <v>5100</v>
      </c>
      <c r="R322" s="3">
        <v>43512</v>
      </c>
      <c r="S322" t="s">
        <v>57</v>
      </c>
      <c r="U322" t="s">
        <v>60</v>
      </c>
      <c r="V322">
        <v>970</v>
      </c>
      <c r="AG322" t="s">
        <v>1034</v>
      </c>
      <c r="AH322" s="3">
        <v>43483</v>
      </c>
      <c r="AI322">
        <v>7050</v>
      </c>
      <c r="AJ322">
        <v>0</v>
      </c>
      <c r="AS322" t="s">
        <v>957</v>
      </c>
      <c r="AT322" s="3">
        <v>43544</v>
      </c>
      <c r="AU322">
        <v>33565</v>
      </c>
      <c r="AV322">
        <v>0</v>
      </c>
      <c r="AW322">
        <v>685</v>
      </c>
      <c r="AX322">
        <v>0</v>
      </c>
    </row>
    <row r="323" spans="1:50" x14ac:dyDescent="0.25">
      <c r="A323" t="s">
        <v>1049</v>
      </c>
      <c r="B323" s="3">
        <v>43465</v>
      </c>
      <c r="C323" t="s">
        <v>87</v>
      </c>
      <c r="D323" t="s">
        <v>251</v>
      </c>
      <c r="E323" t="s">
        <v>89</v>
      </c>
      <c r="F323">
        <v>8998</v>
      </c>
      <c r="G323" t="s">
        <v>1050</v>
      </c>
      <c r="H323" s="3">
        <v>43465</v>
      </c>
      <c r="I323" t="s">
        <v>514</v>
      </c>
      <c r="J323">
        <v>6000</v>
      </c>
      <c r="K323" s="1"/>
      <c r="M323" s="3">
        <v>43468</v>
      </c>
      <c r="N323" t="s">
        <v>54</v>
      </c>
      <c r="O323" t="s">
        <v>1051</v>
      </c>
      <c r="P323" t="s">
        <v>60</v>
      </c>
      <c r="Q323">
        <v>5900</v>
      </c>
      <c r="AG323" t="s">
        <v>1044</v>
      </c>
      <c r="AH323" s="3">
        <v>43474</v>
      </c>
      <c r="AI323">
        <v>8998</v>
      </c>
      <c r="AJ323">
        <v>0</v>
      </c>
      <c r="AS323" t="s">
        <v>957</v>
      </c>
      <c r="AT323" s="3">
        <v>43544</v>
      </c>
      <c r="AU323">
        <v>19250</v>
      </c>
      <c r="AV323">
        <v>0</v>
      </c>
      <c r="AW323">
        <v>393</v>
      </c>
      <c r="AX323">
        <v>0</v>
      </c>
    </row>
    <row r="324" spans="1:50" x14ac:dyDescent="0.25">
      <c r="A324" t="s">
        <v>1052</v>
      </c>
      <c r="B324" s="3">
        <v>43465</v>
      </c>
      <c r="C324" t="s">
        <v>87</v>
      </c>
      <c r="D324" t="s">
        <v>238</v>
      </c>
      <c r="E324" t="s">
        <v>89</v>
      </c>
      <c r="F324">
        <v>9050</v>
      </c>
      <c r="G324" t="s">
        <v>1053</v>
      </c>
      <c r="H324" s="3">
        <v>43465</v>
      </c>
      <c r="I324" t="s">
        <v>344</v>
      </c>
      <c r="J324">
        <v>10500</v>
      </c>
      <c r="K324" s="1"/>
      <c r="M324" s="3">
        <v>43468</v>
      </c>
      <c r="N324" t="s">
        <v>54</v>
      </c>
      <c r="O324" t="s">
        <v>632</v>
      </c>
      <c r="P324" t="s">
        <v>56</v>
      </c>
      <c r="Q324">
        <v>9400</v>
      </c>
      <c r="R324" s="3">
        <v>43537</v>
      </c>
      <c r="S324" t="s">
        <v>54</v>
      </c>
      <c r="T324" t="s">
        <v>410</v>
      </c>
      <c r="U324" t="s">
        <v>60</v>
      </c>
      <c r="V324">
        <v>970</v>
      </c>
      <c r="AG324" t="s">
        <v>1034</v>
      </c>
      <c r="AH324" s="3">
        <v>43483</v>
      </c>
      <c r="AI324">
        <v>9050</v>
      </c>
      <c r="AJ324">
        <v>0</v>
      </c>
      <c r="AS324" t="s">
        <v>957</v>
      </c>
      <c r="AT324" s="3">
        <v>43544</v>
      </c>
      <c r="AU324">
        <v>33565</v>
      </c>
      <c r="AV324">
        <v>0</v>
      </c>
      <c r="AW324">
        <v>685</v>
      </c>
      <c r="AX324">
        <v>0</v>
      </c>
    </row>
    <row r="325" spans="1:50" x14ac:dyDescent="0.25">
      <c r="A325" t="s">
        <v>1054</v>
      </c>
      <c r="B325" s="3">
        <v>43465</v>
      </c>
      <c r="C325" t="s">
        <v>87</v>
      </c>
      <c r="D325" t="s">
        <v>763</v>
      </c>
      <c r="E325" t="s">
        <v>89</v>
      </c>
      <c r="F325">
        <v>1800</v>
      </c>
      <c r="K325" s="1"/>
      <c r="AG325" t="s">
        <v>1055</v>
      </c>
      <c r="AH325" s="3">
        <v>43483</v>
      </c>
      <c r="AI325">
        <v>1800</v>
      </c>
      <c r="AJ325">
        <v>0</v>
      </c>
      <c r="AS325" t="s">
        <v>1058</v>
      </c>
      <c r="AT325" s="3">
        <v>43555</v>
      </c>
      <c r="AU325">
        <v>1764</v>
      </c>
      <c r="AV325">
        <v>0</v>
      </c>
      <c r="AW325">
        <v>36</v>
      </c>
      <c r="AX325">
        <v>0</v>
      </c>
    </row>
    <row r="326" spans="1:50" x14ac:dyDescent="0.25">
      <c r="A326" t="s">
        <v>1056</v>
      </c>
      <c r="B326" s="3">
        <v>43465</v>
      </c>
      <c r="C326" t="s">
        <v>87</v>
      </c>
      <c r="D326" t="s">
        <v>262</v>
      </c>
      <c r="E326" t="s">
        <v>89</v>
      </c>
      <c r="F326">
        <v>9050</v>
      </c>
      <c r="G326" t="s">
        <v>1057</v>
      </c>
      <c r="H326" s="3">
        <v>43465</v>
      </c>
      <c r="I326" t="s">
        <v>344</v>
      </c>
      <c r="J326">
        <v>8500</v>
      </c>
      <c r="K326" s="1"/>
      <c r="M326" s="3">
        <v>43468</v>
      </c>
      <c r="N326" t="s">
        <v>54</v>
      </c>
      <c r="O326" t="s">
        <v>632</v>
      </c>
      <c r="P326" t="s">
        <v>56</v>
      </c>
      <c r="Q326">
        <v>7400</v>
      </c>
      <c r="R326" s="3">
        <v>43542</v>
      </c>
      <c r="S326" t="s">
        <v>54</v>
      </c>
      <c r="T326" t="s">
        <v>410</v>
      </c>
      <c r="U326" t="s">
        <v>60</v>
      </c>
      <c r="V326">
        <v>970</v>
      </c>
      <c r="AG326" t="s">
        <v>1029</v>
      </c>
      <c r="AH326" s="3">
        <v>43494</v>
      </c>
      <c r="AI326">
        <v>9050</v>
      </c>
      <c r="AJ326">
        <v>34500</v>
      </c>
    </row>
    <row r="327" spans="1:50" x14ac:dyDescent="0.25">
      <c r="A327" t="s">
        <v>1059</v>
      </c>
      <c r="B327" s="3">
        <v>43467</v>
      </c>
      <c r="C327" t="s">
        <v>87</v>
      </c>
      <c r="D327" t="s">
        <v>152</v>
      </c>
      <c r="E327" t="s">
        <v>89</v>
      </c>
      <c r="F327">
        <v>5795</v>
      </c>
      <c r="G327" t="s">
        <v>1060</v>
      </c>
      <c r="H327" s="3">
        <v>43467</v>
      </c>
      <c r="I327" t="s">
        <v>514</v>
      </c>
      <c r="J327">
        <v>5200</v>
      </c>
      <c r="K327" s="1"/>
      <c r="M327" s="3">
        <v>43514</v>
      </c>
      <c r="N327" t="s">
        <v>54</v>
      </c>
      <c r="O327" t="s">
        <v>1061</v>
      </c>
      <c r="P327" t="s">
        <v>56</v>
      </c>
      <c r="Q327">
        <v>4100</v>
      </c>
      <c r="AG327" t="s">
        <v>1062</v>
      </c>
      <c r="AH327" s="3">
        <v>43483</v>
      </c>
      <c r="AI327">
        <v>5795</v>
      </c>
      <c r="AJ327">
        <v>0</v>
      </c>
      <c r="AS327" t="s">
        <v>957</v>
      </c>
      <c r="AT327" s="3">
        <v>43544</v>
      </c>
      <c r="AU327">
        <v>5679</v>
      </c>
      <c r="AV327">
        <v>0</v>
      </c>
      <c r="AW327">
        <v>116</v>
      </c>
      <c r="AX327">
        <v>0</v>
      </c>
    </row>
    <row r="328" spans="1:50" x14ac:dyDescent="0.25">
      <c r="A328" t="s">
        <v>1063</v>
      </c>
      <c r="B328" s="3">
        <v>43463</v>
      </c>
      <c r="C328" t="s">
        <v>87</v>
      </c>
      <c r="D328" t="s">
        <v>262</v>
      </c>
      <c r="E328" t="s">
        <v>89</v>
      </c>
      <c r="F328">
        <v>9050</v>
      </c>
      <c r="G328" t="s">
        <v>1064</v>
      </c>
      <c r="H328" s="3">
        <v>43468</v>
      </c>
      <c r="I328" t="s">
        <v>344</v>
      </c>
      <c r="J328">
        <v>8500</v>
      </c>
      <c r="K328" s="1"/>
      <c r="M328" s="3">
        <v>43468</v>
      </c>
      <c r="N328" t="s">
        <v>54</v>
      </c>
      <c r="O328" t="s">
        <v>632</v>
      </c>
      <c r="P328" t="s">
        <v>56</v>
      </c>
      <c r="Q328">
        <v>7400</v>
      </c>
      <c r="R328" s="3">
        <v>43537</v>
      </c>
      <c r="S328" t="s">
        <v>54</v>
      </c>
      <c r="T328" t="s">
        <v>410</v>
      </c>
      <c r="U328" t="s">
        <v>60</v>
      </c>
      <c r="V328">
        <v>970</v>
      </c>
      <c r="AG328" t="s">
        <v>1034</v>
      </c>
      <c r="AH328" s="3">
        <v>43483</v>
      </c>
      <c r="AI328">
        <v>9050</v>
      </c>
      <c r="AJ328">
        <v>0</v>
      </c>
      <c r="AS328" t="s">
        <v>957</v>
      </c>
      <c r="AT328" s="3">
        <v>43544</v>
      </c>
      <c r="AU328">
        <v>33565</v>
      </c>
      <c r="AV328">
        <v>0</v>
      </c>
      <c r="AW328">
        <v>685</v>
      </c>
      <c r="AX328">
        <v>0</v>
      </c>
    </row>
    <row r="329" spans="1:50" x14ac:dyDescent="0.25">
      <c r="A329" t="s">
        <v>1065</v>
      </c>
      <c r="B329" s="3">
        <v>43476</v>
      </c>
      <c r="C329" t="s">
        <v>87</v>
      </c>
      <c r="D329" t="s">
        <v>245</v>
      </c>
      <c r="E329" t="s">
        <v>89</v>
      </c>
      <c r="F329">
        <v>7350</v>
      </c>
      <c r="G329" t="s">
        <v>1066</v>
      </c>
      <c r="H329" s="3">
        <v>43476</v>
      </c>
      <c r="I329" t="s">
        <v>344</v>
      </c>
      <c r="J329">
        <v>6000</v>
      </c>
      <c r="K329" s="1"/>
      <c r="M329" s="3">
        <v>43512</v>
      </c>
      <c r="N329" t="s">
        <v>54</v>
      </c>
      <c r="O329" t="s">
        <v>410</v>
      </c>
      <c r="P329" t="s">
        <v>56</v>
      </c>
      <c r="Q329">
        <v>4900</v>
      </c>
      <c r="R329" s="3">
        <v>43551</v>
      </c>
      <c r="S329" t="s">
        <v>54</v>
      </c>
      <c r="T329" t="s">
        <v>410</v>
      </c>
      <c r="U329" t="s">
        <v>60</v>
      </c>
      <c r="V329">
        <v>970</v>
      </c>
      <c r="AG329" t="s">
        <v>1067</v>
      </c>
      <c r="AH329" s="3">
        <v>43525</v>
      </c>
      <c r="AI329">
        <v>7350</v>
      </c>
      <c r="AJ329">
        <v>7350</v>
      </c>
    </row>
    <row r="330" spans="1:50" x14ac:dyDescent="0.25">
      <c r="A330" t="s">
        <v>1068</v>
      </c>
      <c r="B330" s="3">
        <v>43488</v>
      </c>
      <c r="C330" t="s">
        <v>87</v>
      </c>
      <c r="D330" t="s">
        <v>276</v>
      </c>
      <c r="E330" t="s">
        <v>89</v>
      </c>
      <c r="F330">
        <v>11000</v>
      </c>
      <c r="G330" t="s">
        <v>1069</v>
      </c>
      <c r="H330" s="3">
        <v>43488</v>
      </c>
      <c r="I330" t="s">
        <v>344</v>
      </c>
      <c r="J330">
        <v>12000</v>
      </c>
      <c r="K330" s="1"/>
      <c r="M330" s="3">
        <v>43490</v>
      </c>
      <c r="N330" t="s">
        <v>54</v>
      </c>
      <c r="O330" t="s">
        <v>1070</v>
      </c>
      <c r="P330" t="s">
        <v>56</v>
      </c>
      <c r="Q330">
        <v>10400</v>
      </c>
      <c r="R330" s="3">
        <v>43526</v>
      </c>
      <c r="S330" t="s">
        <v>54</v>
      </c>
      <c r="T330" t="s">
        <v>410</v>
      </c>
      <c r="U330" t="s">
        <v>60</v>
      </c>
      <c r="V330">
        <v>1450</v>
      </c>
      <c r="AG330" t="s">
        <v>1071</v>
      </c>
      <c r="AH330" s="3">
        <v>43525</v>
      </c>
      <c r="AI330">
        <v>11000</v>
      </c>
      <c r="AJ330">
        <v>11000</v>
      </c>
    </row>
    <row r="331" spans="1:50" x14ac:dyDescent="0.25">
      <c r="A331" t="s">
        <v>1072</v>
      </c>
      <c r="B331" s="3">
        <v>43493</v>
      </c>
      <c r="C331" t="s">
        <v>87</v>
      </c>
      <c r="D331" t="s">
        <v>241</v>
      </c>
      <c r="E331" t="s">
        <v>89</v>
      </c>
      <c r="F331">
        <v>6998</v>
      </c>
      <c r="G331" t="s">
        <v>1073</v>
      </c>
      <c r="H331" s="3">
        <v>43493</v>
      </c>
      <c r="I331" t="s">
        <v>230</v>
      </c>
      <c r="J331">
        <v>5500</v>
      </c>
      <c r="K331" s="1"/>
      <c r="M331" s="3">
        <v>43495</v>
      </c>
      <c r="N331" t="s">
        <v>54</v>
      </c>
      <c r="O331" t="s">
        <v>1074</v>
      </c>
      <c r="P331" t="s">
        <v>56</v>
      </c>
      <c r="Q331">
        <v>4900</v>
      </c>
      <c r="R331" s="3">
        <v>43511</v>
      </c>
      <c r="S331" t="s">
        <v>54</v>
      </c>
      <c r="T331" t="s">
        <v>1075</v>
      </c>
      <c r="U331" t="s">
        <v>60</v>
      </c>
      <c r="V331">
        <v>500</v>
      </c>
      <c r="AG331" t="s">
        <v>1076</v>
      </c>
      <c r="AH331" s="3">
        <v>43553</v>
      </c>
      <c r="AI331">
        <v>6998</v>
      </c>
      <c r="AJ331">
        <v>6998</v>
      </c>
    </row>
    <row r="332" spans="1:50" x14ac:dyDescent="0.25">
      <c r="A332" t="s">
        <v>1077</v>
      </c>
      <c r="B332" s="3">
        <v>43494</v>
      </c>
      <c r="C332" t="s">
        <v>87</v>
      </c>
      <c r="D332" t="s">
        <v>241</v>
      </c>
      <c r="E332" t="s">
        <v>89</v>
      </c>
      <c r="F332">
        <v>6998</v>
      </c>
      <c r="G332" t="s">
        <v>1078</v>
      </c>
      <c r="H332" s="3">
        <v>43494</v>
      </c>
      <c r="I332" t="s">
        <v>230</v>
      </c>
      <c r="J332">
        <v>5500</v>
      </c>
      <c r="K332" s="1"/>
      <c r="M332" s="3">
        <v>43495</v>
      </c>
      <c r="N332" t="s">
        <v>54</v>
      </c>
      <c r="O332" t="s">
        <v>1074</v>
      </c>
      <c r="P332" t="s">
        <v>56</v>
      </c>
      <c r="Q332">
        <v>4900</v>
      </c>
      <c r="R332" s="3">
        <v>43511</v>
      </c>
      <c r="S332" t="s">
        <v>54</v>
      </c>
      <c r="T332" t="s">
        <v>1075</v>
      </c>
      <c r="U332" t="s">
        <v>60</v>
      </c>
      <c r="V332">
        <v>500</v>
      </c>
      <c r="AG332" t="s">
        <v>1079</v>
      </c>
      <c r="AH332" s="3">
        <v>43553</v>
      </c>
      <c r="AI332">
        <v>6998</v>
      </c>
      <c r="AJ332">
        <v>6998</v>
      </c>
    </row>
    <row r="333" spans="1:50" x14ac:dyDescent="0.25">
      <c r="A333" t="s">
        <v>1080</v>
      </c>
      <c r="B333" s="3">
        <v>43496</v>
      </c>
      <c r="C333" t="s">
        <v>87</v>
      </c>
      <c r="D333" t="s">
        <v>276</v>
      </c>
      <c r="E333" t="s">
        <v>89</v>
      </c>
      <c r="F333">
        <v>8998</v>
      </c>
      <c r="G333" t="s">
        <v>1081</v>
      </c>
      <c r="H333" s="3">
        <v>43496</v>
      </c>
      <c r="I333" t="s">
        <v>290</v>
      </c>
      <c r="J333">
        <v>10500</v>
      </c>
      <c r="K333" s="1"/>
      <c r="M333" s="3">
        <v>43496</v>
      </c>
      <c r="N333" t="s">
        <v>54</v>
      </c>
      <c r="O333" t="s">
        <v>1082</v>
      </c>
      <c r="P333" t="s">
        <v>56</v>
      </c>
      <c r="Q333">
        <v>8500</v>
      </c>
      <c r="R333" s="3">
        <v>43567</v>
      </c>
      <c r="S333" t="s">
        <v>54</v>
      </c>
      <c r="T333" t="s">
        <v>1083</v>
      </c>
      <c r="U333" t="s">
        <v>60</v>
      </c>
      <c r="V333">
        <v>1870</v>
      </c>
      <c r="AG333" t="s">
        <v>1084</v>
      </c>
      <c r="AH333" s="3">
        <v>43525</v>
      </c>
      <c r="AI333">
        <v>8998</v>
      </c>
      <c r="AJ333">
        <v>8998</v>
      </c>
    </row>
    <row r="334" spans="1:50" x14ac:dyDescent="0.25">
      <c r="A334" t="s">
        <v>1085</v>
      </c>
      <c r="B334" s="3">
        <v>43495</v>
      </c>
      <c r="C334" t="s">
        <v>87</v>
      </c>
      <c r="D334" t="s">
        <v>251</v>
      </c>
      <c r="E334" t="s">
        <v>89</v>
      </c>
      <c r="F334">
        <v>7050</v>
      </c>
      <c r="K334" s="1"/>
      <c r="AG334" t="s">
        <v>1086</v>
      </c>
      <c r="AH334" s="3">
        <v>43525</v>
      </c>
      <c r="AI334">
        <v>7050</v>
      </c>
      <c r="AJ334">
        <v>7050</v>
      </c>
    </row>
    <row r="335" spans="1:50" x14ac:dyDescent="0.25">
      <c r="A335" t="s">
        <v>1087</v>
      </c>
      <c r="B335" s="3">
        <v>43496</v>
      </c>
      <c r="C335" t="s">
        <v>87</v>
      </c>
      <c r="D335" t="s">
        <v>152</v>
      </c>
      <c r="E335" t="s">
        <v>89</v>
      </c>
      <c r="F335">
        <v>5795</v>
      </c>
      <c r="G335" t="s">
        <v>1088</v>
      </c>
      <c r="H335" s="3">
        <v>43496</v>
      </c>
      <c r="I335" t="s">
        <v>514</v>
      </c>
      <c r="J335">
        <v>5200</v>
      </c>
      <c r="K335" s="1"/>
      <c r="M335" s="3">
        <v>43514</v>
      </c>
      <c r="N335" t="s">
        <v>54</v>
      </c>
      <c r="O335" t="s">
        <v>1089</v>
      </c>
      <c r="P335" t="s">
        <v>56</v>
      </c>
      <c r="Q335">
        <v>2750</v>
      </c>
      <c r="AG335" t="s">
        <v>1090</v>
      </c>
      <c r="AH335" s="3">
        <v>43528</v>
      </c>
      <c r="AI335">
        <v>5795</v>
      </c>
      <c r="AJ335">
        <v>5795</v>
      </c>
    </row>
    <row r="336" spans="1:50" x14ac:dyDescent="0.25">
      <c r="A336" t="s">
        <v>2011</v>
      </c>
      <c r="B336" s="3">
        <v>43496</v>
      </c>
      <c r="C336" t="s">
        <v>87</v>
      </c>
      <c r="D336" t="s">
        <v>142</v>
      </c>
      <c r="E336" t="s">
        <v>1999</v>
      </c>
      <c r="F336">
        <v>7050</v>
      </c>
      <c r="G336" t="s">
        <v>2012</v>
      </c>
      <c r="H336" s="3">
        <v>43496</v>
      </c>
      <c r="I336" t="s">
        <v>514</v>
      </c>
      <c r="J336">
        <v>6000</v>
      </c>
      <c r="K336" s="1"/>
      <c r="M336" s="3">
        <v>43514</v>
      </c>
      <c r="N336" t="s">
        <v>54</v>
      </c>
      <c r="O336" t="s">
        <v>1089</v>
      </c>
      <c r="P336" t="s">
        <v>56</v>
      </c>
      <c r="Q336">
        <v>3450</v>
      </c>
    </row>
    <row r="337" spans="1:36" x14ac:dyDescent="0.25">
      <c r="A337" t="s">
        <v>1091</v>
      </c>
      <c r="B337" s="3">
        <v>43496</v>
      </c>
      <c r="C337" t="s">
        <v>87</v>
      </c>
      <c r="D337" t="s">
        <v>262</v>
      </c>
      <c r="E337" t="s">
        <v>89</v>
      </c>
      <c r="F337">
        <v>9050</v>
      </c>
      <c r="G337" t="s">
        <v>1092</v>
      </c>
      <c r="H337" s="3">
        <v>43496</v>
      </c>
      <c r="I337" t="s">
        <v>344</v>
      </c>
      <c r="J337">
        <v>8000</v>
      </c>
      <c r="K337" s="1"/>
      <c r="M337" s="3">
        <v>43501</v>
      </c>
      <c r="N337" t="s">
        <v>54</v>
      </c>
      <c r="O337" t="s">
        <v>1093</v>
      </c>
      <c r="P337" t="s">
        <v>56</v>
      </c>
      <c r="Q337">
        <v>6900</v>
      </c>
      <c r="R337" s="3">
        <v>43526</v>
      </c>
      <c r="S337" t="s">
        <v>54</v>
      </c>
      <c r="T337" t="s">
        <v>410</v>
      </c>
      <c r="U337" t="s">
        <v>60</v>
      </c>
      <c r="V337">
        <v>970</v>
      </c>
      <c r="AG337" t="s">
        <v>1094</v>
      </c>
      <c r="AH337" s="3">
        <v>43525</v>
      </c>
      <c r="AI337">
        <v>9050</v>
      </c>
      <c r="AJ337">
        <v>9050</v>
      </c>
    </row>
    <row r="338" spans="1:36" x14ac:dyDescent="0.25">
      <c r="A338" t="s">
        <v>1095</v>
      </c>
      <c r="B338" s="3">
        <v>43505</v>
      </c>
      <c r="C338" t="s">
        <v>87</v>
      </c>
      <c r="D338" t="s">
        <v>245</v>
      </c>
      <c r="E338" t="s">
        <v>89</v>
      </c>
      <c r="F338">
        <v>7350</v>
      </c>
      <c r="G338" t="s">
        <v>1096</v>
      </c>
      <c r="H338" s="3">
        <v>43505</v>
      </c>
      <c r="I338" t="s">
        <v>514</v>
      </c>
      <c r="J338">
        <v>5200</v>
      </c>
      <c r="K338" s="1"/>
      <c r="M338" s="3">
        <v>43525</v>
      </c>
      <c r="N338" t="s">
        <v>54</v>
      </c>
      <c r="O338" t="s">
        <v>1097</v>
      </c>
      <c r="P338" t="s">
        <v>60</v>
      </c>
      <c r="Q338">
        <v>5100</v>
      </c>
      <c r="AG338" t="s">
        <v>1098</v>
      </c>
      <c r="AH338" s="3">
        <v>43528</v>
      </c>
      <c r="AI338">
        <v>7350</v>
      </c>
      <c r="AJ338">
        <v>7350</v>
      </c>
    </row>
    <row r="339" spans="1:36" x14ac:dyDescent="0.25">
      <c r="A339" t="s">
        <v>1099</v>
      </c>
      <c r="B339" s="3">
        <v>43506</v>
      </c>
      <c r="C339" t="s">
        <v>87</v>
      </c>
      <c r="D339" t="s">
        <v>142</v>
      </c>
      <c r="E339" t="s">
        <v>89</v>
      </c>
      <c r="F339">
        <v>7050</v>
      </c>
      <c r="G339" t="s">
        <v>1100</v>
      </c>
      <c r="H339" s="3">
        <v>43506</v>
      </c>
      <c r="I339" t="s">
        <v>514</v>
      </c>
      <c r="J339">
        <v>5300</v>
      </c>
      <c r="K339" s="1"/>
      <c r="M339" s="3">
        <v>43514</v>
      </c>
      <c r="N339" t="s">
        <v>54</v>
      </c>
      <c r="O339" t="s">
        <v>1061</v>
      </c>
      <c r="P339" t="s">
        <v>56</v>
      </c>
      <c r="Q339">
        <v>4200</v>
      </c>
    </row>
    <row r="340" spans="1:36" x14ac:dyDescent="0.25">
      <c r="A340" t="s">
        <v>1101</v>
      </c>
      <c r="B340" s="3">
        <v>43508</v>
      </c>
      <c r="C340" t="s">
        <v>87</v>
      </c>
      <c r="D340" t="s">
        <v>238</v>
      </c>
      <c r="E340" t="s">
        <v>89</v>
      </c>
      <c r="F340">
        <v>9050</v>
      </c>
      <c r="G340" t="s">
        <v>1102</v>
      </c>
      <c r="H340" s="3">
        <v>43508</v>
      </c>
      <c r="I340" t="s">
        <v>344</v>
      </c>
      <c r="J340">
        <v>8000</v>
      </c>
      <c r="K340" s="1"/>
      <c r="M340" s="3">
        <v>43511</v>
      </c>
      <c r="N340" t="s">
        <v>54</v>
      </c>
      <c r="O340" t="s">
        <v>632</v>
      </c>
      <c r="P340" t="s">
        <v>56</v>
      </c>
      <c r="Q340">
        <v>1600</v>
      </c>
      <c r="R340" s="3">
        <v>43511</v>
      </c>
      <c r="S340" t="s">
        <v>54</v>
      </c>
      <c r="T340" t="s">
        <v>410</v>
      </c>
      <c r="U340" t="s">
        <v>56</v>
      </c>
      <c r="V340">
        <v>5300</v>
      </c>
      <c r="W340" s="3">
        <v>43537</v>
      </c>
      <c r="X340" t="s">
        <v>54</v>
      </c>
      <c r="Y340" t="s">
        <v>410</v>
      </c>
      <c r="Z340" t="s">
        <v>60</v>
      </c>
      <c r="AA340">
        <v>970</v>
      </c>
      <c r="AG340" t="s">
        <v>1103</v>
      </c>
      <c r="AH340" s="3">
        <v>43529</v>
      </c>
      <c r="AI340">
        <v>9050</v>
      </c>
      <c r="AJ340">
        <v>23098</v>
      </c>
    </row>
    <row r="341" spans="1:36" x14ac:dyDescent="0.25">
      <c r="A341" t="s">
        <v>1104</v>
      </c>
      <c r="B341" s="3">
        <v>43516</v>
      </c>
      <c r="C341" t="s">
        <v>87</v>
      </c>
      <c r="D341" t="s">
        <v>378</v>
      </c>
      <c r="E341" t="s">
        <v>89</v>
      </c>
      <c r="F341">
        <v>7650</v>
      </c>
      <c r="G341" t="s">
        <v>1105</v>
      </c>
      <c r="H341" s="3">
        <v>43516</v>
      </c>
      <c r="I341" t="s">
        <v>1106</v>
      </c>
      <c r="J341">
        <v>9000</v>
      </c>
      <c r="K341" s="1"/>
      <c r="M341" s="3">
        <v>43525</v>
      </c>
      <c r="N341" t="s">
        <v>54</v>
      </c>
      <c r="O341" t="s">
        <v>1106</v>
      </c>
      <c r="P341" t="s">
        <v>56</v>
      </c>
      <c r="Q341">
        <v>7900</v>
      </c>
      <c r="R341" s="3">
        <v>43554</v>
      </c>
      <c r="S341" t="s">
        <v>54</v>
      </c>
      <c r="T341" t="s">
        <v>1106</v>
      </c>
      <c r="U341" t="s">
        <v>60</v>
      </c>
      <c r="V341">
        <v>970</v>
      </c>
      <c r="AG341" t="s">
        <v>1107</v>
      </c>
      <c r="AH341" s="3">
        <v>43525</v>
      </c>
      <c r="AI341">
        <v>7650</v>
      </c>
      <c r="AJ341">
        <v>7650</v>
      </c>
    </row>
    <row r="342" spans="1:36" x14ac:dyDescent="0.25">
      <c r="A342" t="s">
        <v>1108</v>
      </c>
      <c r="B342" s="3">
        <v>43518</v>
      </c>
      <c r="C342" t="s">
        <v>87</v>
      </c>
      <c r="D342" t="s">
        <v>245</v>
      </c>
      <c r="E342" t="s">
        <v>89</v>
      </c>
      <c r="F342">
        <v>7350</v>
      </c>
      <c r="G342" t="s">
        <v>1109</v>
      </c>
      <c r="H342" s="3">
        <v>43518</v>
      </c>
      <c r="I342" t="s">
        <v>514</v>
      </c>
      <c r="J342">
        <v>5200</v>
      </c>
      <c r="K342" s="1"/>
      <c r="M342" s="3">
        <v>43525</v>
      </c>
      <c r="N342" t="s">
        <v>54</v>
      </c>
      <c r="O342" t="s">
        <v>1097</v>
      </c>
      <c r="P342" t="s">
        <v>60</v>
      </c>
      <c r="Q342">
        <v>5100</v>
      </c>
      <c r="AG342" t="s">
        <v>1110</v>
      </c>
      <c r="AH342" s="3">
        <v>43528</v>
      </c>
      <c r="AI342">
        <v>7350</v>
      </c>
      <c r="AJ342">
        <v>7350</v>
      </c>
    </row>
    <row r="343" spans="1:36" x14ac:dyDescent="0.25">
      <c r="A343" t="s">
        <v>1111</v>
      </c>
      <c r="B343" s="3">
        <v>43518</v>
      </c>
      <c r="C343" t="s">
        <v>87</v>
      </c>
      <c r="D343" t="s">
        <v>206</v>
      </c>
      <c r="E343" t="s">
        <v>89</v>
      </c>
      <c r="F343">
        <v>11000</v>
      </c>
      <c r="G343" t="s">
        <v>1112</v>
      </c>
      <c r="H343" s="3">
        <v>43518</v>
      </c>
      <c r="I343" t="s">
        <v>1106</v>
      </c>
      <c r="J343">
        <v>10500</v>
      </c>
      <c r="K343" s="1">
        <v>1</v>
      </c>
      <c r="M343" s="3">
        <v>43525</v>
      </c>
      <c r="N343" t="s">
        <v>54</v>
      </c>
      <c r="O343" t="s">
        <v>1106</v>
      </c>
      <c r="P343" t="s">
        <v>56</v>
      </c>
      <c r="Q343">
        <v>9400</v>
      </c>
      <c r="R343" s="3">
        <v>43554</v>
      </c>
      <c r="S343" t="s">
        <v>54</v>
      </c>
      <c r="T343" t="s">
        <v>1106</v>
      </c>
      <c r="U343" t="s">
        <v>60</v>
      </c>
      <c r="V343">
        <v>970</v>
      </c>
      <c r="AG343" t="s">
        <v>1113</v>
      </c>
      <c r="AH343" s="3">
        <v>43531</v>
      </c>
      <c r="AI343">
        <v>11000</v>
      </c>
      <c r="AJ343">
        <v>29100</v>
      </c>
    </row>
    <row r="344" spans="1:36" x14ac:dyDescent="0.25">
      <c r="A344" t="s">
        <v>1114</v>
      </c>
      <c r="B344" s="3">
        <v>43519</v>
      </c>
      <c r="C344" t="s">
        <v>87</v>
      </c>
      <c r="D344" t="s">
        <v>241</v>
      </c>
      <c r="E344" t="s">
        <v>89</v>
      </c>
      <c r="F344">
        <v>6998</v>
      </c>
      <c r="G344" t="s">
        <v>1115</v>
      </c>
      <c r="H344" s="3">
        <v>43519</v>
      </c>
      <c r="I344" t="s">
        <v>344</v>
      </c>
      <c r="J344">
        <v>5500</v>
      </c>
      <c r="K344" s="1">
        <v>1</v>
      </c>
      <c r="M344" s="3">
        <v>43524</v>
      </c>
      <c r="N344" t="s">
        <v>54</v>
      </c>
      <c r="O344" t="s">
        <v>410</v>
      </c>
      <c r="P344" t="s">
        <v>56</v>
      </c>
      <c r="Q344">
        <v>4900</v>
      </c>
      <c r="R344" s="3">
        <v>43537</v>
      </c>
      <c r="S344" t="s">
        <v>54</v>
      </c>
      <c r="T344" t="s">
        <v>410</v>
      </c>
      <c r="U344" t="s">
        <v>60</v>
      </c>
      <c r="V344">
        <v>470</v>
      </c>
      <c r="AG344" t="s">
        <v>1103</v>
      </c>
      <c r="AH344" s="3">
        <v>43529</v>
      </c>
      <c r="AI344">
        <v>6998</v>
      </c>
      <c r="AJ344">
        <v>23098</v>
      </c>
    </row>
    <row r="345" spans="1:36" x14ac:dyDescent="0.25">
      <c r="A345" t="s">
        <v>1116</v>
      </c>
      <c r="B345" s="3">
        <v>43523</v>
      </c>
      <c r="C345" t="s">
        <v>87</v>
      </c>
      <c r="D345" t="s">
        <v>256</v>
      </c>
      <c r="E345" t="s">
        <v>89</v>
      </c>
      <c r="F345">
        <v>11200</v>
      </c>
      <c r="G345" t="s">
        <v>1117</v>
      </c>
      <c r="H345" s="3">
        <v>43523</v>
      </c>
      <c r="I345" t="s">
        <v>344</v>
      </c>
      <c r="J345">
        <v>9000</v>
      </c>
      <c r="K345" s="1"/>
      <c r="M345" s="3">
        <v>43524</v>
      </c>
      <c r="N345" t="s">
        <v>54</v>
      </c>
      <c r="O345" t="s">
        <v>410</v>
      </c>
      <c r="P345" t="s">
        <v>56</v>
      </c>
      <c r="Q345">
        <v>7900</v>
      </c>
      <c r="R345" s="3">
        <v>43537</v>
      </c>
      <c r="S345" t="s">
        <v>54</v>
      </c>
      <c r="T345" t="s">
        <v>410</v>
      </c>
      <c r="U345" t="s">
        <v>60</v>
      </c>
      <c r="V345">
        <v>970</v>
      </c>
      <c r="AG345" t="s">
        <v>1118</v>
      </c>
      <c r="AH345" s="3">
        <v>43535</v>
      </c>
      <c r="AI345">
        <v>11200</v>
      </c>
      <c r="AJ345">
        <v>11200</v>
      </c>
    </row>
    <row r="346" spans="1:36" x14ac:dyDescent="0.25">
      <c r="A346" t="s">
        <v>1119</v>
      </c>
      <c r="B346" s="3">
        <v>43523</v>
      </c>
      <c r="C346" t="s">
        <v>87</v>
      </c>
      <c r="D346" t="s">
        <v>241</v>
      </c>
      <c r="E346" t="s">
        <v>89</v>
      </c>
      <c r="F346">
        <v>6998</v>
      </c>
      <c r="G346" t="s">
        <v>1120</v>
      </c>
      <c r="H346" s="3">
        <v>43523</v>
      </c>
      <c r="I346" t="s">
        <v>230</v>
      </c>
      <c r="J346">
        <v>5000</v>
      </c>
      <c r="K346" s="1"/>
      <c r="M346" s="3">
        <v>43524</v>
      </c>
      <c r="N346" t="s">
        <v>54</v>
      </c>
      <c r="O346" t="s">
        <v>1121</v>
      </c>
      <c r="P346" t="s">
        <v>56</v>
      </c>
      <c r="Q346">
        <v>4400</v>
      </c>
      <c r="R346" s="3">
        <v>43544</v>
      </c>
      <c r="S346" t="s">
        <v>54</v>
      </c>
      <c r="T346" t="s">
        <v>1074</v>
      </c>
      <c r="U346" t="s">
        <v>60</v>
      </c>
      <c r="V346">
        <v>470</v>
      </c>
      <c r="AG346" t="s">
        <v>1122</v>
      </c>
      <c r="AH346" s="3">
        <v>43538</v>
      </c>
      <c r="AI346">
        <v>6998</v>
      </c>
      <c r="AJ346">
        <v>6998</v>
      </c>
    </row>
    <row r="347" spans="1:36" x14ac:dyDescent="0.25">
      <c r="A347" t="s">
        <v>1123</v>
      </c>
      <c r="B347" s="3">
        <v>43523</v>
      </c>
      <c r="C347" t="s">
        <v>87</v>
      </c>
      <c r="D347" t="s">
        <v>152</v>
      </c>
      <c r="E347" t="s">
        <v>89</v>
      </c>
      <c r="F347">
        <v>5795</v>
      </c>
      <c r="G347" t="s">
        <v>1124</v>
      </c>
      <c r="H347" s="3">
        <v>43523</v>
      </c>
      <c r="I347" t="s">
        <v>514</v>
      </c>
      <c r="J347">
        <v>4300</v>
      </c>
      <c r="K347" s="1"/>
      <c r="M347" s="3">
        <v>43525</v>
      </c>
      <c r="N347" t="s">
        <v>54</v>
      </c>
      <c r="O347" t="s">
        <v>1097</v>
      </c>
      <c r="P347" t="s">
        <v>60</v>
      </c>
      <c r="Q347">
        <v>4200</v>
      </c>
      <c r="AG347" t="s">
        <v>1125</v>
      </c>
      <c r="AH347" s="3">
        <v>43528</v>
      </c>
      <c r="AI347">
        <v>5795</v>
      </c>
      <c r="AJ347">
        <v>5795</v>
      </c>
    </row>
    <row r="348" spans="1:36" x14ac:dyDescent="0.25">
      <c r="A348" t="s">
        <v>1126</v>
      </c>
      <c r="B348" s="3">
        <v>43524</v>
      </c>
      <c r="C348" t="s">
        <v>87</v>
      </c>
      <c r="D348" t="s">
        <v>238</v>
      </c>
      <c r="E348" t="s">
        <v>89</v>
      </c>
      <c r="F348">
        <v>9050</v>
      </c>
      <c r="G348" t="s">
        <v>1127</v>
      </c>
      <c r="H348" s="3">
        <v>43524</v>
      </c>
      <c r="I348" t="s">
        <v>1106</v>
      </c>
      <c r="J348">
        <v>9000</v>
      </c>
      <c r="K348" s="1">
        <v>1</v>
      </c>
      <c r="M348" s="3">
        <v>43525</v>
      </c>
      <c r="N348" t="s">
        <v>54</v>
      </c>
      <c r="O348" t="s">
        <v>1106</v>
      </c>
      <c r="P348" t="s">
        <v>56</v>
      </c>
      <c r="Q348">
        <v>7900</v>
      </c>
      <c r="R348" s="3">
        <v>43554</v>
      </c>
      <c r="S348" t="s">
        <v>54</v>
      </c>
      <c r="T348" t="s">
        <v>1106</v>
      </c>
      <c r="U348" t="s">
        <v>60</v>
      </c>
      <c r="V348">
        <v>970</v>
      </c>
      <c r="AG348" t="s">
        <v>1113</v>
      </c>
      <c r="AH348" s="3">
        <v>43531</v>
      </c>
      <c r="AI348">
        <v>9050</v>
      </c>
      <c r="AJ348">
        <v>29100</v>
      </c>
    </row>
    <row r="349" spans="1:36" x14ac:dyDescent="0.25">
      <c r="A349" t="s">
        <v>1128</v>
      </c>
      <c r="B349" s="3">
        <v>43524</v>
      </c>
      <c r="C349" t="s">
        <v>87</v>
      </c>
      <c r="D349" t="s">
        <v>142</v>
      </c>
      <c r="E349" t="s">
        <v>89</v>
      </c>
      <c r="F349">
        <v>7050</v>
      </c>
      <c r="G349" t="s">
        <v>1129</v>
      </c>
      <c r="H349" s="3">
        <v>43524</v>
      </c>
      <c r="I349" t="s">
        <v>344</v>
      </c>
      <c r="J349">
        <v>6500</v>
      </c>
      <c r="K349" s="1">
        <v>1</v>
      </c>
      <c r="M349" s="3">
        <v>43526</v>
      </c>
      <c r="N349" t="s">
        <v>54</v>
      </c>
      <c r="O349" t="s">
        <v>410</v>
      </c>
      <c r="P349" t="s">
        <v>56</v>
      </c>
      <c r="Q349">
        <v>5400</v>
      </c>
      <c r="R349" s="3">
        <v>43537</v>
      </c>
      <c r="S349" t="s">
        <v>54</v>
      </c>
      <c r="T349" t="s">
        <v>410</v>
      </c>
      <c r="U349" t="s">
        <v>60</v>
      </c>
      <c r="V349">
        <v>970</v>
      </c>
      <c r="AG349" t="s">
        <v>1103</v>
      </c>
      <c r="AH349" s="3">
        <v>43529</v>
      </c>
      <c r="AI349">
        <v>7050</v>
      </c>
      <c r="AJ349">
        <v>23098</v>
      </c>
    </row>
    <row r="350" spans="1:36" x14ac:dyDescent="0.25">
      <c r="A350" t="s">
        <v>1130</v>
      </c>
      <c r="B350" s="3">
        <v>43524</v>
      </c>
      <c r="C350" t="s">
        <v>87</v>
      </c>
      <c r="D350" t="s">
        <v>814</v>
      </c>
      <c r="E350" t="s">
        <v>89</v>
      </c>
      <c r="F350">
        <v>9050</v>
      </c>
      <c r="G350" t="s">
        <v>1131</v>
      </c>
      <c r="H350" s="3">
        <v>43524</v>
      </c>
      <c r="I350" t="s">
        <v>1106</v>
      </c>
      <c r="J350">
        <v>8500</v>
      </c>
      <c r="K350" s="1"/>
      <c r="M350" s="3">
        <v>43525</v>
      </c>
      <c r="N350" t="s">
        <v>54</v>
      </c>
      <c r="O350" t="s">
        <v>1106</v>
      </c>
      <c r="P350" t="s">
        <v>56</v>
      </c>
      <c r="Q350">
        <v>7400</v>
      </c>
      <c r="R350" s="3">
        <v>43554</v>
      </c>
      <c r="S350" t="s">
        <v>54</v>
      </c>
      <c r="T350" t="s">
        <v>1106</v>
      </c>
      <c r="U350" t="s">
        <v>60</v>
      </c>
      <c r="V350">
        <v>970</v>
      </c>
      <c r="AG350" t="s">
        <v>1113</v>
      </c>
      <c r="AH350" s="3">
        <v>43531</v>
      </c>
      <c r="AI350">
        <v>9050</v>
      </c>
      <c r="AJ350">
        <v>29100</v>
      </c>
    </row>
    <row r="351" spans="1:36" x14ac:dyDescent="0.25">
      <c r="A351" t="s">
        <v>1132</v>
      </c>
      <c r="B351" s="3">
        <v>43524</v>
      </c>
      <c r="C351" t="s">
        <v>87</v>
      </c>
      <c r="D351" t="s">
        <v>262</v>
      </c>
      <c r="E351" t="s">
        <v>89</v>
      </c>
      <c r="F351">
        <v>9050</v>
      </c>
      <c r="G351" t="s">
        <v>1133</v>
      </c>
      <c r="H351" s="3">
        <v>43525</v>
      </c>
      <c r="I351" t="s">
        <v>344</v>
      </c>
      <c r="J351">
        <v>8500</v>
      </c>
      <c r="K351" s="1"/>
      <c r="M351" s="3">
        <v>43526</v>
      </c>
      <c r="N351" t="s">
        <v>54</v>
      </c>
      <c r="O351" t="s">
        <v>410</v>
      </c>
      <c r="P351" t="s">
        <v>56</v>
      </c>
      <c r="Q351">
        <v>7400</v>
      </c>
      <c r="R351" s="3">
        <v>43537</v>
      </c>
      <c r="S351" t="s">
        <v>54</v>
      </c>
      <c r="T351" t="s">
        <v>410</v>
      </c>
      <c r="U351" t="s">
        <v>60</v>
      </c>
      <c r="V351">
        <v>970</v>
      </c>
      <c r="AG351" t="s">
        <v>1134</v>
      </c>
      <c r="AH351" s="3">
        <v>43535</v>
      </c>
      <c r="AI351">
        <v>9050</v>
      </c>
      <c r="AJ351">
        <v>9050</v>
      </c>
    </row>
    <row r="352" spans="1:36" x14ac:dyDescent="0.25">
      <c r="A352" t="s">
        <v>1135</v>
      </c>
      <c r="B352" s="3">
        <v>43536</v>
      </c>
      <c r="C352" t="s">
        <v>87</v>
      </c>
      <c r="D352" t="s">
        <v>251</v>
      </c>
      <c r="E352" t="s">
        <v>89</v>
      </c>
      <c r="F352">
        <v>7524</v>
      </c>
      <c r="G352" t="s">
        <v>1136</v>
      </c>
      <c r="H352" s="3">
        <v>43536</v>
      </c>
      <c r="I352" t="s">
        <v>344</v>
      </c>
      <c r="J352">
        <v>6000</v>
      </c>
      <c r="K352" s="1"/>
      <c r="M352" s="3">
        <v>43537</v>
      </c>
      <c r="N352" t="s">
        <v>54</v>
      </c>
      <c r="O352" t="s">
        <v>410</v>
      </c>
      <c r="P352" t="s">
        <v>56</v>
      </c>
      <c r="Q352">
        <v>4900</v>
      </c>
      <c r="R352" s="3">
        <v>43565</v>
      </c>
      <c r="S352" t="s">
        <v>54</v>
      </c>
      <c r="T352" t="s">
        <v>410</v>
      </c>
      <c r="U352" t="s">
        <v>60</v>
      </c>
      <c r="V352">
        <v>910</v>
      </c>
      <c r="AG352" t="s">
        <v>1137</v>
      </c>
      <c r="AH352" s="3">
        <v>43553</v>
      </c>
      <c r="AI352">
        <v>7524</v>
      </c>
      <c r="AJ352">
        <v>7524</v>
      </c>
    </row>
    <row r="353" spans="1:36" x14ac:dyDescent="0.25">
      <c r="A353" t="s">
        <v>1138</v>
      </c>
      <c r="B353" s="3">
        <v>43539</v>
      </c>
      <c r="C353" t="s">
        <v>87</v>
      </c>
      <c r="D353" t="s">
        <v>245</v>
      </c>
      <c r="E353" t="s">
        <v>89</v>
      </c>
      <c r="F353">
        <v>7946</v>
      </c>
      <c r="G353" t="s">
        <v>1139</v>
      </c>
      <c r="H353" s="3">
        <v>43539</v>
      </c>
      <c r="I353" t="s">
        <v>514</v>
      </c>
      <c r="J353">
        <v>5200</v>
      </c>
      <c r="K353" s="1"/>
      <c r="M353" s="3">
        <v>43549</v>
      </c>
      <c r="N353" t="s">
        <v>54</v>
      </c>
      <c r="O353" t="s">
        <v>1140</v>
      </c>
      <c r="P353" t="s">
        <v>60</v>
      </c>
      <c r="Q353">
        <v>5100</v>
      </c>
      <c r="AG353" t="s">
        <v>1141</v>
      </c>
      <c r="AH353" s="3">
        <v>43550</v>
      </c>
      <c r="AI353">
        <v>7946</v>
      </c>
      <c r="AJ353">
        <v>7946</v>
      </c>
    </row>
    <row r="354" spans="1:36" x14ac:dyDescent="0.25">
      <c r="A354" t="s">
        <v>1142</v>
      </c>
      <c r="B354" s="3">
        <v>43537</v>
      </c>
      <c r="C354" t="s">
        <v>87</v>
      </c>
      <c r="D354" t="s">
        <v>152</v>
      </c>
      <c r="E354" t="s">
        <v>89</v>
      </c>
      <c r="F354">
        <v>5919</v>
      </c>
      <c r="G354" t="s">
        <v>1143</v>
      </c>
      <c r="H354" s="3">
        <v>43539</v>
      </c>
      <c r="I354" t="s">
        <v>514</v>
      </c>
      <c r="J354">
        <v>5000</v>
      </c>
      <c r="K354" s="1"/>
      <c r="M354" s="3">
        <v>43549</v>
      </c>
      <c r="N354" t="s">
        <v>54</v>
      </c>
      <c r="O354" t="s">
        <v>1144</v>
      </c>
      <c r="P354" t="s">
        <v>60</v>
      </c>
      <c r="Q354">
        <v>4900</v>
      </c>
      <c r="AG354" t="s">
        <v>1145</v>
      </c>
      <c r="AH354" s="3">
        <v>43550</v>
      </c>
      <c r="AI354">
        <v>5919</v>
      </c>
      <c r="AJ354">
        <v>5919</v>
      </c>
    </row>
    <row r="355" spans="1:36" x14ac:dyDescent="0.25">
      <c r="A355" t="s">
        <v>1146</v>
      </c>
      <c r="B355" s="3">
        <v>43539</v>
      </c>
      <c r="C355" t="s">
        <v>87</v>
      </c>
      <c r="D355" t="s">
        <v>152</v>
      </c>
      <c r="E355" t="s">
        <v>89</v>
      </c>
      <c r="F355">
        <v>5919</v>
      </c>
      <c r="G355" t="s">
        <v>1147</v>
      </c>
      <c r="H355" s="3">
        <v>43539</v>
      </c>
      <c r="I355" t="s">
        <v>514</v>
      </c>
      <c r="J355">
        <v>5000</v>
      </c>
      <c r="K355" s="1"/>
      <c r="M355" s="3">
        <v>43549</v>
      </c>
      <c r="N355" t="s">
        <v>54</v>
      </c>
      <c r="O355" t="s">
        <v>1148</v>
      </c>
      <c r="P355" t="s">
        <v>60</v>
      </c>
      <c r="Q355">
        <v>4900</v>
      </c>
      <c r="AG355" t="s">
        <v>1149</v>
      </c>
      <c r="AH355" s="3">
        <v>43550</v>
      </c>
      <c r="AI355">
        <v>5919</v>
      </c>
      <c r="AJ355">
        <v>5919</v>
      </c>
    </row>
    <row r="356" spans="1:36" x14ac:dyDescent="0.25">
      <c r="A356" t="s">
        <v>1150</v>
      </c>
      <c r="B356" s="3">
        <v>43539</v>
      </c>
      <c r="C356" t="s">
        <v>87</v>
      </c>
      <c r="D356" t="s">
        <v>238</v>
      </c>
      <c r="E356" t="s">
        <v>89</v>
      </c>
      <c r="F356">
        <v>13001</v>
      </c>
      <c r="G356" t="s">
        <v>1151</v>
      </c>
      <c r="H356" s="3">
        <v>43539</v>
      </c>
      <c r="I356" t="s">
        <v>1106</v>
      </c>
      <c r="J356">
        <v>8500</v>
      </c>
      <c r="K356" s="1"/>
      <c r="M356" s="3">
        <v>43540</v>
      </c>
      <c r="N356" t="s">
        <v>54</v>
      </c>
      <c r="O356" t="s">
        <v>1106</v>
      </c>
      <c r="P356" t="s">
        <v>56</v>
      </c>
      <c r="Q356">
        <v>7400</v>
      </c>
      <c r="AG356" t="s">
        <v>1152</v>
      </c>
      <c r="AH356" s="3">
        <v>43567</v>
      </c>
      <c r="AI356">
        <v>13001</v>
      </c>
      <c r="AJ356">
        <v>61276</v>
      </c>
    </row>
    <row r="357" spans="1:36" x14ac:dyDescent="0.25">
      <c r="A357" t="s">
        <v>1153</v>
      </c>
      <c r="B357" s="3">
        <v>43539</v>
      </c>
      <c r="C357" t="s">
        <v>87</v>
      </c>
      <c r="D357" t="s">
        <v>256</v>
      </c>
      <c r="E357" t="s">
        <v>89</v>
      </c>
      <c r="F357">
        <v>13486</v>
      </c>
      <c r="G357" t="s">
        <v>1154</v>
      </c>
      <c r="H357" s="3">
        <v>43539</v>
      </c>
      <c r="I357" t="s">
        <v>230</v>
      </c>
      <c r="J357">
        <v>9000</v>
      </c>
      <c r="K357" s="1"/>
      <c r="M357" s="3">
        <v>43540</v>
      </c>
      <c r="N357" t="s">
        <v>54</v>
      </c>
      <c r="O357" t="s">
        <v>1074</v>
      </c>
      <c r="P357" t="s">
        <v>56</v>
      </c>
      <c r="Q357">
        <v>7900</v>
      </c>
    </row>
    <row r="358" spans="1:36" x14ac:dyDescent="0.25">
      <c r="A358" t="s">
        <v>1155</v>
      </c>
      <c r="B358" s="3">
        <v>43546</v>
      </c>
      <c r="C358" t="s">
        <v>87</v>
      </c>
      <c r="D358" t="s">
        <v>245</v>
      </c>
      <c r="E358" t="s">
        <v>89</v>
      </c>
      <c r="F358">
        <v>7946</v>
      </c>
      <c r="G358" t="s">
        <v>1156</v>
      </c>
      <c r="H358" s="3">
        <v>43546</v>
      </c>
      <c r="I358" t="s">
        <v>514</v>
      </c>
      <c r="J358">
        <v>5200</v>
      </c>
      <c r="K358" s="1"/>
      <c r="M358" s="3">
        <v>43552</v>
      </c>
      <c r="N358" t="s">
        <v>54</v>
      </c>
      <c r="O358" t="s">
        <v>1157</v>
      </c>
      <c r="P358" t="s">
        <v>60</v>
      </c>
      <c r="Q358">
        <v>4996</v>
      </c>
      <c r="AG358" t="s">
        <v>1158</v>
      </c>
      <c r="AH358" s="3">
        <v>43553</v>
      </c>
      <c r="AI358">
        <v>7946</v>
      </c>
      <c r="AJ358">
        <v>7946</v>
      </c>
    </row>
    <row r="359" spans="1:36" x14ac:dyDescent="0.25">
      <c r="A359" t="s">
        <v>1159</v>
      </c>
      <c r="B359" s="3">
        <v>43546</v>
      </c>
      <c r="C359" t="s">
        <v>87</v>
      </c>
      <c r="D359" t="s">
        <v>206</v>
      </c>
      <c r="E359" t="s">
        <v>89</v>
      </c>
      <c r="F359">
        <v>12807</v>
      </c>
      <c r="G359" t="s">
        <v>1160</v>
      </c>
      <c r="H359" s="3">
        <v>43546</v>
      </c>
      <c r="I359" t="s">
        <v>1106</v>
      </c>
      <c r="J359">
        <v>10500</v>
      </c>
      <c r="K359" s="1">
        <v>1</v>
      </c>
      <c r="M359" s="3">
        <v>43550</v>
      </c>
      <c r="N359" t="s">
        <v>54</v>
      </c>
      <c r="O359" t="s">
        <v>1106</v>
      </c>
      <c r="P359" t="s">
        <v>56</v>
      </c>
      <c r="Q359">
        <v>9400</v>
      </c>
      <c r="AG359" t="s">
        <v>1152</v>
      </c>
      <c r="AH359" s="3">
        <v>43567</v>
      </c>
      <c r="AI359">
        <v>12807</v>
      </c>
      <c r="AJ359">
        <v>61276</v>
      </c>
    </row>
    <row r="360" spans="1:36" x14ac:dyDescent="0.25">
      <c r="A360" t="s">
        <v>1161</v>
      </c>
      <c r="B360" s="3">
        <v>43549</v>
      </c>
      <c r="C360" t="s">
        <v>87</v>
      </c>
      <c r="D360" t="s">
        <v>251</v>
      </c>
      <c r="E360" t="s">
        <v>89</v>
      </c>
      <c r="F360">
        <v>9788</v>
      </c>
      <c r="G360" t="s">
        <v>1162</v>
      </c>
      <c r="H360" s="3">
        <v>43549</v>
      </c>
      <c r="I360" t="s">
        <v>1106</v>
      </c>
      <c r="J360">
        <v>8500</v>
      </c>
      <c r="K360" s="1">
        <v>1</v>
      </c>
      <c r="M360" s="3">
        <v>43550</v>
      </c>
      <c r="N360" t="s">
        <v>54</v>
      </c>
      <c r="O360" t="s">
        <v>1106</v>
      </c>
      <c r="P360" t="s">
        <v>56</v>
      </c>
      <c r="Q360">
        <v>6900</v>
      </c>
      <c r="AG360" t="s">
        <v>1152</v>
      </c>
      <c r="AH360" s="3">
        <v>43567</v>
      </c>
      <c r="AI360">
        <v>9788</v>
      </c>
      <c r="AJ360">
        <v>61276</v>
      </c>
    </row>
    <row r="361" spans="1:36" x14ac:dyDescent="0.25">
      <c r="A361" t="s">
        <v>1163</v>
      </c>
      <c r="B361" s="3">
        <v>43549</v>
      </c>
      <c r="C361" t="s">
        <v>87</v>
      </c>
      <c r="D361" t="s">
        <v>718</v>
      </c>
      <c r="E361" t="s">
        <v>89</v>
      </c>
      <c r="F361">
        <v>7946</v>
      </c>
      <c r="G361" t="s">
        <v>1164</v>
      </c>
      <c r="H361" s="3">
        <v>43549</v>
      </c>
      <c r="I361" t="s">
        <v>1106</v>
      </c>
      <c r="J361">
        <v>6500</v>
      </c>
      <c r="K361" s="1">
        <v>1</v>
      </c>
      <c r="M361" s="3">
        <v>43550</v>
      </c>
      <c r="N361" t="s">
        <v>54</v>
      </c>
      <c r="O361" t="s">
        <v>1106</v>
      </c>
      <c r="P361" t="s">
        <v>56</v>
      </c>
      <c r="Q361">
        <v>5900</v>
      </c>
      <c r="AG361" t="s">
        <v>1152</v>
      </c>
      <c r="AH361" s="3">
        <v>43567</v>
      </c>
      <c r="AI361">
        <v>7946</v>
      </c>
      <c r="AJ361">
        <v>61276</v>
      </c>
    </row>
    <row r="362" spans="1:36" x14ac:dyDescent="0.25">
      <c r="A362" t="s">
        <v>1165</v>
      </c>
      <c r="B362" s="3">
        <v>43550</v>
      </c>
      <c r="C362" t="s">
        <v>87</v>
      </c>
      <c r="D362" t="s">
        <v>241</v>
      </c>
      <c r="E362" t="s">
        <v>89</v>
      </c>
      <c r="F362">
        <v>7468</v>
      </c>
      <c r="G362" t="s">
        <v>1166</v>
      </c>
      <c r="H362" s="3">
        <v>43550</v>
      </c>
      <c r="I362" t="s">
        <v>1106</v>
      </c>
      <c r="J362">
        <v>6300</v>
      </c>
      <c r="K362" s="1"/>
      <c r="M362" s="3">
        <v>43550</v>
      </c>
      <c r="N362" t="s">
        <v>54</v>
      </c>
      <c r="O362" t="s">
        <v>1106</v>
      </c>
      <c r="P362" t="s">
        <v>56</v>
      </c>
      <c r="Q362">
        <v>5700</v>
      </c>
    </row>
    <row r="363" spans="1:36" x14ac:dyDescent="0.25">
      <c r="A363" t="s">
        <v>1167</v>
      </c>
      <c r="B363" s="3">
        <v>43550</v>
      </c>
      <c r="C363" t="s">
        <v>87</v>
      </c>
      <c r="D363" t="s">
        <v>152</v>
      </c>
      <c r="E363" t="s">
        <v>89</v>
      </c>
      <c r="F363">
        <v>5919</v>
      </c>
      <c r="G363" t="s">
        <v>1168</v>
      </c>
      <c r="H363" s="3">
        <v>43550</v>
      </c>
      <c r="I363" t="s">
        <v>514</v>
      </c>
      <c r="J363">
        <v>5200</v>
      </c>
      <c r="K363" s="1"/>
      <c r="M363" s="3">
        <v>43552</v>
      </c>
      <c r="N363" t="s">
        <v>54</v>
      </c>
      <c r="O363" t="s">
        <v>1148</v>
      </c>
      <c r="P363" t="s">
        <v>60</v>
      </c>
      <c r="Q363">
        <v>5100</v>
      </c>
      <c r="AG363" t="s">
        <v>1169</v>
      </c>
      <c r="AH363" s="3">
        <v>43553</v>
      </c>
      <c r="AI363">
        <v>5919</v>
      </c>
      <c r="AJ363">
        <v>5919</v>
      </c>
    </row>
    <row r="364" spans="1:36" x14ac:dyDescent="0.25">
      <c r="A364" t="s">
        <v>1170</v>
      </c>
      <c r="B364" s="3">
        <v>43552</v>
      </c>
      <c r="C364" t="s">
        <v>87</v>
      </c>
      <c r="D364" t="s">
        <v>251</v>
      </c>
      <c r="E364" t="s">
        <v>89</v>
      </c>
      <c r="F364">
        <v>9788</v>
      </c>
      <c r="G364" t="s">
        <v>1171</v>
      </c>
      <c r="H364" s="3">
        <v>43552</v>
      </c>
      <c r="I364" t="s">
        <v>1106</v>
      </c>
      <c r="J364">
        <v>7500</v>
      </c>
      <c r="K364" s="1"/>
      <c r="M364" s="3">
        <v>43554</v>
      </c>
      <c r="N364" t="s">
        <v>54</v>
      </c>
      <c r="O364" t="s">
        <v>1106</v>
      </c>
      <c r="P364" t="s">
        <v>56</v>
      </c>
      <c r="Q364">
        <v>6400</v>
      </c>
    </row>
    <row r="365" spans="1:36" x14ac:dyDescent="0.25">
      <c r="A365" t="s">
        <v>1172</v>
      </c>
      <c r="B365" s="3">
        <v>43552</v>
      </c>
      <c r="C365" t="s">
        <v>87</v>
      </c>
      <c r="D365" t="s">
        <v>245</v>
      </c>
      <c r="E365" t="s">
        <v>89</v>
      </c>
      <c r="F365">
        <v>7946</v>
      </c>
      <c r="G365" t="s">
        <v>1173</v>
      </c>
      <c r="H365" s="3">
        <v>43552</v>
      </c>
      <c r="I365" t="s">
        <v>514</v>
      </c>
      <c r="J365">
        <v>5200</v>
      </c>
      <c r="K365" s="1">
        <v>1</v>
      </c>
      <c r="M365" s="3">
        <v>43567</v>
      </c>
      <c r="N365" t="s">
        <v>54</v>
      </c>
      <c r="O365" t="s">
        <v>1140</v>
      </c>
      <c r="P365" t="s">
        <v>60</v>
      </c>
      <c r="Q365">
        <v>5100</v>
      </c>
      <c r="AG365" t="s">
        <v>1152</v>
      </c>
      <c r="AH365" s="3">
        <v>43567</v>
      </c>
      <c r="AI365">
        <v>7946</v>
      </c>
      <c r="AJ365">
        <v>61276</v>
      </c>
    </row>
    <row r="366" spans="1:36" x14ac:dyDescent="0.25">
      <c r="A366" t="s">
        <v>1174</v>
      </c>
      <c r="B366" s="3">
        <v>43553</v>
      </c>
      <c r="C366" t="s">
        <v>87</v>
      </c>
      <c r="D366" t="s">
        <v>241</v>
      </c>
      <c r="E366" t="s">
        <v>89</v>
      </c>
      <c r="F366">
        <v>9788</v>
      </c>
      <c r="G366" t="s">
        <v>1175</v>
      </c>
      <c r="H366" s="3">
        <v>43553</v>
      </c>
      <c r="I366" t="s">
        <v>1106</v>
      </c>
      <c r="J366">
        <v>7000</v>
      </c>
      <c r="K366" s="1">
        <v>1</v>
      </c>
      <c r="M366" s="3">
        <v>43554</v>
      </c>
      <c r="N366" t="s">
        <v>54</v>
      </c>
      <c r="O366" t="s">
        <v>1106</v>
      </c>
      <c r="P366" t="s">
        <v>56</v>
      </c>
      <c r="Q366">
        <v>6400</v>
      </c>
      <c r="AG366" t="s">
        <v>1152</v>
      </c>
      <c r="AH366" s="3">
        <v>43567</v>
      </c>
      <c r="AI366">
        <v>9788</v>
      </c>
      <c r="AJ366">
        <v>61276</v>
      </c>
    </row>
    <row r="367" spans="1:36" x14ac:dyDescent="0.25">
      <c r="A367" t="s">
        <v>1176</v>
      </c>
      <c r="B367" s="3">
        <v>43553</v>
      </c>
      <c r="C367" t="s">
        <v>87</v>
      </c>
      <c r="D367" t="s">
        <v>256</v>
      </c>
      <c r="E367" t="s">
        <v>89</v>
      </c>
      <c r="F367">
        <v>13486</v>
      </c>
      <c r="G367" t="s">
        <v>1177</v>
      </c>
      <c r="H367" s="3">
        <v>43553</v>
      </c>
      <c r="I367" t="s">
        <v>1106</v>
      </c>
      <c r="J367">
        <v>8500</v>
      </c>
      <c r="K367" s="1"/>
      <c r="M367" s="3">
        <v>43554</v>
      </c>
      <c r="N367" t="s">
        <v>54</v>
      </c>
      <c r="O367" t="s">
        <v>1106</v>
      </c>
      <c r="P367" t="s">
        <v>56</v>
      </c>
      <c r="Q367">
        <v>7900</v>
      </c>
    </row>
    <row r="368" spans="1:36" x14ac:dyDescent="0.25">
      <c r="A368" t="s">
        <v>1178</v>
      </c>
      <c r="B368" s="3">
        <v>43554</v>
      </c>
      <c r="C368" t="s">
        <v>87</v>
      </c>
      <c r="D368" t="s">
        <v>262</v>
      </c>
      <c r="E368" t="s">
        <v>89</v>
      </c>
      <c r="F368">
        <v>12031</v>
      </c>
      <c r="G368" t="s">
        <v>1179</v>
      </c>
      <c r="H368" s="3">
        <v>43554</v>
      </c>
      <c r="I368" t="s">
        <v>1106</v>
      </c>
      <c r="J368">
        <v>8000</v>
      </c>
      <c r="K368" s="1"/>
      <c r="M368" s="3">
        <v>43554</v>
      </c>
      <c r="N368" t="s">
        <v>54</v>
      </c>
      <c r="O368" t="s">
        <v>1106</v>
      </c>
      <c r="P368" t="s">
        <v>56</v>
      </c>
      <c r="Q368">
        <v>7400</v>
      </c>
    </row>
    <row r="369" spans="1:17" x14ac:dyDescent="0.25">
      <c r="A369" t="s">
        <v>1180</v>
      </c>
      <c r="B369" s="3">
        <v>43560</v>
      </c>
      <c r="C369" t="s">
        <v>87</v>
      </c>
      <c r="D369" t="s">
        <v>238</v>
      </c>
      <c r="E369" t="s">
        <v>89</v>
      </c>
      <c r="F369">
        <v>13001</v>
      </c>
      <c r="G369" t="s">
        <v>1181</v>
      </c>
      <c r="H369" s="3">
        <v>43560</v>
      </c>
      <c r="I369" t="s">
        <v>1106</v>
      </c>
      <c r="J369">
        <v>9000</v>
      </c>
      <c r="K369" s="1"/>
      <c r="M369" s="3">
        <v>43563</v>
      </c>
      <c r="N369" t="s">
        <v>54</v>
      </c>
      <c r="O369" t="s">
        <v>1106</v>
      </c>
      <c r="P369" t="s">
        <v>56</v>
      </c>
      <c r="Q369">
        <v>8400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6" activeCellId="2" sqref="A3 A4 A6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1182</v>
      </c>
      <c r="B2" s="3">
        <v>43290</v>
      </c>
      <c r="C2" t="s">
        <v>1183</v>
      </c>
      <c r="D2" t="s">
        <v>1184</v>
      </c>
      <c r="E2" t="s">
        <v>1183</v>
      </c>
      <c r="F2">
        <v>19000</v>
      </c>
      <c r="G2" t="s">
        <v>1185</v>
      </c>
      <c r="H2" s="3">
        <v>43290</v>
      </c>
      <c r="I2" t="s">
        <v>344</v>
      </c>
      <c r="J2">
        <v>17000</v>
      </c>
      <c r="K2" s="1"/>
      <c r="M2" s="3">
        <v>43291</v>
      </c>
      <c r="N2" t="s">
        <v>54</v>
      </c>
      <c r="O2" t="s">
        <v>410</v>
      </c>
      <c r="P2" t="s">
        <v>56</v>
      </c>
      <c r="Q2">
        <v>14750</v>
      </c>
      <c r="R2" s="3">
        <v>43318</v>
      </c>
      <c r="S2" t="s">
        <v>54</v>
      </c>
      <c r="T2" t="s">
        <v>410</v>
      </c>
      <c r="U2" t="s">
        <v>60</v>
      </c>
      <c r="V2">
        <v>1950</v>
      </c>
      <c r="AG2" t="s">
        <v>1186</v>
      </c>
      <c r="AH2" s="3">
        <v>43335</v>
      </c>
      <c r="AI2">
        <v>19000</v>
      </c>
      <c r="AJ2">
        <v>3000</v>
      </c>
      <c r="AS2" t="s">
        <v>1187</v>
      </c>
      <c r="AT2" s="3">
        <v>43434</v>
      </c>
      <c r="AU2">
        <v>16000</v>
      </c>
      <c r="AV2">
        <v>0</v>
      </c>
      <c r="AW2">
        <v>0</v>
      </c>
      <c r="AX2">
        <v>0</v>
      </c>
    </row>
    <row r="3" spans="1:74" x14ac:dyDescent="0.25">
      <c r="A3" s="4" t="s">
        <v>1188</v>
      </c>
      <c r="B3" s="3">
        <v>43454</v>
      </c>
      <c r="C3" t="s">
        <v>1183</v>
      </c>
      <c r="D3" t="s">
        <v>1189</v>
      </c>
      <c r="E3" t="s">
        <v>1183</v>
      </c>
      <c r="F3">
        <v>99500</v>
      </c>
      <c r="G3" t="s">
        <v>1190</v>
      </c>
      <c r="H3" s="3">
        <v>43454</v>
      </c>
      <c r="I3" t="s">
        <v>66</v>
      </c>
      <c r="J3">
        <v>90000</v>
      </c>
      <c r="K3" s="1" t="s">
        <v>67</v>
      </c>
      <c r="M3" s="3">
        <v>43465</v>
      </c>
      <c r="N3" t="s">
        <v>54</v>
      </c>
      <c r="O3" t="s">
        <v>1191</v>
      </c>
      <c r="P3" t="s">
        <v>56</v>
      </c>
      <c r="Q3">
        <v>80000</v>
      </c>
      <c r="AG3" s="5" t="s">
        <v>1192</v>
      </c>
      <c r="AH3" s="3">
        <v>43509</v>
      </c>
      <c r="AI3" s="7">
        <v>99500</v>
      </c>
      <c r="AJ3" s="6">
        <v>99500</v>
      </c>
    </row>
    <row r="4" spans="1:74" x14ac:dyDescent="0.25">
      <c r="A4" s="4" t="s">
        <v>1193</v>
      </c>
      <c r="B4" s="3">
        <v>43463</v>
      </c>
      <c r="C4" t="s">
        <v>1183</v>
      </c>
      <c r="D4" t="s">
        <v>1194</v>
      </c>
      <c r="E4" t="s">
        <v>1183</v>
      </c>
      <c r="F4">
        <v>6500</v>
      </c>
      <c r="G4" t="s">
        <v>1195</v>
      </c>
      <c r="H4" s="3">
        <v>43463</v>
      </c>
      <c r="I4" t="s">
        <v>601</v>
      </c>
      <c r="J4">
        <v>5500</v>
      </c>
      <c r="K4" s="1" t="s">
        <v>67</v>
      </c>
      <c r="M4" s="3">
        <v>43476</v>
      </c>
      <c r="N4" t="s">
        <v>54</v>
      </c>
      <c r="O4" t="s">
        <v>968</v>
      </c>
      <c r="P4" t="s">
        <v>60</v>
      </c>
      <c r="Q4">
        <v>970</v>
      </c>
      <c r="R4" s="3">
        <v>43476</v>
      </c>
      <c r="S4" t="s">
        <v>54</v>
      </c>
      <c r="T4" t="s">
        <v>968</v>
      </c>
      <c r="U4" t="s">
        <v>56</v>
      </c>
      <c r="V4">
        <v>4450</v>
      </c>
      <c r="AG4" s="5" t="s">
        <v>1196</v>
      </c>
      <c r="AH4" s="3">
        <v>43474</v>
      </c>
      <c r="AI4" s="7">
        <v>6500</v>
      </c>
      <c r="AJ4">
        <v>0</v>
      </c>
      <c r="AS4" t="s">
        <v>1197</v>
      </c>
      <c r="AT4" s="3">
        <v>43555</v>
      </c>
      <c r="AU4">
        <v>6500</v>
      </c>
      <c r="AV4">
        <v>0</v>
      </c>
      <c r="AW4">
        <v>0</v>
      </c>
      <c r="AX4">
        <v>0</v>
      </c>
      <c r="BQ4" t="s">
        <v>72</v>
      </c>
      <c r="BR4" t="s">
        <v>1198</v>
      </c>
    </row>
    <row r="5" spans="1:74" x14ac:dyDescent="0.25">
      <c r="A5" t="s">
        <v>1199</v>
      </c>
      <c r="B5" s="3">
        <v>43465</v>
      </c>
      <c r="C5" t="s">
        <v>1183</v>
      </c>
      <c r="D5" t="s">
        <v>1200</v>
      </c>
      <c r="E5" t="s">
        <v>1183</v>
      </c>
      <c r="F5">
        <v>6000</v>
      </c>
      <c r="G5" t="s">
        <v>1201</v>
      </c>
      <c r="H5" s="3">
        <v>43465</v>
      </c>
      <c r="I5" t="s">
        <v>230</v>
      </c>
      <c r="J5">
        <v>5000</v>
      </c>
      <c r="K5" s="1"/>
      <c r="M5" s="3">
        <v>43468</v>
      </c>
      <c r="N5" t="s">
        <v>54</v>
      </c>
      <c r="O5" t="s">
        <v>1074</v>
      </c>
      <c r="P5" t="s">
        <v>56</v>
      </c>
      <c r="Q5">
        <v>4300</v>
      </c>
      <c r="R5" s="3">
        <v>43514</v>
      </c>
      <c r="S5" t="s">
        <v>54</v>
      </c>
      <c r="T5" t="s">
        <v>1074</v>
      </c>
      <c r="U5" t="s">
        <v>60</v>
      </c>
      <c r="V5">
        <v>470</v>
      </c>
      <c r="AG5" t="s">
        <v>1202</v>
      </c>
      <c r="AH5" s="3">
        <v>43502</v>
      </c>
      <c r="AI5">
        <v>6000</v>
      </c>
      <c r="AJ5">
        <v>6000</v>
      </c>
    </row>
    <row r="6" spans="1:74" x14ac:dyDescent="0.25">
      <c r="A6" s="4" t="s">
        <v>1203</v>
      </c>
      <c r="B6" s="3">
        <v>43462</v>
      </c>
      <c r="C6" t="s">
        <v>1183</v>
      </c>
      <c r="D6" t="s">
        <v>1204</v>
      </c>
      <c r="E6" t="s">
        <v>1183</v>
      </c>
      <c r="F6">
        <v>27000</v>
      </c>
      <c r="G6" t="s">
        <v>1205</v>
      </c>
      <c r="H6" s="3">
        <v>43468</v>
      </c>
      <c r="I6" t="s">
        <v>344</v>
      </c>
      <c r="J6">
        <v>24000</v>
      </c>
      <c r="K6" s="1" t="s">
        <v>67</v>
      </c>
      <c r="M6" s="3">
        <v>43468</v>
      </c>
      <c r="N6" t="s">
        <v>54</v>
      </c>
      <c r="O6" t="s">
        <v>632</v>
      </c>
      <c r="P6" t="s">
        <v>56</v>
      </c>
      <c r="Q6">
        <v>19900</v>
      </c>
      <c r="R6" s="3">
        <v>43526</v>
      </c>
      <c r="S6" t="s">
        <v>54</v>
      </c>
      <c r="T6" t="s">
        <v>410</v>
      </c>
      <c r="U6" t="s">
        <v>60</v>
      </c>
      <c r="V6">
        <v>3900</v>
      </c>
      <c r="AG6" s="5" t="s">
        <v>1206</v>
      </c>
      <c r="AH6" s="3">
        <v>43483</v>
      </c>
      <c r="AI6" s="7">
        <v>27000</v>
      </c>
      <c r="AJ6" s="6">
        <v>27000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8" sqref="A8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1207</v>
      </c>
      <c r="B2" s="3">
        <v>42301</v>
      </c>
      <c r="C2" t="s">
        <v>1208</v>
      </c>
      <c r="D2" t="s">
        <v>1209</v>
      </c>
      <c r="E2" t="s">
        <v>1208</v>
      </c>
      <c r="F2">
        <v>16000</v>
      </c>
      <c r="G2" t="s">
        <v>1210</v>
      </c>
      <c r="H2" s="3">
        <v>42301</v>
      </c>
      <c r="I2" t="s">
        <v>1211</v>
      </c>
      <c r="J2">
        <v>15000</v>
      </c>
      <c r="K2" s="1"/>
      <c r="M2" s="3">
        <v>42301</v>
      </c>
      <c r="N2" t="s">
        <v>57</v>
      </c>
      <c r="P2" t="s">
        <v>56</v>
      </c>
      <c r="Q2">
        <v>12700</v>
      </c>
      <c r="R2" s="3">
        <v>42315</v>
      </c>
      <c r="S2" t="s">
        <v>54</v>
      </c>
      <c r="U2" t="s">
        <v>60</v>
      </c>
      <c r="V2">
        <v>1950</v>
      </c>
      <c r="AS2" t="s">
        <v>1212</v>
      </c>
      <c r="AT2" s="3">
        <v>42301</v>
      </c>
      <c r="AU2">
        <v>16000</v>
      </c>
      <c r="AV2">
        <v>0</v>
      </c>
      <c r="AW2">
        <v>0</v>
      </c>
      <c r="AX2">
        <v>0</v>
      </c>
    </row>
    <row r="3" spans="1:74" x14ac:dyDescent="0.25">
      <c r="A3" t="s">
        <v>1213</v>
      </c>
      <c r="B3" s="3">
        <v>42667</v>
      </c>
      <c r="C3" t="s">
        <v>1208</v>
      </c>
      <c r="D3" t="s">
        <v>1214</v>
      </c>
      <c r="E3" t="s">
        <v>1208</v>
      </c>
      <c r="F3">
        <v>135010</v>
      </c>
      <c r="G3" t="s">
        <v>1215</v>
      </c>
      <c r="H3" s="3">
        <v>42667</v>
      </c>
      <c r="I3" t="s">
        <v>91</v>
      </c>
      <c r="J3">
        <v>120000</v>
      </c>
      <c r="K3" s="1"/>
      <c r="M3" s="3">
        <v>42667</v>
      </c>
      <c r="N3" t="s">
        <v>54</v>
      </c>
      <c r="P3" t="s">
        <v>56</v>
      </c>
      <c r="Q3">
        <v>89000</v>
      </c>
      <c r="R3" s="3">
        <v>42735</v>
      </c>
      <c r="S3" t="s">
        <v>54</v>
      </c>
      <c r="U3" t="s">
        <v>60</v>
      </c>
      <c r="V3">
        <v>29500</v>
      </c>
      <c r="AG3" t="s">
        <v>1216</v>
      </c>
      <c r="AH3" s="3">
        <v>42712</v>
      </c>
      <c r="AI3">
        <v>135010</v>
      </c>
      <c r="AJ3">
        <v>0</v>
      </c>
      <c r="AS3" t="s">
        <v>1217</v>
      </c>
      <c r="AT3" s="3">
        <v>42783</v>
      </c>
      <c r="AU3">
        <v>135000</v>
      </c>
      <c r="AV3">
        <v>10</v>
      </c>
      <c r="AW3">
        <v>0</v>
      </c>
      <c r="AX3">
        <v>0</v>
      </c>
    </row>
    <row r="4" spans="1:74" x14ac:dyDescent="0.25">
      <c r="A4" s="4" t="s">
        <v>1218</v>
      </c>
      <c r="B4" s="3">
        <v>42781</v>
      </c>
      <c r="C4" t="s">
        <v>1208</v>
      </c>
      <c r="D4" t="s">
        <v>1219</v>
      </c>
      <c r="E4" t="s">
        <v>1208</v>
      </c>
      <c r="F4">
        <v>60000</v>
      </c>
      <c r="G4" t="s">
        <v>1220</v>
      </c>
      <c r="H4" s="3">
        <v>42781</v>
      </c>
      <c r="I4" t="s">
        <v>107</v>
      </c>
      <c r="J4">
        <v>55000</v>
      </c>
      <c r="K4" s="1" t="s">
        <v>67</v>
      </c>
      <c r="M4" s="3">
        <v>42783</v>
      </c>
      <c r="N4" t="s">
        <v>54</v>
      </c>
      <c r="P4" t="s">
        <v>56</v>
      </c>
      <c r="Q4">
        <v>49500</v>
      </c>
      <c r="R4" s="3">
        <v>42853</v>
      </c>
      <c r="S4" t="s">
        <v>54</v>
      </c>
      <c r="T4" t="s">
        <v>1221</v>
      </c>
      <c r="U4" t="s">
        <v>60</v>
      </c>
      <c r="V4">
        <v>4900</v>
      </c>
      <c r="AG4" s="5" t="s">
        <v>1222</v>
      </c>
      <c r="AH4" s="3">
        <v>42838</v>
      </c>
      <c r="AI4" s="4">
        <v>60000</v>
      </c>
      <c r="AJ4">
        <v>0</v>
      </c>
      <c r="AS4" t="s">
        <v>1225</v>
      </c>
      <c r="AT4" s="3">
        <v>43033</v>
      </c>
      <c r="AU4">
        <v>166600</v>
      </c>
      <c r="AV4">
        <v>0</v>
      </c>
      <c r="AW4">
        <v>3400</v>
      </c>
      <c r="AX4">
        <v>0</v>
      </c>
      <c r="BQ4" t="s">
        <v>72</v>
      </c>
      <c r="BR4" t="s">
        <v>1226</v>
      </c>
    </row>
    <row r="5" spans="1:74" x14ac:dyDescent="0.25">
      <c r="A5" s="4" t="s">
        <v>1223</v>
      </c>
      <c r="B5" s="3">
        <v>42781</v>
      </c>
      <c r="C5" t="s">
        <v>1208</v>
      </c>
      <c r="D5" t="s">
        <v>1219</v>
      </c>
      <c r="E5" t="s">
        <v>1208</v>
      </c>
      <c r="F5">
        <v>60000</v>
      </c>
      <c r="G5" t="s">
        <v>1224</v>
      </c>
      <c r="H5" s="3">
        <v>42781</v>
      </c>
      <c r="I5" t="s">
        <v>107</v>
      </c>
      <c r="J5">
        <v>55000</v>
      </c>
      <c r="K5" s="1" t="s">
        <v>67</v>
      </c>
      <c r="M5" s="3">
        <v>42783</v>
      </c>
      <c r="N5" t="s">
        <v>54</v>
      </c>
      <c r="P5" t="s">
        <v>56</v>
      </c>
      <c r="Q5">
        <v>49500</v>
      </c>
      <c r="R5" s="3">
        <v>42853</v>
      </c>
      <c r="S5" t="s">
        <v>54</v>
      </c>
      <c r="T5" t="s">
        <v>1221</v>
      </c>
      <c r="U5" t="s">
        <v>60</v>
      </c>
      <c r="V5">
        <v>4900</v>
      </c>
      <c r="AG5" s="5" t="s">
        <v>1222</v>
      </c>
      <c r="AH5" s="3">
        <v>42838</v>
      </c>
      <c r="AI5" s="4">
        <v>60000</v>
      </c>
      <c r="AJ5">
        <v>0</v>
      </c>
      <c r="AS5" t="s">
        <v>1225</v>
      </c>
      <c r="AT5" s="3">
        <v>43033</v>
      </c>
      <c r="AU5">
        <v>166600</v>
      </c>
      <c r="AV5">
        <v>0</v>
      </c>
      <c r="AW5">
        <v>3400</v>
      </c>
      <c r="AX5">
        <v>0</v>
      </c>
      <c r="BQ5" t="s">
        <v>72</v>
      </c>
      <c r="BR5" t="s">
        <v>1226</v>
      </c>
    </row>
    <row r="6" spans="1:74" x14ac:dyDescent="0.25">
      <c r="A6" s="4" t="s">
        <v>1227</v>
      </c>
      <c r="B6" s="3">
        <v>42790</v>
      </c>
      <c r="C6" t="s">
        <v>1208</v>
      </c>
      <c r="D6" t="s">
        <v>1219</v>
      </c>
      <c r="E6" t="s">
        <v>1208</v>
      </c>
      <c r="F6">
        <v>50000</v>
      </c>
      <c r="G6" t="s">
        <v>1228</v>
      </c>
      <c r="H6" s="3">
        <v>42790</v>
      </c>
      <c r="I6" t="s">
        <v>107</v>
      </c>
      <c r="J6">
        <v>45000</v>
      </c>
      <c r="K6" s="1" t="s">
        <v>67</v>
      </c>
      <c r="M6" s="3">
        <v>42790</v>
      </c>
      <c r="N6" t="s">
        <v>54</v>
      </c>
      <c r="P6" t="s">
        <v>56</v>
      </c>
      <c r="Q6">
        <v>39500</v>
      </c>
      <c r="R6" s="3">
        <v>42919</v>
      </c>
      <c r="S6" t="s">
        <v>54</v>
      </c>
      <c r="U6" t="s">
        <v>60</v>
      </c>
      <c r="V6">
        <v>4900</v>
      </c>
      <c r="AG6" s="5" t="s">
        <v>1222</v>
      </c>
      <c r="AH6" s="3">
        <v>42838</v>
      </c>
      <c r="AI6" s="4">
        <v>50000</v>
      </c>
      <c r="AJ6">
        <v>0</v>
      </c>
      <c r="AS6" t="s">
        <v>1225</v>
      </c>
      <c r="AT6" s="3">
        <v>43033</v>
      </c>
      <c r="AU6">
        <v>166600</v>
      </c>
      <c r="AV6">
        <v>0</v>
      </c>
      <c r="AW6">
        <v>3400</v>
      </c>
      <c r="AX6">
        <v>0</v>
      </c>
      <c r="BQ6" t="s">
        <v>72</v>
      </c>
      <c r="BR6" t="s">
        <v>1226</v>
      </c>
    </row>
    <row r="7" spans="1:74" x14ac:dyDescent="0.25">
      <c r="A7" s="4" t="s">
        <v>1229</v>
      </c>
      <c r="B7" s="3">
        <v>42803</v>
      </c>
      <c r="C7" t="s">
        <v>1208</v>
      </c>
      <c r="D7" t="s">
        <v>1230</v>
      </c>
      <c r="E7" t="s">
        <v>1208</v>
      </c>
      <c r="F7">
        <v>135000</v>
      </c>
      <c r="G7" t="s">
        <v>1231</v>
      </c>
      <c r="H7" s="3">
        <v>42803</v>
      </c>
      <c r="I7" t="s">
        <v>214</v>
      </c>
      <c r="J7">
        <v>120000</v>
      </c>
      <c r="K7" s="1" t="s">
        <v>67</v>
      </c>
      <c r="M7" s="3">
        <v>42804</v>
      </c>
      <c r="N7" t="s">
        <v>54</v>
      </c>
      <c r="P7" t="s">
        <v>56</v>
      </c>
      <c r="Q7">
        <v>99000</v>
      </c>
      <c r="R7" s="3">
        <v>42931</v>
      </c>
      <c r="S7" t="s">
        <v>54</v>
      </c>
      <c r="U7" t="s">
        <v>60</v>
      </c>
      <c r="V7">
        <v>19500</v>
      </c>
      <c r="AG7" s="5" t="s">
        <v>1232</v>
      </c>
      <c r="AH7" s="3">
        <v>42884</v>
      </c>
      <c r="AI7" s="4">
        <v>135000</v>
      </c>
      <c r="AJ7">
        <v>0</v>
      </c>
      <c r="AS7" t="s">
        <v>1233</v>
      </c>
      <c r="AT7" s="3">
        <v>43003</v>
      </c>
      <c r="AU7">
        <v>135000</v>
      </c>
      <c r="AV7">
        <v>0</v>
      </c>
      <c r="AW7">
        <v>0</v>
      </c>
      <c r="AX7">
        <v>0</v>
      </c>
      <c r="BQ7" t="s">
        <v>72</v>
      </c>
      <c r="BR7" t="s">
        <v>1226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2" sqref="A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4" t="s">
        <v>1235</v>
      </c>
      <c r="B2" s="3">
        <v>43430</v>
      </c>
      <c r="C2" t="s">
        <v>50</v>
      </c>
      <c r="D2" t="s">
        <v>1236</v>
      </c>
      <c r="E2" t="s">
        <v>1234</v>
      </c>
      <c r="F2">
        <v>58000</v>
      </c>
      <c r="G2" t="s">
        <v>1237</v>
      </c>
      <c r="H2" s="3">
        <v>43430</v>
      </c>
      <c r="I2" t="s">
        <v>66</v>
      </c>
      <c r="J2">
        <v>53500</v>
      </c>
      <c r="K2" s="1" t="s">
        <v>67</v>
      </c>
      <c r="M2" s="3">
        <v>43434</v>
      </c>
      <c r="N2" t="s">
        <v>54</v>
      </c>
      <c r="O2" t="s">
        <v>1238</v>
      </c>
      <c r="P2" t="s">
        <v>56</v>
      </c>
      <c r="Q2">
        <v>10000</v>
      </c>
      <c r="R2" s="3">
        <v>43434</v>
      </c>
      <c r="S2" t="s">
        <v>54</v>
      </c>
      <c r="T2" t="s">
        <v>1238</v>
      </c>
      <c r="U2" t="s">
        <v>56</v>
      </c>
      <c r="V2">
        <v>38000</v>
      </c>
      <c r="W2" s="3">
        <v>43518</v>
      </c>
      <c r="X2" t="s">
        <v>54</v>
      </c>
      <c r="Y2" t="s">
        <v>77</v>
      </c>
      <c r="Z2" t="s">
        <v>60</v>
      </c>
      <c r="AA2">
        <v>4900</v>
      </c>
      <c r="AG2" s="11" t="s">
        <v>1239</v>
      </c>
      <c r="AH2" s="3">
        <v>43486</v>
      </c>
      <c r="AI2" s="7">
        <v>58000</v>
      </c>
      <c r="AJ2">
        <v>58000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7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2" sqref="A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2013</v>
      </c>
      <c r="B2" s="3">
        <v>42791</v>
      </c>
      <c r="C2" t="s">
        <v>1241</v>
      </c>
      <c r="D2" t="s">
        <v>2014</v>
      </c>
      <c r="E2" t="s">
        <v>1241</v>
      </c>
      <c r="F2">
        <v>20350</v>
      </c>
      <c r="G2" t="s">
        <v>2015</v>
      </c>
      <c r="H2" s="3">
        <v>42791</v>
      </c>
      <c r="I2" t="s">
        <v>1244</v>
      </c>
      <c r="J2">
        <v>16000</v>
      </c>
      <c r="K2" s="1"/>
      <c r="M2" s="3">
        <v>42793</v>
      </c>
      <c r="N2" t="s">
        <v>54</v>
      </c>
      <c r="P2" t="s">
        <v>56</v>
      </c>
      <c r="Q2">
        <v>13500</v>
      </c>
      <c r="R2" s="3">
        <v>42844</v>
      </c>
      <c r="S2" t="s">
        <v>54</v>
      </c>
      <c r="T2" t="s">
        <v>2016</v>
      </c>
      <c r="U2" t="s">
        <v>60</v>
      </c>
      <c r="V2">
        <v>1950</v>
      </c>
      <c r="AG2" t="s">
        <v>2017</v>
      </c>
      <c r="AH2" s="3">
        <v>42830</v>
      </c>
      <c r="AI2">
        <v>20350</v>
      </c>
      <c r="AJ2">
        <v>0</v>
      </c>
      <c r="AS2" t="s">
        <v>2018</v>
      </c>
      <c r="AT2" s="3">
        <v>42840</v>
      </c>
      <c r="AU2">
        <v>63695</v>
      </c>
      <c r="AV2">
        <v>0</v>
      </c>
      <c r="AW2">
        <v>1300</v>
      </c>
      <c r="AX2">
        <v>0</v>
      </c>
    </row>
    <row r="3" spans="1:74" x14ac:dyDescent="0.25">
      <c r="A3" t="s">
        <v>2019</v>
      </c>
      <c r="B3" s="3">
        <v>42803</v>
      </c>
      <c r="C3" t="s">
        <v>1241</v>
      </c>
      <c r="D3" t="s">
        <v>2014</v>
      </c>
      <c r="E3" t="s">
        <v>1241</v>
      </c>
      <c r="F3">
        <v>20350</v>
      </c>
      <c r="G3" t="s">
        <v>2020</v>
      </c>
      <c r="H3" s="3">
        <v>42803</v>
      </c>
      <c r="I3" t="s">
        <v>1244</v>
      </c>
      <c r="J3">
        <v>16000</v>
      </c>
      <c r="K3" s="1"/>
      <c r="M3" s="3">
        <v>42810</v>
      </c>
      <c r="N3" t="s">
        <v>54</v>
      </c>
      <c r="P3" t="s">
        <v>56</v>
      </c>
      <c r="Q3">
        <v>13500</v>
      </c>
      <c r="R3" s="3">
        <v>42844</v>
      </c>
      <c r="S3" t="s">
        <v>54</v>
      </c>
      <c r="T3" t="s">
        <v>2016</v>
      </c>
      <c r="U3" t="s">
        <v>60</v>
      </c>
      <c r="V3">
        <v>1950</v>
      </c>
      <c r="AG3" t="s">
        <v>2017</v>
      </c>
      <c r="AH3" s="3">
        <v>42830</v>
      </c>
      <c r="AI3">
        <v>20350</v>
      </c>
      <c r="AJ3">
        <v>0</v>
      </c>
      <c r="AS3" t="s">
        <v>2018</v>
      </c>
      <c r="AT3" s="3">
        <v>42840</v>
      </c>
      <c r="AU3">
        <v>63695</v>
      </c>
      <c r="AV3">
        <v>0</v>
      </c>
      <c r="AW3">
        <v>1300</v>
      </c>
      <c r="AX3">
        <v>0</v>
      </c>
    </row>
    <row r="4" spans="1:74" x14ac:dyDescent="0.25">
      <c r="A4" t="s">
        <v>2021</v>
      </c>
      <c r="B4" s="3">
        <v>42819</v>
      </c>
      <c r="C4" t="s">
        <v>1241</v>
      </c>
      <c r="D4" t="s">
        <v>2014</v>
      </c>
      <c r="E4" t="s">
        <v>1241</v>
      </c>
      <c r="F4">
        <v>24295</v>
      </c>
      <c r="G4" t="s">
        <v>2022</v>
      </c>
      <c r="H4" s="3">
        <v>42819</v>
      </c>
      <c r="I4" t="s">
        <v>1244</v>
      </c>
      <c r="J4">
        <v>21000</v>
      </c>
      <c r="K4" s="1"/>
      <c r="M4" s="3">
        <v>42821</v>
      </c>
      <c r="N4" t="s">
        <v>54</v>
      </c>
      <c r="P4" t="s">
        <v>56</v>
      </c>
      <c r="Q4">
        <v>17500</v>
      </c>
      <c r="R4" s="3">
        <v>42844</v>
      </c>
      <c r="S4" t="s">
        <v>54</v>
      </c>
      <c r="T4" t="s">
        <v>2016</v>
      </c>
      <c r="U4" t="s">
        <v>60</v>
      </c>
      <c r="V4">
        <v>2950</v>
      </c>
      <c r="AG4" t="s">
        <v>2017</v>
      </c>
      <c r="AH4" s="3">
        <v>42830</v>
      </c>
      <c r="AI4">
        <v>24295</v>
      </c>
      <c r="AJ4">
        <v>0</v>
      </c>
      <c r="AS4" t="s">
        <v>2018</v>
      </c>
      <c r="AT4" s="3">
        <v>42840</v>
      </c>
      <c r="AU4">
        <v>63695</v>
      </c>
      <c r="AV4">
        <v>0</v>
      </c>
      <c r="AW4">
        <v>1300</v>
      </c>
      <c r="AX4">
        <v>0</v>
      </c>
    </row>
    <row r="5" spans="1:74" x14ac:dyDescent="0.25">
      <c r="A5" t="s">
        <v>2023</v>
      </c>
      <c r="B5" s="3">
        <v>42808</v>
      </c>
      <c r="C5" t="s">
        <v>1241</v>
      </c>
      <c r="D5" t="s">
        <v>2024</v>
      </c>
      <c r="E5" t="s">
        <v>1241</v>
      </c>
      <c r="F5">
        <v>4620</v>
      </c>
      <c r="G5" t="s">
        <v>2025</v>
      </c>
      <c r="H5" s="3">
        <v>42825</v>
      </c>
      <c r="I5" t="s">
        <v>230</v>
      </c>
      <c r="J5">
        <v>3700</v>
      </c>
      <c r="K5" s="1"/>
      <c r="M5" s="3">
        <v>42825</v>
      </c>
      <c r="N5" t="s">
        <v>54</v>
      </c>
      <c r="P5" t="s">
        <v>56</v>
      </c>
      <c r="Q5">
        <v>2500</v>
      </c>
      <c r="R5" s="3">
        <v>42842</v>
      </c>
      <c r="S5" t="s">
        <v>54</v>
      </c>
      <c r="T5" t="s">
        <v>2026</v>
      </c>
      <c r="U5" t="s">
        <v>60</v>
      </c>
      <c r="V5">
        <v>970</v>
      </c>
      <c r="AG5" t="s">
        <v>2027</v>
      </c>
      <c r="AH5" s="3">
        <v>42830</v>
      </c>
      <c r="AI5">
        <v>4620</v>
      </c>
      <c r="AJ5">
        <v>0</v>
      </c>
      <c r="AS5" t="s">
        <v>2018</v>
      </c>
      <c r="AT5" s="3">
        <v>42840</v>
      </c>
      <c r="AU5">
        <v>4528</v>
      </c>
      <c r="AV5">
        <v>0</v>
      </c>
      <c r="AW5">
        <v>92</v>
      </c>
      <c r="AX5">
        <v>0</v>
      </c>
    </row>
    <row r="6" spans="1:74" x14ac:dyDescent="0.25">
      <c r="A6" t="s">
        <v>2028</v>
      </c>
      <c r="B6" s="3">
        <v>42842</v>
      </c>
      <c r="C6" t="s">
        <v>1241</v>
      </c>
      <c r="D6" t="s">
        <v>2014</v>
      </c>
      <c r="E6" t="s">
        <v>1241</v>
      </c>
      <c r="F6">
        <v>24000</v>
      </c>
      <c r="G6" t="s">
        <v>2029</v>
      </c>
      <c r="H6" s="3">
        <v>42842</v>
      </c>
      <c r="I6" t="s">
        <v>1244</v>
      </c>
      <c r="J6">
        <v>21500</v>
      </c>
      <c r="K6" s="1"/>
      <c r="M6" s="3">
        <v>42844</v>
      </c>
      <c r="N6" t="s">
        <v>54</v>
      </c>
      <c r="O6" t="s">
        <v>2016</v>
      </c>
      <c r="P6" t="s">
        <v>56</v>
      </c>
      <c r="Q6">
        <v>18500</v>
      </c>
      <c r="R6" s="3">
        <v>42966</v>
      </c>
      <c r="S6" t="s">
        <v>54</v>
      </c>
      <c r="U6" t="s">
        <v>60</v>
      </c>
      <c r="V6">
        <v>2450</v>
      </c>
      <c r="AG6" t="s">
        <v>2030</v>
      </c>
      <c r="AH6" s="3">
        <v>42867</v>
      </c>
      <c r="AI6">
        <v>24000</v>
      </c>
      <c r="AJ6">
        <v>0</v>
      </c>
      <c r="AS6" t="s">
        <v>2031</v>
      </c>
      <c r="AT6" s="3">
        <v>42903</v>
      </c>
      <c r="AU6">
        <v>23520</v>
      </c>
      <c r="AV6">
        <v>0</v>
      </c>
      <c r="AW6">
        <v>480</v>
      </c>
      <c r="AX6">
        <v>0</v>
      </c>
    </row>
    <row r="7" spans="1:74" x14ac:dyDescent="0.25">
      <c r="A7" t="s">
        <v>2032</v>
      </c>
      <c r="B7" s="3">
        <v>42859</v>
      </c>
      <c r="C7" t="s">
        <v>1241</v>
      </c>
      <c r="D7" t="s">
        <v>2014</v>
      </c>
      <c r="E7" t="s">
        <v>1241</v>
      </c>
      <c r="F7">
        <v>20350</v>
      </c>
      <c r="G7" t="s">
        <v>2033</v>
      </c>
      <c r="H7" s="3">
        <v>42859</v>
      </c>
      <c r="I7" t="s">
        <v>1244</v>
      </c>
      <c r="J7">
        <v>17000</v>
      </c>
      <c r="K7" s="1"/>
      <c r="M7" s="3">
        <v>42860</v>
      </c>
      <c r="N7" t="s">
        <v>54</v>
      </c>
      <c r="O7" t="s">
        <v>1244</v>
      </c>
      <c r="P7" t="s">
        <v>56</v>
      </c>
      <c r="Q7">
        <v>13500</v>
      </c>
      <c r="R7" s="3">
        <v>42963</v>
      </c>
      <c r="S7" t="s">
        <v>54</v>
      </c>
      <c r="T7" t="s">
        <v>1244</v>
      </c>
      <c r="U7" t="s">
        <v>60</v>
      </c>
      <c r="V7">
        <v>2950</v>
      </c>
      <c r="AG7" t="s">
        <v>2034</v>
      </c>
      <c r="AH7" s="3">
        <v>42905</v>
      </c>
      <c r="AI7">
        <v>20350</v>
      </c>
      <c r="AJ7">
        <v>0</v>
      </c>
      <c r="AS7" t="s">
        <v>2035</v>
      </c>
      <c r="AT7" s="3">
        <v>42926</v>
      </c>
      <c r="AU7">
        <v>19943</v>
      </c>
      <c r="AV7">
        <v>0</v>
      </c>
      <c r="AW7">
        <v>407</v>
      </c>
      <c r="AX7">
        <v>0</v>
      </c>
    </row>
    <row r="8" spans="1:74" x14ac:dyDescent="0.25">
      <c r="A8" t="s">
        <v>2036</v>
      </c>
      <c r="B8" s="3">
        <v>42892</v>
      </c>
      <c r="C8" t="s">
        <v>1241</v>
      </c>
      <c r="D8" t="s">
        <v>2014</v>
      </c>
      <c r="E8" t="s">
        <v>1241</v>
      </c>
      <c r="F8">
        <v>20350</v>
      </c>
      <c r="G8" t="s">
        <v>2037</v>
      </c>
      <c r="H8" s="3">
        <v>42892</v>
      </c>
      <c r="I8" t="s">
        <v>1244</v>
      </c>
      <c r="J8">
        <v>19000</v>
      </c>
      <c r="K8" s="1"/>
      <c r="M8" s="3">
        <v>42892</v>
      </c>
      <c r="N8" t="s">
        <v>54</v>
      </c>
      <c r="O8" t="s">
        <v>2038</v>
      </c>
      <c r="P8" t="s">
        <v>56</v>
      </c>
      <c r="Q8">
        <v>15500</v>
      </c>
      <c r="R8" s="3">
        <v>42963</v>
      </c>
      <c r="S8" t="s">
        <v>54</v>
      </c>
      <c r="T8" t="s">
        <v>1244</v>
      </c>
      <c r="U8" t="s">
        <v>60</v>
      </c>
      <c r="V8">
        <v>2950</v>
      </c>
      <c r="AG8" t="s">
        <v>2039</v>
      </c>
      <c r="AH8" s="3">
        <v>42916</v>
      </c>
      <c r="AI8">
        <v>20350</v>
      </c>
      <c r="AJ8">
        <v>0</v>
      </c>
      <c r="AS8" t="s">
        <v>2040</v>
      </c>
      <c r="AT8" s="3">
        <v>43033</v>
      </c>
      <c r="AU8">
        <v>59829</v>
      </c>
      <c r="AV8">
        <v>0</v>
      </c>
      <c r="AW8">
        <v>1221</v>
      </c>
      <c r="AX8">
        <v>0</v>
      </c>
    </row>
    <row r="9" spans="1:74" x14ac:dyDescent="0.25">
      <c r="A9" t="s">
        <v>2041</v>
      </c>
      <c r="B9" s="3">
        <v>42913</v>
      </c>
      <c r="C9" t="s">
        <v>1241</v>
      </c>
      <c r="D9" t="s">
        <v>2014</v>
      </c>
      <c r="E9" t="s">
        <v>1241</v>
      </c>
      <c r="F9">
        <v>20350</v>
      </c>
      <c r="G9" t="s">
        <v>2042</v>
      </c>
      <c r="H9" s="3">
        <v>42913</v>
      </c>
      <c r="I9" t="s">
        <v>1244</v>
      </c>
      <c r="J9">
        <v>18000</v>
      </c>
      <c r="K9" s="1"/>
      <c r="M9" s="3">
        <v>42916</v>
      </c>
      <c r="N9" t="s">
        <v>54</v>
      </c>
      <c r="O9" t="s">
        <v>1245</v>
      </c>
      <c r="P9" t="s">
        <v>56</v>
      </c>
      <c r="Q9">
        <v>15500</v>
      </c>
      <c r="R9" s="3">
        <v>42963</v>
      </c>
      <c r="S9" t="s">
        <v>54</v>
      </c>
      <c r="T9" t="s">
        <v>1244</v>
      </c>
      <c r="U9" t="s">
        <v>60</v>
      </c>
      <c r="V9">
        <v>1950</v>
      </c>
      <c r="AG9" t="s">
        <v>2039</v>
      </c>
      <c r="AH9" s="3">
        <v>42916</v>
      </c>
      <c r="AI9">
        <v>20350</v>
      </c>
      <c r="AJ9">
        <v>0</v>
      </c>
      <c r="AS9" t="s">
        <v>2040</v>
      </c>
      <c r="AT9" s="3">
        <v>43033</v>
      </c>
      <c r="AU9">
        <v>59829</v>
      </c>
      <c r="AV9">
        <v>0</v>
      </c>
      <c r="AW9">
        <v>1221</v>
      </c>
      <c r="AX9">
        <v>0</v>
      </c>
    </row>
    <row r="10" spans="1:74" x14ac:dyDescent="0.25">
      <c r="A10" t="s">
        <v>2043</v>
      </c>
      <c r="B10" s="3">
        <v>42908</v>
      </c>
      <c r="C10" t="s">
        <v>1241</v>
      </c>
      <c r="D10" t="s">
        <v>2014</v>
      </c>
      <c r="E10" t="s">
        <v>1241</v>
      </c>
      <c r="F10">
        <v>20350</v>
      </c>
      <c r="G10" t="s">
        <v>2044</v>
      </c>
      <c r="H10" s="3">
        <v>42916</v>
      </c>
      <c r="I10" t="s">
        <v>1244</v>
      </c>
      <c r="J10">
        <v>17000</v>
      </c>
      <c r="K10" s="1"/>
      <c r="M10" s="3">
        <v>42916</v>
      </c>
      <c r="N10" t="s">
        <v>54</v>
      </c>
      <c r="O10" t="s">
        <v>1245</v>
      </c>
      <c r="P10" t="s">
        <v>56</v>
      </c>
      <c r="Q10">
        <v>14500</v>
      </c>
      <c r="R10" s="3">
        <v>42963</v>
      </c>
      <c r="S10" t="s">
        <v>54</v>
      </c>
      <c r="T10" t="s">
        <v>1244</v>
      </c>
      <c r="U10" t="s">
        <v>60</v>
      </c>
      <c r="V10">
        <v>1950</v>
      </c>
      <c r="AG10" t="s">
        <v>2039</v>
      </c>
      <c r="AH10" s="3">
        <v>42916</v>
      </c>
      <c r="AI10">
        <v>20350</v>
      </c>
      <c r="AJ10">
        <v>0</v>
      </c>
      <c r="AS10" t="s">
        <v>2040</v>
      </c>
      <c r="AT10" s="3">
        <v>43033</v>
      </c>
      <c r="AU10">
        <v>59829</v>
      </c>
      <c r="AV10">
        <v>0</v>
      </c>
      <c r="AW10">
        <v>1221</v>
      </c>
      <c r="AX10">
        <v>0</v>
      </c>
    </row>
    <row r="11" spans="1:74" x14ac:dyDescent="0.25">
      <c r="A11" t="s">
        <v>2045</v>
      </c>
      <c r="B11" s="3">
        <v>42928</v>
      </c>
      <c r="C11" t="s">
        <v>1241</v>
      </c>
      <c r="D11" t="s">
        <v>1254</v>
      </c>
      <c r="E11" t="s">
        <v>1241</v>
      </c>
      <c r="F11">
        <v>20350</v>
      </c>
      <c r="G11" t="s">
        <v>2046</v>
      </c>
      <c r="H11" s="3">
        <v>42928</v>
      </c>
      <c r="I11" t="s">
        <v>1244</v>
      </c>
      <c r="J11">
        <v>17000</v>
      </c>
      <c r="K11" s="1"/>
      <c r="M11" s="3">
        <v>42931</v>
      </c>
      <c r="N11" t="s">
        <v>54</v>
      </c>
      <c r="O11" t="s">
        <v>1245</v>
      </c>
      <c r="P11" t="s">
        <v>56</v>
      </c>
      <c r="Q11">
        <v>14500</v>
      </c>
      <c r="R11" s="3">
        <v>42963</v>
      </c>
      <c r="S11" t="s">
        <v>54</v>
      </c>
      <c r="T11" t="s">
        <v>1244</v>
      </c>
      <c r="U11" t="s">
        <v>60</v>
      </c>
      <c r="V11">
        <v>1950</v>
      </c>
      <c r="AG11" t="s">
        <v>2047</v>
      </c>
      <c r="AH11" s="3">
        <v>42963</v>
      </c>
      <c r="AI11">
        <v>20350</v>
      </c>
      <c r="AJ11">
        <v>7797</v>
      </c>
      <c r="AK11" t="s">
        <v>1272</v>
      </c>
      <c r="AL11" s="3">
        <v>43278</v>
      </c>
      <c r="AM11">
        <v>7797</v>
      </c>
      <c r="AN11">
        <v>7797</v>
      </c>
      <c r="AS11" t="s">
        <v>2048</v>
      </c>
      <c r="AT11" s="3">
        <v>42997</v>
      </c>
      <c r="AU11">
        <v>43707</v>
      </c>
      <c r="AV11">
        <v>0</v>
      </c>
      <c r="AW11">
        <v>1051</v>
      </c>
      <c r="AX11">
        <v>7797</v>
      </c>
    </row>
    <row r="12" spans="1:74" x14ac:dyDescent="0.25">
      <c r="A12" t="s">
        <v>2049</v>
      </c>
      <c r="B12" s="3">
        <v>42947</v>
      </c>
      <c r="C12" t="s">
        <v>1241</v>
      </c>
      <c r="D12" t="s">
        <v>1254</v>
      </c>
      <c r="E12" t="s">
        <v>1241</v>
      </c>
      <c r="F12">
        <v>20350</v>
      </c>
      <c r="G12" t="s">
        <v>2050</v>
      </c>
      <c r="H12" s="3">
        <v>42947</v>
      </c>
      <c r="I12" t="s">
        <v>1244</v>
      </c>
      <c r="J12">
        <v>17000</v>
      </c>
      <c r="K12" s="1"/>
      <c r="M12" s="3">
        <v>42947</v>
      </c>
      <c r="N12" t="s">
        <v>54</v>
      </c>
      <c r="O12" t="s">
        <v>2051</v>
      </c>
      <c r="P12" t="s">
        <v>56</v>
      </c>
      <c r="Q12">
        <v>14500</v>
      </c>
      <c r="R12" s="3">
        <v>43041</v>
      </c>
      <c r="S12" t="s">
        <v>54</v>
      </c>
      <c r="T12" t="s">
        <v>2052</v>
      </c>
      <c r="U12" t="s">
        <v>60</v>
      </c>
      <c r="V12">
        <v>1950</v>
      </c>
      <c r="AG12" t="s">
        <v>2053</v>
      </c>
      <c r="AH12" s="3">
        <v>42979</v>
      </c>
      <c r="AI12">
        <v>20350</v>
      </c>
      <c r="AJ12">
        <v>0</v>
      </c>
      <c r="AS12" t="s">
        <v>2048</v>
      </c>
      <c r="AT12" s="3">
        <v>42997</v>
      </c>
      <c r="AU12">
        <v>19943</v>
      </c>
      <c r="AV12">
        <v>0</v>
      </c>
      <c r="AW12">
        <v>407</v>
      </c>
      <c r="AX12">
        <v>0</v>
      </c>
    </row>
    <row r="13" spans="1:74" x14ac:dyDescent="0.25">
      <c r="A13" t="s">
        <v>2054</v>
      </c>
      <c r="B13" s="3">
        <v>42955</v>
      </c>
      <c r="C13" t="s">
        <v>1241</v>
      </c>
      <c r="D13" t="s">
        <v>1254</v>
      </c>
      <c r="E13" t="s">
        <v>1241</v>
      </c>
      <c r="F13">
        <v>8000</v>
      </c>
      <c r="G13" t="s">
        <v>2055</v>
      </c>
      <c r="H13" s="3">
        <v>42955</v>
      </c>
      <c r="I13" t="s">
        <v>2056</v>
      </c>
      <c r="J13">
        <v>7000</v>
      </c>
      <c r="K13" s="1"/>
      <c r="M13" s="3">
        <v>42968</v>
      </c>
      <c r="N13" t="s">
        <v>54</v>
      </c>
      <c r="O13" t="s">
        <v>2057</v>
      </c>
      <c r="P13" t="s">
        <v>56</v>
      </c>
      <c r="Q13">
        <v>5800</v>
      </c>
      <c r="AG13" t="s">
        <v>2058</v>
      </c>
      <c r="AH13" s="3">
        <v>43017</v>
      </c>
      <c r="AI13">
        <v>8000</v>
      </c>
      <c r="AJ13">
        <v>0</v>
      </c>
      <c r="AS13" t="s">
        <v>2059</v>
      </c>
      <c r="AT13" s="3">
        <v>43029</v>
      </c>
      <c r="AU13">
        <v>7840</v>
      </c>
      <c r="AV13">
        <v>0</v>
      </c>
      <c r="AW13">
        <v>160</v>
      </c>
      <c r="AX13">
        <v>0</v>
      </c>
    </row>
    <row r="14" spans="1:74" x14ac:dyDescent="0.25">
      <c r="A14" t="s">
        <v>2060</v>
      </c>
      <c r="B14" s="3">
        <v>42958</v>
      </c>
      <c r="C14" t="s">
        <v>1241</v>
      </c>
      <c r="D14" t="s">
        <v>1254</v>
      </c>
      <c r="E14" t="s">
        <v>1241</v>
      </c>
      <c r="F14">
        <v>20000</v>
      </c>
      <c r="G14" t="s">
        <v>2061</v>
      </c>
      <c r="H14" s="3">
        <v>42958</v>
      </c>
      <c r="I14" t="s">
        <v>339</v>
      </c>
      <c r="J14">
        <v>16000</v>
      </c>
      <c r="K14" s="1"/>
      <c r="M14" s="3">
        <v>42958</v>
      </c>
      <c r="N14" t="s">
        <v>54</v>
      </c>
      <c r="O14" t="s">
        <v>399</v>
      </c>
      <c r="P14" t="s">
        <v>56</v>
      </c>
      <c r="Q14">
        <v>13800</v>
      </c>
      <c r="R14" s="3">
        <v>42990</v>
      </c>
      <c r="S14" t="s">
        <v>54</v>
      </c>
      <c r="T14" t="s">
        <v>2062</v>
      </c>
      <c r="U14" t="s">
        <v>60</v>
      </c>
      <c r="V14">
        <v>1950</v>
      </c>
      <c r="AG14" t="s">
        <v>2063</v>
      </c>
      <c r="AH14" s="3">
        <v>42975</v>
      </c>
      <c r="AI14">
        <v>20000</v>
      </c>
      <c r="AJ14">
        <v>0</v>
      </c>
      <c r="AS14" t="s">
        <v>2048</v>
      </c>
      <c r="AT14" s="3">
        <v>42997</v>
      </c>
      <c r="AU14">
        <v>19600</v>
      </c>
      <c r="AV14">
        <v>0</v>
      </c>
      <c r="AW14">
        <v>400</v>
      </c>
      <c r="AX14">
        <v>0</v>
      </c>
    </row>
    <row r="15" spans="1:74" x14ac:dyDescent="0.25">
      <c r="A15" t="s">
        <v>2064</v>
      </c>
      <c r="B15" s="3">
        <v>42965</v>
      </c>
      <c r="C15" t="s">
        <v>1241</v>
      </c>
      <c r="D15" t="s">
        <v>1249</v>
      </c>
      <c r="E15" t="s">
        <v>1241</v>
      </c>
      <c r="F15">
        <v>8750</v>
      </c>
      <c r="G15" t="s">
        <v>2065</v>
      </c>
      <c r="H15" s="3">
        <v>42965</v>
      </c>
      <c r="I15" t="s">
        <v>290</v>
      </c>
      <c r="J15">
        <v>11500</v>
      </c>
      <c r="K15" s="1"/>
      <c r="M15" s="3">
        <v>42966</v>
      </c>
      <c r="N15" t="s">
        <v>54</v>
      </c>
      <c r="O15" t="s">
        <v>1083</v>
      </c>
      <c r="P15" t="s">
        <v>56</v>
      </c>
      <c r="Q15">
        <v>9100</v>
      </c>
      <c r="R15" s="3">
        <v>43006</v>
      </c>
      <c r="S15" t="s">
        <v>54</v>
      </c>
      <c r="T15" t="s">
        <v>308</v>
      </c>
      <c r="U15" t="s">
        <v>60</v>
      </c>
      <c r="V15">
        <v>1950</v>
      </c>
      <c r="AG15" t="s">
        <v>2066</v>
      </c>
      <c r="AH15" s="3">
        <v>42998</v>
      </c>
      <c r="AI15">
        <v>8750</v>
      </c>
      <c r="AJ15">
        <v>0</v>
      </c>
      <c r="AS15" t="s">
        <v>2067</v>
      </c>
      <c r="AT15" s="3">
        <v>43123</v>
      </c>
      <c r="AU15">
        <v>8750</v>
      </c>
      <c r="AV15">
        <v>0</v>
      </c>
      <c r="AW15">
        <v>0</v>
      </c>
      <c r="AX15">
        <v>0</v>
      </c>
    </row>
    <row r="16" spans="1:74" x14ac:dyDescent="0.25">
      <c r="A16" t="s">
        <v>2068</v>
      </c>
      <c r="B16" s="3">
        <v>42977</v>
      </c>
      <c r="C16" t="s">
        <v>1241</v>
      </c>
      <c r="D16" t="s">
        <v>1254</v>
      </c>
      <c r="E16" t="s">
        <v>1241</v>
      </c>
      <c r="F16">
        <v>20350</v>
      </c>
      <c r="G16" t="s">
        <v>2069</v>
      </c>
      <c r="H16" s="3">
        <v>42977</v>
      </c>
      <c r="I16" t="s">
        <v>1244</v>
      </c>
      <c r="J16">
        <v>17000</v>
      </c>
      <c r="K16" s="1"/>
      <c r="M16" s="3">
        <v>42984</v>
      </c>
      <c r="N16" t="s">
        <v>54</v>
      </c>
      <c r="O16" t="s">
        <v>1244</v>
      </c>
      <c r="P16" t="s">
        <v>56</v>
      </c>
      <c r="Q16">
        <v>14500</v>
      </c>
      <c r="R16" s="3">
        <v>43041</v>
      </c>
      <c r="S16" t="s">
        <v>54</v>
      </c>
      <c r="T16" t="s">
        <v>2070</v>
      </c>
      <c r="U16" t="s">
        <v>60</v>
      </c>
      <c r="V16">
        <v>1950</v>
      </c>
      <c r="AG16" t="s">
        <v>2071</v>
      </c>
      <c r="AH16" s="3">
        <v>43011</v>
      </c>
      <c r="AI16">
        <v>20350</v>
      </c>
      <c r="AJ16">
        <v>0</v>
      </c>
      <c r="AS16" t="s">
        <v>2072</v>
      </c>
      <c r="AT16" s="3">
        <v>43033</v>
      </c>
      <c r="AU16">
        <v>19943</v>
      </c>
      <c r="AV16">
        <v>0</v>
      </c>
      <c r="AW16">
        <v>407</v>
      </c>
      <c r="AX16">
        <v>0</v>
      </c>
    </row>
    <row r="17" spans="1:56" x14ac:dyDescent="0.25">
      <c r="A17" t="s">
        <v>2073</v>
      </c>
      <c r="B17" s="3">
        <v>43042</v>
      </c>
      <c r="C17" t="s">
        <v>1241</v>
      </c>
      <c r="D17" t="s">
        <v>1254</v>
      </c>
      <c r="E17" t="s">
        <v>1241</v>
      </c>
      <c r="F17">
        <v>20350</v>
      </c>
      <c r="G17" t="s">
        <v>2074</v>
      </c>
      <c r="H17" s="3">
        <v>43042</v>
      </c>
      <c r="I17" t="s">
        <v>1244</v>
      </c>
      <c r="J17">
        <v>17000</v>
      </c>
      <c r="K17" s="1"/>
      <c r="M17" s="3">
        <v>43046</v>
      </c>
      <c r="N17" t="s">
        <v>54</v>
      </c>
      <c r="O17" t="s">
        <v>2075</v>
      </c>
      <c r="P17" t="s">
        <v>56</v>
      </c>
      <c r="Q17">
        <v>14600</v>
      </c>
      <c r="R17" s="3">
        <v>43066</v>
      </c>
      <c r="S17" t="s">
        <v>54</v>
      </c>
      <c r="T17" t="s">
        <v>2076</v>
      </c>
      <c r="U17" t="s">
        <v>60</v>
      </c>
      <c r="V17">
        <v>1950</v>
      </c>
      <c r="AG17" t="s">
        <v>2077</v>
      </c>
      <c r="AH17" s="3">
        <v>43057</v>
      </c>
      <c r="AI17">
        <v>20350</v>
      </c>
      <c r="AJ17">
        <v>0</v>
      </c>
      <c r="AS17" t="s">
        <v>2078</v>
      </c>
      <c r="AT17" s="3">
        <v>43080</v>
      </c>
      <c r="AU17">
        <v>19943</v>
      </c>
      <c r="AV17">
        <v>0</v>
      </c>
      <c r="AW17">
        <v>407</v>
      </c>
      <c r="AX17">
        <v>0</v>
      </c>
    </row>
    <row r="18" spans="1:56" x14ac:dyDescent="0.25">
      <c r="A18" t="s">
        <v>2079</v>
      </c>
      <c r="B18" s="3">
        <v>43070</v>
      </c>
      <c r="C18" t="s">
        <v>1241</v>
      </c>
      <c r="D18" t="s">
        <v>1254</v>
      </c>
      <c r="E18" t="s">
        <v>1241</v>
      </c>
      <c r="F18">
        <v>24295</v>
      </c>
      <c r="G18" t="s">
        <v>2080</v>
      </c>
      <c r="H18" s="3">
        <v>43070</v>
      </c>
      <c r="I18" t="s">
        <v>1244</v>
      </c>
      <c r="J18">
        <v>22000</v>
      </c>
      <c r="K18" s="1"/>
      <c r="M18" s="3">
        <v>43074</v>
      </c>
      <c r="N18" t="s">
        <v>54</v>
      </c>
      <c r="O18" t="s">
        <v>1244</v>
      </c>
      <c r="P18" t="s">
        <v>56</v>
      </c>
      <c r="Q18">
        <v>19500</v>
      </c>
      <c r="R18" s="3">
        <v>43162</v>
      </c>
      <c r="S18" t="s">
        <v>54</v>
      </c>
      <c r="T18" t="s">
        <v>2051</v>
      </c>
      <c r="U18" t="s">
        <v>60</v>
      </c>
      <c r="V18">
        <v>1950</v>
      </c>
      <c r="AG18" t="s">
        <v>2081</v>
      </c>
      <c r="AH18" s="3">
        <v>43104</v>
      </c>
      <c r="AI18">
        <v>24295</v>
      </c>
      <c r="AJ18">
        <v>0</v>
      </c>
      <c r="AS18" t="s">
        <v>2082</v>
      </c>
      <c r="AT18" s="3">
        <v>43123</v>
      </c>
      <c r="AU18">
        <v>47618</v>
      </c>
      <c r="AV18">
        <v>0</v>
      </c>
      <c r="AW18">
        <v>972</v>
      </c>
      <c r="AX18">
        <v>0</v>
      </c>
    </row>
    <row r="19" spans="1:56" x14ac:dyDescent="0.25">
      <c r="A19" t="s">
        <v>2083</v>
      </c>
      <c r="B19" s="3">
        <v>43081</v>
      </c>
      <c r="C19" t="s">
        <v>1241</v>
      </c>
      <c r="D19" t="s">
        <v>1254</v>
      </c>
      <c r="E19" t="s">
        <v>1241</v>
      </c>
      <c r="F19">
        <v>24295</v>
      </c>
      <c r="G19" t="s">
        <v>2084</v>
      </c>
      <c r="H19" s="3">
        <v>43081</v>
      </c>
      <c r="I19" t="s">
        <v>1244</v>
      </c>
      <c r="J19">
        <v>22000</v>
      </c>
      <c r="K19" s="1"/>
      <c r="M19" s="3">
        <v>43083</v>
      </c>
      <c r="N19" t="s">
        <v>54</v>
      </c>
      <c r="O19" t="s">
        <v>1244</v>
      </c>
      <c r="P19" t="s">
        <v>56</v>
      </c>
      <c r="Q19">
        <v>19500</v>
      </c>
      <c r="R19" s="3">
        <v>43186</v>
      </c>
      <c r="S19" t="s">
        <v>54</v>
      </c>
      <c r="T19" t="s">
        <v>2076</v>
      </c>
      <c r="U19" t="s">
        <v>60</v>
      </c>
      <c r="V19">
        <v>1950</v>
      </c>
      <c r="AG19" t="s">
        <v>2081</v>
      </c>
      <c r="AH19" s="3">
        <v>43104</v>
      </c>
      <c r="AI19">
        <v>24295</v>
      </c>
      <c r="AJ19">
        <v>0</v>
      </c>
      <c r="AS19" t="s">
        <v>2082</v>
      </c>
      <c r="AT19" s="3">
        <v>43123</v>
      </c>
      <c r="AU19">
        <v>47618</v>
      </c>
      <c r="AV19">
        <v>0</v>
      </c>
      <c r="AW19">
        <v>972</v>
      </c>
      <c r="AX19">
        <v>0</v>
      </c>
    </row>
    <row r="20" spans="1:56" x14ac:dyDescent="0.25">
      <c r="A20" t="s">
        <v>2085</v>
      </c>
      <c r="B20" s="3">
        <v>43125</v>
      </c>
      <c r="C20" t="s">
        <v>1241</v>
      </c>
      <c r="D20" t="s">
        <v>1254</v>
      </c>
      <c r="E20" t="s">
        <v>1241</v>
      </c>
      <c r="F20">
        <v>20350</v>
      </c>
      <c r="G20" t="s">
        <v>2086</v>
      </c>
      <c r="H20" s="3">
        <v>43125</v>
      </c>
      <c r="I20" t="s">
        <v>1244</v>
      </c>
      <c r="J20">
        <v>19000</v>
      </c>
      <c r="K20" s="1"/>
      <c r="M20" s="3">
        <v>43129</v>
      </c>
      <c r="N20" t="s">
        <v>54</v>
      </c>
      <c r="O20" t="s">
        <v>2076</v>
      </c>
      <c r="P20" t="s">
        <v>56</v>
      </c>
      <c r="Q20">
        <v>15500</v>
      </c>
      <c r="R20" s="3">
        <v>43195</v>
      </c>
      <c r="S20" t="s">
        <v>54</v>
      </c>
      <c r="T20" t="s">
        <v>2038</v>
      </c>
      <c r="U20" t="s">
        <v>60</v>
      </c>
      <c r="V20">
        <v>2950</v>
      </c>
      <c r="AG20" t="s">
        <v>2087</v>
      </c>
      <c r="AH20" s="3">
        <v>43162</v>
      </c>
      <c r="AI20">
        <v>20350</v>
      </c>
      <c r="AJ20">
        <v>0</v>
      </c>
      <c r="AS20" t="s">
        <v>2088</v>
      </c>
      <c r="AT20" s="3">
        <v>43176</v>
      </c>
      <c r="AU20">
        <v>19943</v>
      </c>
      <c r="AV20">
        <v>0</v>
      </c>
      <c r="AW20">
        <v>407</v>
      </c>
      <c r="AX20">
        <v>0</v>
      </c>
    </row>
    <row r="21" spans="1:56" x14ac:dyDescent="0.25">
      <c r="A21" t="s">
        <v>2089</v>
      </c>
      <c r="B21" s="3">
        <v>43162</v>
      </c>
      <c r="C21" t="s">
        <v>1241</v>
      </c>
      <c r="D21" t="s">
        <v>1254</v>
      </c>
      <c r="E21" t="s">
        <v>1241</v>
      </c>
      <c r="F21">
        <v>21230</v>
      </c>
      <c r="G21" t="s">
        <v>2090</v>
      </c>
      <c r="H21" s="3">
        <v>43162</v>
      </c>
      <c r="I21" t="s">
        <v>1368</v>
      </c>
      <c r="J21">
        <v>19000</v>
      </c>
      <c r="K21" s="1"/>
      <c r="M21" s="3">
        <v>43162</v>
      </c>
      <c r="N21" t="s">
        <v>1336</v>
      </c>
      <c r="O21" t="s">
        <v>2091</v>
      </c>
      <c r="P21" t="s">
        <v>56</v>
      </c>
      <c r="Q21">
        <v>5000</v>
      </c>
      <c r="R21" s="3">
        <v>43162</v>
      </c>
      <c r="S21" t="s">
        <v>54</v>
      </c>
      <c r="T21" t="s">
        <v>2092</v>
      </c>
      <c r="U21" t="s">
        <v>56</v>
      </c>
      <c r="V21">
        <v>11600</v>
      </c>
      <c r="W21" s="3">
        <v>43220</v>
      </c>
      <c r="X21" t="s">
        <v>54</v>
      </c>
      <c r="Y21" t="s">
        <v>2093</v>
      </c>
      <c r="Z21" t="s">
        <v>60</v>
      </c>
      <c r="AA21">
        <v>1950</v>
      </c>
      <c r="AG21" t="s">
        <v>2094</v>
      </c>
      <c r="AH21" s="3">
        <v>43178</v>
      </c>
      <c r="AI21">
        <v>21230</v>
      </c>
      <c r="AJ21">
        <v>0</v>
      </c>
      <c r="AS21" t="s">
        <v>2095</v>
      </c>
      <c r="AT21" s="3">
        <v>43190</v>
      </c>
      <c r="AU21">
        <v>20806</v>
      </c>
      <c r="AV21">
        <v>0</v>
      </c>
      <c r="AW21">
        <v>424</v>
      </c>
      <c r="AX21">
        <v>0</v>
      </c>
    </row>
    <row r="22" spans="1:56" x14ac:dyDescent="0.25">
      <c r="A22" t="s">
        <v>2096</v>
      </c>
      <c r="B22" s="3">
        <v>43167</v>
      </c>
      <c r="C22" t="s">
        <v>1241</v>
      </c>
      <c r="D22" t="s">
        <v>1254</v>
      </c>
      <c r="E22" t="s">
        <v>1241</v>
      </c>
      <c r="F22">
        <v>28500</v>
      </c>
      <c r="G22" t="s">
        <v>2097</v>
      </c>
      <c r="H22" s="3">
        <v>43167</v>
      </c>
      <c r="I22" t="s">
        <v>1244</v>
      </c>
      <c r="J22">
        <v>26500</v>
      </c>
      <c r="K22" s="1"/>
      <c r="M22" s="3">
        <v>43173</v>
      </c>
      <c r="N22" t="s">
        <v>54</v>
      </c>
      <c r="O22" t="s">
        <v>1245</v>
      </c>
      <c r="P22" t="s">
        <v>56</v>
      </c>
      <c r="Q22">
        <v>24000</v>
      </c>
      <c r="R22" s="3">
        <v>43195</v>
      </c>
      <c r="S22" t="s">
        <v>54</v>
      </c>
      <c r="T22" t="s">
        <v>2038</v>
      </c>
      <c r="U22" t="s">
        <v>60</v>
      </c>
      <c r="V22">
        <v>1950</v>
      </c>
      <c r="AG22" t="s">
        <v>2098</v>
      </c>
      <c r="AH22" s="3">
        <v>43190</v>
      </c>
      <c r="AI22">
        <v>28500</v>
      </c>
      <c r="AJ22">
        <v>0</v>
      </c>
      <c r="AS22" t="s">
        <v>2099</v>
      </c>
      <c r="AT22" s="3">
        <v>43203</v>
      </c>
      <c r="AU22">
        <v>55860</v>
      </c>
      <c r="AV22">
        <v>0</v>
      </c>
      <c r="AW22">
        <v>1140</v>
      </c>
      <c r="AX22">
        <v>0</v>
      </c>
    </row>
    <row r="23" spans="1:56" x14ac:dyDescent="0.25">
      <c r="A23" t="s">
        <v>2100</v>
      </c>
      <c r="B23" s="3">
        <v>43183</v>
      </c>
      <c r="C23" t="s">
        <v>1241</v>
      </c>
      <c r="D23" t="s">
        <v>1254</v>
      </c>
      <c r="E23" t="s">
        <v>1241</v>
      </c>
      <c r="F23">
        <v>28500</v>
      </c>
      <c r="G23" t="s">
        <v>2101</v>
      </c>
      <c r="H23" s="3">
        <v>43183</v>
      </c>
      <c r="I23" t="s">
        <v>1244</v>
      </c>
      <c r="J23">
        <v>26000</v>
      </c>
      <c r="K23" s="1"/>
      <c r="M23" s="3">
        <v>43186</v>
      </c>
      <c r="N23" t="s">
        <v>54</v>
      </c>
      <c r="O23" t="s">
        <v>2076</v>
      </c>
      <c r="P23" t="s">
        <v>56</v>
      </c>
      <c r="Q23">
        <v>22550</v>
      </c>
      <c r="R23" s="3">
        <v>43195</v>
      </c>
      <c r="S23" t="s">
        <v>54</v>
      </c>
      <c r="T23" t="s">
        <v>2038</v>
      </c>
      <c r="U23" t="s">
        <v>60</v>
      </c>
      <c r="V23">
        <v>2950</v>
      </c>
      <c r="AG23" t="s">
        <v>2098</v>
      </c>
      <c r="AH23" s="3">
        <v>43190</v>
      </c>
      <c r="AI23">
        <v>28500</v>
      </c>
      <c r="AJ23">
        <v>0</v>
      </c>
      <c r="AS23" t="s">
        <v>2099</v>
      </c>
      <c r="AT23" s="3">
        <v>43203</v>
      </c>
      <c r="AU23">
        <v>55860</v>
      </c>
      <c r="AV23">
        <v>0</v>
      </c>
      <c r="AW23">
        <v>1140</v>
      </c>
      <c r="AX23">
        <v>0</v>
      </c>
    </row>
    <row r="24" spans="1:56" x14ac:dyDescent="0.25">
      <c r="A24" t="s">
        <v>2102</v>
      </c>
      <c r="B24" s="3">
        <v>43235</v>
      </c>
      <c r="C24" t="s">
        <v>1241</v>
      </c>
      <c r="D24" t="s">
        <v>1254</v>
      </c>
      <c r="E24" t="s">
        <v>1241</v>
      </c>
      <c r="F24">
        <v>28500</v>
      </c>
      <c r="G24" t="s">
        <v>2103</v>
      </c>
      <c r="H24" s="3">
        <v>43235</v>
      </c>
      <c r="I24" t="s">
        <v>1244</v>
      </c>
      <c r="J24">
        <v>27000</v>
      </c>
      <c r="K24" s="1"/>
      <c r="M24" s="3">
        <v>43237</v>
      </c>
      <c r="N24" t="s">
        <v>54</v>
      </c>
      <c r="O24" t="s">
        <v>2104</v>
      </c>
      <c r="P24" t="s">
        <v>56</v>
      </c>
      <c r="Q24">
        <v>24500</v>
      </c>
      <c r="R24" s="3">
        <v>43372</v>
      </c>
      <c r="S24" t="s">
        <v>54</v>
      </c>
      <c r="T24" t="s">
        <v>1244</v>
      </c>
      <c r="U24" t="s">
        <v>60</v>
      </c>
      <c r="V24">
        <v>1950</v>
      </c>
      <c r="AG24" t="s">
        <v>2105</v>
      </c>
      <c r="AH24" s="3">
        <v>43291</v>
      </c>
      <c r="AI24">
        <v>28500</v>
      </c>
      <c r="AJ24">
        <v>0</v>
      </c>
      <c r="AS24" t="s">
        <v>2106</v>
      </c>
      <c r="AT24" s="3">
        <v>43312</v>
      </c>
      <c r="AU24">
        <v>48735</v>
      </c>
      <c r="AV24">
        <v>0</v>
      </c>
      <c r="AW24">
        <v>995</v>
      </c>
      <c r="AX24">
        <v>0</v>
      </c>
    </row>
    <row r="25" spans="1:56" x14ac:dyDescent="0.25">
      <c r="A25" t="s">
        <v>2107</v>
      </c>
      <c r="B25" s="3">
        <v>43252</v>
      </c>
      <c r="C25" t="s">
        <v>1241</v>
      </c>
      <c r="D25" t="s">
        <v>1254</v>
      </c>
      <c r="E25" t="s">
        <v>1241</v>
      </c>
      <c r="F25">
        <v>33000</v>
      </c>
      <c r="G25" t="s">
        <v>2108</v>
      </c>
      <c r="H25" s="3">
        <v>43252</v>
      </c>
      <c r="I25" t="s">
        <v>230</v>
      </c>
      <c r="J25">
        <v>24000</v>
      </c>
      <c r="K25" s="1"/>
      <c r="M25" s="3">
        <v>43253</v>
      </c>
      <c r="N25" t="s">
        <v>54</v>
      </c>
      <c r="O25" t="s">
        <v>721</v>
      </c>
      <c r="P25" t="s">
        <v>56</v>
      </c>
      <c r="Q25">
        <v>21750</v>
      </c>
      <c r="R25" s="3">
        <v>43291</v>
      </c>
      <c r="S25" t="s">
        <v>54</v>
      </c>
      <c r="T25" t="s">
        <v>756</v>
      </c>
      <c r="U25" t="s">
        <v>60</v>
      </c>
      <c r="V25">
        <v>1950</v>
      </c>
      <c r="AG25" t="s">
        <v>2109</v>
      </c>
      <c r="AH25" s="3">
        <v>43286</v>
      </c>
      <c r="AI25">
        <v>33000</v>
      </c>
      <c r="AJ25">
        <v>0</v>
      </c>
      <c r="AS25" t="s">
        <v>2106</v>
      </c>
      <c r="AT25" s="3">
        <v>43312</v>
      </c>
      <c r="AU25">
        <v>32340</v>
      </c>
      <c r="AV25">
        <v>0</v>
      </c>
      <c r="AW25">
        <v>660</v>
      </c>
      <c r="AX25">
        <v>0</v>
      </c>
    </row>
    <row r="26" spans="1:56" x14ac:dyDescent="0.25">
      <c r="A26" t="s">
        <v>2110</v>
      </c>
      <c r="B26" s="3">
        <v>43278</v>
      </c>
      <c r="C26" t="s">
        <v>1241</v>
      </c>
      <c r="D26" t="s">
        <v>1254</v>
      </c>
      <c r="E26" t="s">
        <v>1241</v>
      </c>
      <c r="F26">
        <v>21230</v>
      </c>
      <c r="G26" t="s">
        <v>2111</v>
      </c>
      <c r="H26" s="3">
        <v>43278</v>
      </c>
      <c r="I26" t="s">
        <v>2112</v>
      </c>
      <c r="J26">
        <v>18000</v>
      </c>
      <c r="K26" s="1"/>
      <c r="M26" s="3">
        <v>43281</v>
      </c>
      <c r="N26" t="s">
        <v>54</v>
      </c>
      <c r="O26" t="s">
        <v>2113</v>
      </c>
      <c r="P26" t="s">
        <v>56</v>
      </c>
      <c r="Q26">
        <v>14300</v>
      </c>
      <c r="R26" s="3">
        <v>43292</v>
      </c>
      <c r="S26" t="s">
        <v>54</v>
      </c>
      <c r="T26" t="s">
        <v>2113</v>
      </c>
      <c r="U26" t="s">
        <v>60</v>
      </c>
      <c r="V26">
        <v>2900</v>
      </c>
      <c r="AG26" t="s">
        <v>2105</v>
      </c>
      <c r="AH26" s="3">
        <v>43291</v>
      </c>
      <c r="AI26">
        <v>21230</v>
      </c>
      <c r="AJ26">
        <v>0</v>
      </c>
      <c r="AS26" t="s">
        <v>2106</v>
      </c>
      <c r="AT26" s="3">
        <v>43312</v>
      </c>
      <c r="AU26">
        <v>48735</v>
      </c>
      <c r="AV26">
        <v>0</v>
      </c>
      <c r="AW26">
        <v>995</v>
      </c>
      <c r="AX26">
        <v>0</v>
      </c>
    </row>
    <row r="27" spans="1:56" x14ac:dyDescent="0.25">
      <c r="A27" t="s">
        <v>2114</v>
      </c>
      <c r="B27" s="3">
        <v>43314</v>
      </c>
      <c r="C27" t="s">
        <v>1241</v>
      </c>
      <c r="D27" t="s">
        <v>1254</v>
      </c>
      <c r="E27" t="s">
        <v>1241</v>
      </c>
      <c r="F27">
        <v>35000</v>
      </c>
      <c r="G27" t="s">
        <v>2115</v>
      </c>
      <c r="H27" s="3">
        <v>43314</v>
      </c>
      <c r="I27" t="s">
        <v>1244</v>
      </c>
      <c r="J27">
        <v>32000</v>
      </c>
      <c r="K27" s="1"/>
      <c r="M27" s="3">
        <v>43318</v>
      </c>
      <c r="N27" t="s">
        <v>54</v>
      </c>
      <c r="O27" t="s">
        <v>1244</v>
      </c>
      <c r="P27" t="s">
        <v>56</v>
      </c>
      <c r="Q27">
        <v>27500</v>
      </c>
      <c r="R27" s="3">
        <v>43393</v>
      </c>
      <c r="S27" t="s">
        <v>54</v>
      </c>
      <c r="T27" t="s">
        <v>1244</v>
      </c>
      <c r="U27" t="s">
        <v>60</v>
      </c>
      <c r="V27">
        <v>3800</v>
      </c>
      <c r="AG27" t="s">
        <v>2116</v>
      </c>
      <c r="AH27" s="3">
        <v>43349</v>
      </c>
      <c r="AI27">
        <v>35000</v>
      </c>
      <c r="AJ27">
        <v>1910</v>
      </c>
      <c r="AK27" t="s">
        <v>2117</v>
      </c>
      <c r="AL27" s="3">
        <v>43367</v>
      </c>
      <c r="AM27">
        <v>1910</v>
      </c>
      <c r="AN27">
        <v>0</v>
      </c>
      <c r="AS27" t="s">
        <v>2118</v>
      </c>
      <c r="AT27" s="3">
        <v>43365</v>
      </c>
      <c r="AU27">
        <v>32390</v>
      </c>
      <c r="AV27">
        <v>0</v>
      </c>
      <c r="AW27">
        <v>700</v>
      </c>
      <c r="AX27">
        <v>1910</v>
      </c>
      <c r="AY27" t="s">
        <v>1252</v>
      </c>
      <c r="AZ27" s="3">
        <v>43515</v>
      </c>
      <c r="BA27">
        <v>1910</v>
      </c>
      <c r="BB27">
        <v>0</v>
      </c>
      <c r="BC27">
        <v>0</v>
      </c>
      <c r="BD27">
        <v>0</v>
      </c>
    </row>
    <row r="28" spans="1:56" x14ac:dyDescent="0.25">
      <c r="A28" t="s">
        <v>2119</v>
      </c>
      <c r="B28" s="3">
        <v>43361</v>
      </c>
      <c r="C28" t="s">
        <v>1241</v>
      </c>
      <c r="D28" t="s">
        <v>1254</v>
      </c>
      <c r="E28" t="s">
        <v>1241</v>
      </c>
      <c r="F28">
        <v>28500</v>
      </c>
      <c r="G28" t="s">
        <v>2120</v>
      </c>
      <c r="H28" s="3">
        <v>43361</v>
      </c>
      <c r="I28" t="s">
        <v>1244</v>
      </c>
      <c r="J28">
        <v>23500</v>
      </c>
      <c r="K28" s="1"/>
      <c r="M28" s="3">
        <v>43372</v>
      </c>
      <c r="N28" t="s">
        <v>54</v>
      </c>
      <c r="O28" t="s">
        <v>1244</v>
      </c>
      <c r="P28" t="s">
        <v>56</v>
      </c>
      <c r="Q28">
        <v>20200</v>
      </c>
      <c r="R28" s="3">
        <v>43393</v>
      </c>
      <c r="S28" t="s">
        <v>54</v>
      </c>
      <c r="T28" t="s">
        <v>1244</v>
      </c>
      <c r="U28" t="s">
        <v>60</v>
      </c>
      <c r="V28">
        <v>2900</v>
      </c>
      <c r="AG28" t="s">
        <v>2121</v>
      </c>
      <c r="AH28" s="3">
        <v>43377</v>
      </c>
      <c r="AI28">
        <v>28500</v>
      </c>
      <c r="AJ28">
        <v>0</v>
      </c>
      <c r="AS28" t="s">
        <v>2122</v>
      </c>
      <c r="AT28" s="3">
        <v>43404</v>
      </c>
      <c r="AU28">
        <v>27929</v>
      </c>
      <c r="AV28">
        <v>0</v>
      </c>
      <c r="AW28">
        <v>571</v>
      </c>
      <c r="AX28">
        <v>0</v>
      </c>
    </row>
    <row r="29" spans="1:56" x14ac:dyDescent="0.25">
      <c r="A29" t="s">
        <v>2123</v>
      </c>
      <c r="B29" s="3">
        <v>43386</v>
      </c>
      <c r="C29" t="s">
        <v>1241</v>
      </c>
      <c r="D29" t="s">
        <v>1254</v>
      </c>
      <c r="E29" t="s">
        <v>1241</v>
      </c>
      <c r="F29">
        <v>28500</v>
      </c>
      <c r="G29" t="s">
        <v>2124</v>
      </c>
      <c r="H29" s="3">
        <v>43386</v>
      </c>
      <c r="I29" t="s">
        <v>1328</v>
      </c>
      <c r="J29">
        <v>27000</v>
      </c>
      <c r="K29" s="1"/>
      <c r="M29" s="3">
        <v>43393</v>
      </c>
      <c r="N29" t="s">
        <v>54</v>
      </c>
      <c r="O29" t="s">
        <v>1330</v>
      </c>
      <c r="P29" t="s">
        <v>56</v>
      </c>
      <c r="Q29">
        <v>14600</v>
      </c>
      <c r="R29" s="3">
        <v>43393</v>
      </c>
      <c r="S29" t="s">
        <v>1336</v>
      </c>
      <c r="U29" t="s">
        <v>56</v>
      </c>
      <c r="V29">
        <v>10000</v>
      </c>
      <c r="W29" s="3">
        <v>43434</v>
      </c>
      <c r="X29" t="s">
        <v>54</v>
      </c>
      <c r="Y29" t="s">
        <v>2125</v>
      </c>
      <c r="Z29" t="s">
        <v>60</v>
      </c>
      <c r="AA29">
        <v>1950</v>
      </c>
      <c r="AG29" t="s">
        <v>2126</v>
      </c>
      <c r="AH29" s="3">
        <v>43418</v>
      </c>
      <c r="AI29">
        <v>28500</v>
      </c>
      <c r="AJ29">
        <v>0</v>
      </c>
      <c r="AS29" t="s">
        <v>2127</v>
      </c>
      <c r="AT29" s="3">
        <v>43461</v>
      </c>
      <c r="AU29">
        <v>27930</v>
      </c>
      <c r="AV29">
        <v>0</v>
      </c>
      <c r="AW29">
        <v>570</v>
      </c>
      <c r="AX29">
        <v>0</v>
      </c>
    </row>
    <row r="30" spans="1:56" x14ac:dyDescent="0.25">
      <c r="A30" t="s">
        <v>1240</v>
      </c>
      <c r="B30" s="3">
        <v>43451</v>
      </c>
      <c r="C30" t="s">
        <v>1241</v>
      </c>
      <c r="D30" t="s">
        <v>1242</v>
      </c>
      <c r="E30" t="s">
        <v>1241</v>
      </c>
      <c r="F30">
        <v>42000</v>
      </c>
      <c r="G30" t="s">
        <v>1243</v>
      </c>
      <c r="H30" s="3">
        <v>43451</v>
      </c>
      <c r="I30" t="s">
        <v>1244</v>
      </c>
      <c r="J30">
        <v>38000</v>
      </c>
      <c r="K30" s="1"/>
      <c r="M30" s="3">
        <v>43455</v>
      </c>
      <c r="N30" t="s">
        <v>54</v>
      </c>
      <c r="O30" t="s">
        <v>1245</v>
      </c>
      <c r="P30" t="s">
        <v>56</v>
      </c>
      <c r="Q30">
        <v>34500</v>
      </c>
      <c r="AG30" t="s">
        <v>1246</v>
      </c>
      <c r="AH30" s="3">
        <v>43461</v>
      </c>
      <c r="AI30">
        <v>42000</v>
      </c>
      <c r="AJ30">
        <v>0</v>
      </c>
      <c r="AS30" t="s">
        <v>1247</v>
      </c>
      <c r="AT30" s="3">
        <v>43479</v>
      </c>
      <c r="AU30">
        <v>41160</v>
      </c>
      <c r="AV30">
        <v>0</v>
      </c>
      <c r="AW30">
        <v>840</v>
      </c>
      <c r="AX30">
        <v>0</v>
      </c>
    </row>
    <row r="31" spans="1:56" x14ac:dyDescent="0.25">
      <c r="A31" t="s">
        <v>1248</v>
      </c>
      <c r="B31" s="3">
        <v>43459</v>
      </c>
      <c r="C31" t="s">
        <v>1241</v>
      </c>
      <c r="D31" t="s">
        <v>1249</v>
      </c>
      <c r="E31" t="s">
        <v>1241</v>
      </c>
      <c r="F31">
        <v>12200</v>
      </c>
      <c r="G31" t="s">
        <v>1250</v>
      </c>
      <c r="H31" s="3">
        <v>43459</v>
      </c>
      <c r="I31" t="s">
        <v>344</v>
      </c>
      <c r="J31">
        <v>5000</v>
      </c>
      <c r="K31" s="1"/>
      <c r="M31" s="3">
        <v>43468</v>
      </c>
      <c r="N31" t="s">
        <v>54</v>
      </c>
      <c r="O31" t="s">
        <v>632</v>
      </c>
      <c r="P31" t="s">
        <v>56</v>
      </c>
      <c r="Q31">
        <v>3900</v>
      </c>
      <c r="R31" s="3">
        <v>43542</v>
      </c>
      <c r="S31" t="s">
        <v>54</v>
      </c>
      <c r="T31" t="s">
        <v>410</v>
      </c>
      <c r="U31" t="s">
        <v>60</v>
      </c>
      <c r="V31">
        <v>970</v>
      </c>
      <c r="AG31" t="s">
        <v>1251</v>
      </c>
      <c r="AH31" s="3">
        <v>43483</v>
      </c>
      <c r="AI31">
        <v>12200</v>
      </c>
      <c r="AJ31">
        <v>0</v>
      </c>
      <c r="AS31" t="s">
        <v>1252</v>
      </c>
      <c r="AT31" s="3">
        <v>43515</v>
      </c>
      <c r="AU31">
        <v>11956</v>
      </c>
      <c r="AV31">
        <v>0</v>
      </c>
      <c r="AW31">
        <v>244</v>
      </c>
      <c r="AX31">
        <v>0</v>
      </c>
    </row>
    <row r="32" spans="1:56" x14ac:dyDescent="0.25">
      <c r="A32" t="s">
        <v>1253</v>
      </c>
      <c r="B32" s="3">
        <v>43470</v>
      </c>
      <c r="C32" t="s">
        <v>1241</v>
      </c>
      <c r="D32" t="s">
        <v>1254</v>
      </c>
      <c r="E32" t="s">
        <v>1241</v>
      </c>
      <c r="F32">
        <v>31130</v>
      </c>
      <c r="G32" t="s">
        <v>1255</v>
      </c>
      <c r="H32" s="3">
        <v>43470</v>
      </c>
      <c r="I32" t="s">
        <v>1244</v>
      </c>
      <c r="J32">
        <v>25000</v>
      </c>
      <c r="K32" s="1"/>
      <c r="M32" s="3">
        <v>43476</v>
      </c>
      <c r="N32" t="s">
        <v>54</v>
      </c>
      <c r="O32" t="s">
        <v>1244</v>
      </c>
      <c r="P32" t="s">
        <v>56</v>
      </c>
      <c r="Q32">
        <v>21500</v>
      </c>
      <c r="R32" s="3">
        <v>43545</v>
      </c>
      <c r="S32" t="s">
        <v>54</v>
      </c>
      <c r="T32" t="s">
        <v>1244</v>
      </c>
      <c r="U32" t="s">
        <v>60</v>
      </c>
      <c r="V32">
        <v>2900</v>
      </c>
      <c r="AG32" t="s">
        <v>1256</v>
      </c>
      <c r="AH32" s="3">
        <v>43486</v>
      </c>
      <c r="AI32">
        <v>31130</v>
      </c>
      <c r="AJ32">
        <v>0</v>
      </c>
      <c r="AS32" t="s">
        <v>1252</v>
      </c>
      <c r="AT32" s="3">
        <v>43515</v>
      </c>
      <c r="AU32">
        <v>30507</v>
      </c>
      <c r="AV32">
        <v>0</v>
      </c>
      <c r="AW32">
        <v>623</v>
      </c>
      <c r="AX32">
        <v>0</v>
      </c>
    </row>
    <row r="33" spans="1:50" x14ac:dyDescent="0.25">
      <c r="A33" t="s">
        <v>1257</v>
      </c>
      <c r="B33" s="3">
        <v>43488</v>
      </c>
      <c r="C33" t="s">
        <v>1241</v>
      </c>
      <c r="D33" t="s">
        <v>1242</v>
      </c>
      <c r="E33" t="s">
        <v>1241</v>
      </c>
      <c r="F33">
        <v>38000</v>
      </c>
      <c r="G33" t="s">
        <v>1258</v>
      </c>
      <c r="H33" s="3">
        <v>43488</v>
      </c>
      <c r="I33" t="s">
        <v>1244</v>
      </c>
      <c r="J33">
        <v>33000</v>
      </c>
      <c r="K33" s="1"/>
      <c r="M33" s="3">
        <v>43490</v>
      </c>
      <c r="N33" t="s">
        <v>54</v>
      </c>
      <c r="O33" t="s">
        <v>1244</v>
      </c>
      <c r="P33" t="s">
        <v>56</v>
      </c>
      <c r="Q33">
        <v>29500</v>
      </c>
      <c r="AG33" t="s">
        <v>1259</v>
      </c>
      <c r="AH33" s="3">
        <v>43546</v>
      </c>
      <c r="AI33">
        <v>38000</v>
      </c>
      <c r="AJ33">
        <v>38000</v>
      </c>
    </row>
    <row r="34" spans="1:50" x14ac:dyDescent="0.25">
      <c r="A34" t="s">
        <v>1260</v>
      </c>
      <c r="B34" s="3">
        <v>43503</v>
      </c>
      <c r="C34" t="s">
        <v>1241</v>
      </c>
      <c r="D34" t="s">
        <v>1254</v>
      </c>
      <c r="E34" t="s">
        <v>1241</v>
      </c>
      <c r="F34">
        <v>41000</v>
      </c>
      <c r="G34" t="s">
        <v>1261</v>
      </c>
      <c r="H34" s="3">
        <v>43503</v>
      </c>
      <c r="I34" t="s">
        <v>1244</v>
      </c>
      <c r="J34">
        <v>34000</v>
      </c>
      <c r="K34" s="1"/>
      <c r="M34" s="3">
        <v>43504</v>
      </c>
      <c r="N34" t="s">
        <v>54</v>
      </c>
      <c r="O34" t="s">
        <v>1244</v>
      </c>
      <c r="P34" t="s">
        <v>56</v>
      </c>
      <c r="Q34">
        <v>29600</v>
      </c>
      <c r="AG34" t="s">
        <v>1262</v>
      </c>
      <c r="AH34" s="3">
        <v>43546</v>
      </c>
      <c r="AI34">
        <v>41000</v>
      </c>
      <c r="AJ34">
        <v>41000</v>
      </c>
    </row>
    <row r="35" spans="1:50" x14ac:dyDescent="0.25">
      <c r="A35" t="s">
        <v>1263</v>
      </c>
      <c r="B35" s="3">
        <v>43505</v>
      </c>
      <c r="C35" t="s">
        <v>1241</v>
      </c>
      <c r="D35" t="s">
        <v>1254</v>
      </c>
      <c r="E35" t="s">
        <v>1241</v>
      </c>
      <c r="F35">
        <v>40000</v>
      </c>
      <c r="G35" t="s">
        <v>1264</v>
      </c>
      <c r="H35" s="3">
        <v>43505</v>
      </c>
      <c r="I35" t="s">
        <v>1244</v>
      </c>
      <c r="J35">
        <v>32000</v>
      </c>
      <c r="K35" s="1"/>
      <c r="M35" s="3">
        <v>43508</v>
      </c>
      <c r="N35" t="s">
        <v>54</v>
      </c>
      <c r="O35" t="s">
        <v>1244</v>
      </c>
      <c r="P35" t="s">
        <v>56</v>
      </c>
      <c r="Q35">
        <v>28500</v>
      </c>
      <c r="R35" s="3">
        <v>43545</v>
      </c>
      <c r="S35" t="s">
        <v>54</v>
      </c>
      <c r="T35" t="s">
        <v>1244</v>
      </c>
      <c r="U35" t="s">
        <v>60</v>
      </c>
      <c r="V35">
        <v>2900</v>
      </c>
      <c r="AG35" t="s">
        <v>1265</v>
      </c>
      <c r="AH35" s="3">
        <v>43522</v>
      </c>
      <c r="AI35">
        <v>40000</v>
      </c>
      <c r="AJ35">
        <v>0</v>
      </c>
      <c r="AS35" t="s">
        <v>1266</v>
      </c>
      <c r="AT35" s="3">
        <v>43542</v>
      </c>
      <c r="AU35">
        <v>79640</v>
      </c>
      <c r="AV35">
        <v>0</v>
      </c>
      <c r="AW35">
        <v>360</v>
      </c>
      <c r="AX35">
        <v>0</v>
      </c>
    </row>
    <row r="36" spans="1:50" x14ac:dyDescent="0.25">
      <c r="A36" t="s">
        <v>1267</v>
      </c>
      <c r="B36" s="3">
        <v>43508</v>
      </c>
      <c r="C36" t="s">
        <v>1241</v>
      </c>
      <c r="D36" t="s">
        <v>1254</v>
      </c>
      <c r="E36" t="s">
        <v>1241</v>
      </c>
      <c r="F36">
        <v>40000</v>
      </c>
      <c r="G36" t="s">
        <v>1268</v>
      </c>
      <c r="H36" s="3">
        <v>43508</v>
      </c>
      <c r="I36" t="s">
        <v>1244</v>
      </c>
      <c r="J36">
        <v>32000</v>
      </c>
      <c r="K36" s="1"/>
      <c r="M36" s="3">
        <v>43522</v>
      </c>
      <c r="N36" t="s">
        <v>54</v>
      </c>
      <c r="O36" t="s">
        <v>1244</v>
      </c>
      <c r="P36" t="s">
        <v>56</v>
      </c>
      <c r="Q36">
        <v>28500</v>
      </c>
      <c r="R36" s="3">
        <v>43545</v>
      </c>
      <c r="S36" t="s">
        <v>54</v>
      </c>
      <c r="T36" t="s">
        <v>1244</v>
      </c>
      <c r="U36" t="s">
        <v>60</v>
      </c>
      <c r="V36">
        <v>2900</v>
      </c>
      <c r="AG36" t="s">
        <v>1265</v>
      </c>
      <c r="AH36" s="3">
        <v>43522</v>
      </c>
      <c r="AI36">
        <v>40000</v>
      </c>
      <c r="AJ36">
        <v>0</v>
      </c>
      <c r="AS36" t="s">
        <v>1266</v>
      </c>
      <c r="AT36" s="3">
        <v>43542</v>
      </c>
      <c r="AU36">
        <v>79640</v>
      </c>
      <c r="AV36">
        <v>0</v>
      </c>
      <c r="AW36">
        <v>360</v>
      </c>
      <c r="AX36">
        <v>0</v>
      </c>
    </row>
    <row r="37" spans="1:50" x14ac:dyDescent="0.25">
      <c r="A37" t="s">
        <v>1269</v>
      </c>
      <c r="B37" s="3">
        <v>43511</v>
      </c>
      <c r="C37" t="s">
        <v>1241</v>
      </c>
      <c r="D37" t="s">
        <v>1254</v>
      </c>
      <c r="E37" t="s">
        <v>1241</v>
      </c>
      <c r="F37">
        <v>40000</v>
      </c>
      <c r="G37" t="s">
        <v>1270</v>
      </c>
      <c r="H37" s="3">
        <v>43511</v>
      </c>
      <c r="I37" t="s">
        <v>1244</v>
      </c>
      <c r="J37">
        <v>32000</v>
      </c>
      <c r="K37" s="1"/>
      <c r="M37" s="3">
        <v>43522</v>
      </c>
      <c r="N37" t="s">
        <v>54</v>
      </c>
      <c r="O37" t="s">
        <v>1244</v>
      </c>
      <c r="P37" t="s">
        <v>56</v>
      </c>
      <c r="Q37">
        <v>28500</v>
      </c>
      <c r="R37" s="3">
        <v>43545</v>
      </c>
      <c r="S37" t="s">
        <v>54</v>
      </c>
      <c r="T37" t="s">
        <v>1244</v>
      </c>
      <c r="U37" t="s">
        <v>60</v>
      </c>
      <c r="V37">
        <v>2900</v>
      </c>
      <c r="AG37" t="s">
        <v>1271</v>
      </c>
      <c r="AH37" s="3">
        <v>43535</v>
      </c>
      <c r="AI37">
        <v>40000</v>
      </c>
      <c r="AJ37">
        <v>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6" sqref="A6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1273</v>
      </c>
      <c r="B2" s="3">
        <v>42983</v>
      </c>
      <c r="C2" t="s">
        <v>50</v>
      </c>
      <c r="D2" t="s">
        <v>1274</v>
      </c>
      <c r="E2" t="s">
        <v>1274</v>
      </c>
      <c r="F2">
        <v>20500</v>
      </c>
      <c r="G2" t="s">
        <v>1275</v>
      </c>
      <c r="H2" s="3">
        <v>42983</v>
      </c>
      <c r="I2" t="s">
        <v>339</v>
      </c>
      <c r="J2">
        <v>19000</v>
      </c>
      <c r="K2" s="1"/>
      <c r="M2" s="3">
        <v>42984</v>
      </c>
      <c r="N2" t="s">
        <v>54</v>
      </c>
      <c r="O2" t="s">
        <v>399</v>
      </c>
      <c r="P2" t="s">
        <v>56</v>
      </c>
      <c r="Q2">
        <v>16700</v>
      </c>
      <c r="R2" s="3">
        <v>43021</v>
      </c>
      <c r="S2" t="s">
        <v>54</v>
      </c>
      <c r="T2" t="s">
        <v>328</v>
      </c>
      <c r="U2" t="s">
        <v>60</v>
      </c>
      <c r="V2">
        <v>1950</v>
      </c>
      <c r="AG2" t="s">
        <v>1276</v>
      </c>
      <c r="AH2" s="3">
        <v>43042</v>
      </c>
      <c r="AI2">
        <v>20500</v>
      </c>
      <c r="AJ2">
        <v>0</v>
      </c>
      <c r="AS2" t="s">
        <v>1277</v>
      </c>
      <c r="AT2" s="3">
        <v>43110</v>
      </c>
      <c r="AU2">
        <v>20090</v>
      </c>
      <c r="AV2">
        <v>0</v>
      </c>
      <c r="AW2">
        <v>410</v>
      </c>
      <c r="AX2">
        <v>0</v>
      </c>
    </row>
    <row r="3" spans="1:74" x14ac:dyDescent="0.25">
      <c r="A3" s="4" t="s">
        <v>1278</v>
      </c>
      <c r="B3" s="3">
        <v>42990</v>
      </c>
      <c r="C3" t="s">
        <v>50</v>
      </c>
      <c r="D3" t="s">
        <v>1274</v>
      </c>
      <c r="E3" t="s">
        <v>1274</v>
      </c>
      <c r="F3">
        <v>62000</v>
      </c>
      <c r="G3" t="s">
        <v>1279</v>
      </c>
      <c r="H3" s="3">
        <v>42990</v>
      </c>
      <c r="I3" t="s">
        <v>66</v>
      </c>
      <c r="J3">
        <v>56000</v>
      </c>
      <c r="K3" s="1" t="s">
        <v>67</v>
      </c>
      <c r="M3" s="3">
        <v>42990</v>
      </c>
      <c r="N3" t="s">
        <v>54</v>
      </c>
      <c r="O3" t="s">
        <v>1191</v>
      </c>
      <c r="P3" t="s">
        <v>56</v>
      </c>
      <c r="Q3">
        <v>44500</v>
      </c>
      <c r="R3" s="3">
        <v>43049</v>
      </c>
      <c r="S3" t="s">
        <v>54</v>
      </c>
      <c r="T3" t="s">
        <v>77</v>
      </c>
      <c r="U3" t="s">
        <v>60</v>
      </c>
      <c r="V3">
        <v>10800</v>
      </c>
      <c r="AG3" s="5" t="s">
        <v>1280</v>
      </c>
      <c r="AH3" s="3">
        <v>43042</v>
      </c>
      <c r="AI3" s="7">
        <v>62000</v>
      </c>
      <c r="AJ3">
        <v>0</v>
      </c>
      <c r="AS3" t="s">
        <v>1281</v>
      </c>
      <c r="AT3" s="3">
        <v>43125</v>
      </c>
      <c r="AU3">
        <v>62000</v>
      </c>
      <c r="AV3">
        <v>0</v>
      </c>
      <c r="AW3">
        <v>0</v>
      </c>
      <c r="AX3">
        <v>0</v>
      </c>
      <c r="BQ3" t="s">
        <v>72</v>
      </c>
      <c r="BR3" t="s">
        <v>1282</v>
      </c>
    </row>
    <row r="4" spans="1:74" x14ac:dyDescent="0.25">
      <c r="A4" s="4" t="s">
        <v>1283</v>
      </c>
      <c r="B4" s="3">
        <v>42999</v>
      </c>
      <c r="C4" t="s">
        <v>75</v>
      </c>
      <c r="D4" t="s">
        <v>1274</v>
      </c>
      <c r="E4" t="s">
        <v>1274</v>
      </c>
      <c r="F4">
        <v>68000</v>
      </c>
      <c r="G4" t="s">
        <v>1284</v>
      </c>
      <c r="H4" s="3">
        <v>42999</v>
      </c>
      <c r="I4" t="s">
        <v>66</v>
      </c>
      <c r="J4">
        <v>60000</v>
      </c>
      <c r="K4" s="1" t="s">
        <v>67</v>
      </c>
      <c r="M4" s="3">
        <v>43000</v>
      </c>
      <c r="N4" t="s">
        <v>54</v>
      </c>
      <c r="O4" t="s">
        <v>66</v>
      </c>
      <c r="P4" t="s">
        <v>56</v>
      </c>
      <c r="Q4">
        <v>49200</v>
      </c>
      <c r="R4" s="3">
        <v>43049</v>
      </c>
      <c r="S4" t="s">
        <v>54</v>
      </c>
      <c r="T4" t="s">
        <v>77</v>
      </c>
      <c r="U4" t="s">
        <v>60</v>
      </c>
      <c r="V4">
        <v>9800</v>
      </c>
      <c r="AG4" s="5" t="s">
        <v>1285</v>
      </c>
      <c r="AH4" s="3">
        <v>43042</v>
      </c>
      <c r="AI4" s="7">
        <v>68000</v>
      </c>
      <c r="AJ4">
        <v>0</v>
      </c>
      <c r="AS4" t="s">
        <v>1286</v>
      </c>
      <c r="AT4" s="3">
        <v>43132</v>
      </c>
      <c r="AU4">
        <v>68000</v>
      </c>
      <c r="AV4">
        <v>0</v>
      </c>
      <c r="AW4">
        <v>0</v>
      </c>
      <c r="AX4">
        <v>0</v>
      </c>
      <c r="BQ4" t="s">
        <v>72</v>
      </c>
      <c r="BR4" t="s">
        <v>1287</v>
      </c>
    </row>
    <row r="5" spans="1:74" x14ac:dyDescent="0.25">
      <c r="A5" s="4" t="s">
        <v>1288</v>
      </c>
      <c r="B5" s="3">
        <v>43131</v>
      </c>
      <c r="C5" t="s">
        <v>75</v>
      </c>
      <c r="D5" t="s">
        <v>1274</v>
      </c>
      <c r="E5" t="s">
        <v>1274</v>
      </c>
      <c r="F5">
        <v>65000</v>
      </c>
      <c r="G5" t="s">
        <v>1289</v>
      </c>
      <c r="H5" s="3">
        <v>43131</v>
      </c>
      <c r="I5" t="s">
        <v>66</v>
      </c>
      <c r="J5">
        <v>58000</v>
      </c>
      <c r="K5" s="1" t="s">
        <v>67</v>
      </c>
      <c r="M5" s="3">
        <v>43131</v>
      </c>
      <c r="N5" t="s">
        <v>54</v>
      </c>
      <c r="O5" t="s">
        <v>69</v>
      </c>
      <c r="P5" t="s">
        <v>56</v>
      </c>
      <c r="Q5">
        <v>49200</v>
      </c>
      <c r="R5" s="3">
        <v>43148</v>
      </c>
      <c r="S5" t="s">
        <v>54</v>
      </c>
      <c r="T5" t="s">
        <v>77</v>
      </c>
      <c r="U5" t="s">
        <v>60</v>
      </c>
      <c r="V5">
        <v>7800</v>
      </c>
      <c r="AG5" s="5" t="s">
        <v>1290</v>
      </c>
      <c r="AH5" s="3">
        <v>43166</v>
      </c>
      <c r="AI5" s="7">
        <v>65000</v>
      </c>
      <c r="AJ5">
        <v>0</v>
      </c>
      <c r="AS5" t="s">
        <v>1295</v>
      </c>
      <c r="AT5" s="3">
        <v>43316</v>
      </c>
      <c r="AU5">
        <v>65000</v>
      </c>
      <c r="AV5">
        <v>0</v>
      </c>
      <c r="AW5">
        <v>0</v>
      </c>
      <c r="AX5">
        <v>0</v>
      </c>
      <c r="BQ5" t="s">
        <v>72</v>
      </c>
      <c r="BR5" t="s">
        <v>1282</v>
      </c>
    </row>
    <row r="6" spans="1:74" x14ac:dyDescent="0.25">
      <c r="A6" s="4" t="s">
        <v>1291</v>
      </c>
      <c r="B6" s="3">
        <v>43131</v>
      </c>
      <c r="C6" t="s">
        <v>75</v>
      </c>
      <c r="D6" t="s">
        <v>1274</v>
      </c>
      <c r="E6" t="s">
        <v>1274</v>
      </c>
      <c r="F6">
        <v>65000</v>
      </c>
      <c r="G6" t="s">
        <v>1292</v>
      </c>
      <c r="H6" s="3">
        <v>43131</v>
      </c>
      <c r="I6" t="s">
        <v>66</v>
      </c>
      <c r="J6">
        <v>58000</v>
      </c>
      <c r="K6" s="1" t="s">
        <v>67</v>
      </c>
      <c r="M6" s="3">
        <v>43132</v>
      </c>
      <c r="N6" t="s">
        <v>54</v>
      </c>
      <c r="O6" t="s">
        <v>77</v>
      </c>
      <c r="P6" t="s">
        <v>56</v>
      </c>
      <c r="Q6">
        <v>49400</v>
      </c>
      <c r="R6" s="3">
        <v>43148</v>
      </c>
      <c r="S6" t="s">
        <v>54</v>
      </c>
      <c r="T6" t="s">
        <v>77</v>
      </c>
      <c r="U6" t="s">
        <v>60</v>
      </c>
      <c r="V6">
        <v>7800</v>
      </c>
      <c r="AG6" s="5" t="s">
        <v>1293</v>
      </c>
      <c r="AH6" s="3">
        <v>43166</v>
      </c>
      <c r="AI6" s="7">
        <v>65000</v>
      </c>
      <c r="AJ6">
        <v>10000</v>
      </c>
      <c r="AK6" s="5" t="s">
        <v>1294</v>
      </c>
      <c r="AL6" s="3">
        <v>43344</v>
      </c>
      <c r="AM6" s="7">
        <v>10000</v>
      </c>
      <c r="AN6">
        <v>20000</v>
      </c>
      <c r="AS6" t="s">
        <v>1295</v>
      </c>
      <c r="AT6" s="3">
        <v>43316</v>
      </c>
      <c r="AU6">
        <v>55000</v>
      </c>
      <c r="AV6">
        <v>0</v>
      </c>
      <c r="AW6">
        <v>0</v>
      </c>
      <c r="AX6">
        <v>10000</v>
      </c>
      <c r="BQ6" t="s">
        <v>72</v>
      </c>
      <c r="BR6" t="s">
        <v>1282</v>
      </c>
    </row>
    <row r="7" spans="1:74" x14ac:dyDescent="0.25">
      <c r="A7" s="4" t="s">
        <v>1296</v>
      </c>
      <c r="B7" s="3">
        <v>43131</v>
      </c>
      <c r="C7" t="s">
        <v>75</v>
      </c>
      <c r="D7" t="s">
        <v>1274</v>
      </c>
      <c r="E7" t="s">
        <v>1274</v>
      </c>
      <c r="F7">
        <v>65000</v>
      </c>
      <c r="G7" t="s">
        <v>1297</v>
      </c>
      <c r="H7" s="3">
        <v>43131</v>
      </c>
      <c r="I7" t="s">
        <v>66</v>
      </c>
      <c r="J7">
        <v>58000</v>
      </c>
      <c r="K7" s="1" t="s">
        <v>67</v>
      </c>
      <c r="M7" s="3">
        <v>43131</v>
      </c>
      <c r="N7" t="s">
        <v>54</v>
      </c>
      <c r="O7" t="s">
        <v>69</v>
      </c>
      <c r="P7" t="s">
        <v>56</v>
      </c>
      <c r="Q7">
        <v>49200</v>
      </c>
      <c r="R7" s="3">
        <v>43182</v>
      </c>
      <c r="S7" t="s">
        <v>54</v>
      </c>
      <c r="T7" t="s">
        <v>77</v>
      </c>
      <c r="U7" t="s">
        <v>60</v>
      </c>
      <c r="V7">
        <v>7800</v>
      </c>
      <c r="AG7" s="5" t="s">
        <v>1298</v>
      </c>
      <c r="AH7" s="3">
        <v>43173</v>
      </c>
      <c r="AI7" s="7">
        <v>65000</v>
      </c>
      <c r="AJ7">
        <v>10000</v>
      </c>
      <c r="AK7" s="5" t="s">
        <v>1294</v>
      </c>
      <c r="AL7" s="3">
        <v>43344</v>
      </c>
      <c r="AM7" s="7">
        <v>10000</v>
      </c>
      <c r="AN7">
        <v>20000</v>
      </c>
      <c r="AS7" t="s">
        <v>1302</v>
      </c>
      <c r="AT7" s="3">
        <v>43330</v>
      </c>
      <c r="AU7">
        <v>55000</v>
      </c>
      <c r="AV7">
        <v>0</v>
      </c>
      <c r="AW7">
        <v>0</v>
      </c>
      <c r="AX7">
        <v>10000</v>
      </c>
      <c r="BQ7" t="s">
        <v>72</v>
      </c>
      <c r="BR7" t="s">
        <v>1282</v>
      </c>
    </row>
    <row r="8" spans="1:74" x14ac:dyDescent="0.25">
      <c r="A8" s="4" t="s">
        <v>1299</v>
      </c>
      <c r="B8" s="3">
        <v>43131</v>
      </c>
      <c r="C8" t="s">
        <v>75</v>
      </c>
      <c r="D8" t="s">
        <v>1274</v>
      </c>
      <c r="E8" t="s">
        <v>1274</v>
      </c>
      <c r="F8">
        <v>65000</v>
      </c>
      <c r="G8" t="s">
        <v>1300</v>
      </c>
      <c r="H8" s="3">
        <v>43131</v>
      </c>
      <c r="I8" t="s">
        <v>66</v>
      </c>
      <c r="J8">
        <v>58000</v>
      </c>
      <c r="K8" s="1" t="s">
        <v>67</v>
      </c>
      <c r="M8" s="3">
        <v>43132</v>
      </c>
      <c r="N8" t="s">
        <v>54</v>
      </c>
      <c r="O8" t="s">
        <v>77</v>
      </c>
      <c r="P8" t="s">
        <v>56</v>
      </c>
      <c r="Q8">
        <v>49400</v>
      </c>
      <c r="R8" s="3">
        <v>43182</v>
      </c>
      <c r="S8" t="s">
        <v>54</v>
      </c>
      <c r="T8" t="s">
        <v>77</v>
      </c>
      <c r="U8" t="s">
        <v>60</v>
      </c>
      <c r="V8">
        <v>7800</v>
      </c>
      <c r="AG8" s="5" t="s">
        <v>1301</v>
      </c>
      <c r="AH8" s="3">
        <v>43173</v>
      </c>
      <c r="AI8" s="7">
        <v>65000</v>
      </c>
      <c r="AJ8">
        <v>0</v>
      </c>
      <c r="AS8" t="s">
        <v>1302</v>
      </c>
      <c r="AT8" s="3">
        <v>43330</v>
      </c>
      <c r="AU8">
        <v>65000</v>
      </c>
      <c r="AV8">
        <v>0</v>
      </c>
      <c r="AW8">
        <v>0</v>
      </c>
      <c r="AX8">
        <v>0</v>
      </c>
      <c r="BQ8" t="s">
        <v>72</v>
      </c>
      <c r="BR8" t="s">
        <v>1282</v>
      </c>
    </row>
    <row r="9" spans="1:74" x14ac:dyDescent="0.25">
      <c r="A9" s="4" t="s">
        <v>1303</v>
      </c>
      <c r="B9" s="3">
        <v>43206</v>
      </c>
      <c r="C9" t="s">
        <v>75</v>
      </c>
      <c r="D9" t="s">
        <v>1274</v>
      </c>
      <c r="E9" t="s">
        <v>1274</v>
      </c>
      <c r="F9">
        <v>62000</v>
      </c>
      <c r="G9" t="s">
        <v>1304</v>
      </c>
      <c r="H9" s="3">
        <v>43206</v>
      </c>
      <c r="I9" t="s">
        <v>1305</v>
      </c>
      <c r="J9">
        <v>55000</v>
      </c>
      <c r="K9" s="1" t="s">
        <v>67</v>
      </c>
      <c r="M9" s="3">
        <v>43208</v>
      </c>
      <c r="N9" t="s">
        <v>54</v>
      </c>
      <c r="O9" t="s">
        <v>1306</v>
      </c>
      <c r="P9" t="s">
        <v>56</v>
      </c>
      <c r="Q9">
        <v>34600</v>
      </c>
      <c r="R9" s="3">
        <v>43237</v>
      </c>
      <c r="S9" t="s">
        <v>54</v>
      </c>
      <c r="T9" t="s">
        <v>1307</v>
      </c>
      <c r="U9" t="s">
        <v>56</v>
      </c>
      <c r="V9">
        <v>10000</v>
      </c>
      <c r="W9" s="3">
        <v>43276</v>
      </c>
      <c r="X9" t="s">
        <v>54</v>
      </c>
      <c r="Y9" t="s">
        <v>1308</v>
      </c>
      <c r="Z9" t="s">
        <v>60</v>
      </c>
      <c r="AA9">
        <v>9900</v>
      </c>
      <c r="AG9" s="5" t="s">
        <v>1309</v>
      </c>
      <c r="AH9" s="3">
        <v>43252</v>
      </c>
      <c r="AI9" s="7">
        <v>62000</v>
      </c>
      <c r="AJ9">
        <v>62000</v>
      </c>
    </row>
    <row r="10" spans="1:74" x14ac:dyDescent="0.25">
      <c r="A10" s="4" t="s">
        <v>1310</v>
      </c>
      <c r="B10" s="3">
        <v>43330</v>
      </c>
      <c r="C10" t="s">
        <v>75</v>
      </c>
      <c r="D10" t="s">
        <v>1274</v>
      </c>
      <c r="E10" t="s">
        <v>1274</v>
      </c>
      <c r="F10">
        <v>62000</v>
      </c>
      <c r="G10" t="s">
        <v>1311</v>
      </c>
      <c r="H10" s="3">
        <v>43330</v>
      </c>
      <c r="I10" t="s">
        <v>66</v>
      </c>
      <c r="J10">
        <v>58000</v>
      </c>
      <c r="K10" s="1" t="s">
        <v>67</v>
      </c>
      <c r="M10" s="3">
        <v>43330</v>
      </c>
      <c r="N10" t="s">
        <v>54</v>
      </c>
      <c r="O10" t="s">
        <v>1312</v>
      </c>
      <c r="P10" t="s">
        <v>56</v>
      </c>
      <c r="Q10">
        <v>53100</v>
      </c>
      <c r="R10" s="3">
        <v>43383</v>
      </c>
      <c r="S10" t="s">
        <v>54</v>
      </c>
      <c r="T10" t="s">
        <v>1313</v>
      </c>
      <c r="U10" t="s">
        <v>60</v>
      </c>
      <c r="V10">
        <v>4300</v>
      </c>
      <c r="AG10" s="5" t="s">
        <v>1314</v>
      </c>
      <c r="AH10" s="3">
        <v>43370</v>
      </c>
      <c r="AI10" s="7">
        <v>62000</v>
      </c>
      <c r="AJ10">
        <v>62000</v>
      </c>
    </row>
    <row r="11" spans="1:74" x14ac:dyDescent="0.25">
      <c r="A11" s="4" t="s">
        <v>1315</v>
      </c>
      <c r="B11" s="3">
        <v>43330</v>
      </c>
      <c r="C11" t="s">
        <v>75</v>
      </c>
      <c r="D11" t="s">
        <v>1274</v>
      </c>
      <c r="E11" t="s">
        <v>1274</v>
      </c>
      <c r="F11">
        <v>62000</v>
      </c>
      <c r="G11" t="s">
        <v>1316</v>
      </c>
      <c r="H11" s="3">
        <v>43330</v>
      </c>
      <c r="I11" t="s">
        <v>66</v>
      </c>
      <c r="J11">
        <v>58000</v>
      </c>
      <c r="K11" s="1" t="s">
        <v>67</v>
      </c>
      <c r="M11" s="3">
        <v>43330</v>
      </c>
      <c r="N11" t="s">
        <v>54</v>
      </c>
      <c r="O11" t="s">
        <v>1312</v>
      </c>
      <c r="P11" t="s">
        <v>56</v>
      </c>
      <c r="Q11">
        <v>53000</v>
      </c>
      <c r="R11" s="3">
        <v>43383</v>
      </c>
      <c r="S11" t="s">
        <v>54</v>
      </c>
      <c r="T11" t="s">
        <v>1313</v>
      </c>
      <c r="U11" t="s">
        <v>60</v>
      </c>
      <c r="V11">
        <v>4300</v>
      </c>
      <c r="AG11" s="5" t="s">
        <v>1317</v>
      </c>
      <c r="AH11" s="3">
        <v>43370</v>
      </c>
      <c r="AI11" s="7">
        <v>62000</v>
      </c>
      <c r="AJ11">
        <v>62000</v>
      </c>
    </row>
    <row r="12" spans="1:74" x14ac:dyDescent="0.25">
      <c r="A12" s="4" t="s">
        <v>1318</v>
      </c>
      <c r="B12" s="3">
        <v>43336</v>
      </c>
      <c r="C12" t="s">
        <v>75</v>
      </c>
      <c r="D12" t="s">
        <v>1274</v>
      </c>
      <c r="E12" t="s">
        <v>1274</v>
      </c>
      <c r="F12">
        <v>65000</v>
      </c>
      <c r="G12" t="s">
        <v>1319</v>
      </c>
      <c r="H12" s="3">
        <v>43336</v>
      </c>
      <c r="I12" t="s">
        <v>66</v>
      </c>
      <c r="J12">
        <v>58000</v>
      </c>
      <c r="K12" s="1" t="s">
        <v>67</v>
      </c>
      <c r="M12" s="3">
        <v>43343</v>
      </c>
      <c r="N12" t="s">
        <v>54</v>
      </c>
      <c r="O12" t="s">
        <v>69</v>
      </c>
      <c r="P12" t="s">
        <v>56</v>
      </c>
      <c r="Q12">
        <v>52000</v>
      </c>
      <c r="R12" s="3">
        <v>43399</v>
      </c>
      <c r="S12" t="s">
        <v>54</v>
      </c>
      <c r="T12" t="s">
        <v>68</v>
      </c>
      <c r="U12" t="s">
        <v>60</v>
      </c>
      <c r="V12">
        <v>4900</v>
      </c>
      <c r="AG12" s="5" t="s">
        <v>1320</v>
      </c>
      <c r="AH12" s="3">
        <v>43374</v>
      </c>
      <c r="AI12" s="7">
        <v>65000</v>
      </c>
      <c r="AJ12">
        <v>65000</v>
      </c>
    </row>
    <row r="13" spans="1:74" x14ac:dyDescent="0.25">
      <c r="A13" s="4" t="s">
        <v>1321</v>
      </c>
      <c r="B13" s="3">
        <v>43336</v>
      </c>
      <c r="C13" t="s">
        <v>75</v>
      </c>
      <c r="D13" t="s">
        <v>1274</v>
      </c>
      <c r="E13" t="s">
        <v>1274</v>
      </c>
      <c r="F13">
        <v>63000</v>
      </c>
      <c r="G13" t="s">
        <v>1322</v>
      </c>
      <c r="H13" s="3">
        <v>43336</v>
      </c>
      <c r="I13" t="s">
        <v>66</v>
      </c>
      <c r="J13">
        <v>58000</v>
      </c>
      <c r="K13" s="1" t="s">
        <v>67</v>
      </c>
      <c r="M13" s="3">
        <v>43343</v>
      </c>
      <c r="N13" t="s">
        <v>54</v>
      </c>
      <c r="O13" t="s">
        <v>69</v>
      </c>
      <c r="P13" t="s">
        <v>56</v>
      </c>
      <c r="Q13">
        <v>52000</v>
      </c>
      <c r="R13" s="3">
        <v>43434</v>
      </c>
      <c r="S13" t="s">
        <v>54</v>
      </c>
      <c r="T13" t="s">
        <v>66</v>
      </c>
      <c r="U13" t="s">
        <v>60</v>
      </c>
      <c r="V13">
        <v>4900</v>
      </c>
      <c r="AG13" s="5" t="s">
        <v>1323</v>
      </c>
      <c r="AH13" s="3">
        <v>43374</v>
      </c>
      <c r="AI13" s="7">
        <v>63000</v>
      </c>
      <c r="AJ13">
        <v>63000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7" sqref="A7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1324</v>
      </c>
      <c r="B2" s="3">
        <v>43369</v>
      </c>
      <c r="C2" t="s">
        <v>1325</v>
      </c>
      <c r="D2" t="s">
        <v>1326</v>
      </c>
      <c r="E2" t="s">
        <v>1326</v>
      </c>
      <c r="F2">
        <v>32000</v>
      </c>
      <c r="G2" t="s">
        <v>1327</v>
      </c>
      <c r="H2" s="3">
        <v>43369</v>
      </c>
      <c r="I2" t="s">
        <v>1328</v>
      </c>
      <c r="J2">
        <v>28000</v>
      </c>
      <c r="K2" s="1"/>
      <c r="M2" s="3">
        <v>43372</v>
      </c>
      <c r="N2" t="s">
        <v>54</v>
      </c>
      <c r="O2" t="s">
        <v>1329</v>
      </c>
      <c r="P2" t="s">
        <v>56</v>
      </c>
      <c r="Q2">
        <v>23600</v>
      </c>
      <c r="R2" s="3">
        <v>43413</v>
      </c>
      <c r="S2" t="s">
        <v>54</v>
      </c>
      <c r="T2" t="s">
        <v>1330</v>
      </c>
      <c r="U2" t="s">
        <v>60</v>
      </c>
      <c r="V2">
        <v>3950</v>
      </c>
      <c r="AG2" t="s">
        <v>1331</v>
      </c>
      <c r="AH2" s="3">
        <v>43425</v>
      </c>
      <c r="AI2">
        <v>32000</v>
      </c>
      <c r="AJ2">
        <v>0</v>
      </c>
      <c r="AS2" t="s">
        <v>1332</v>
      </c>
      <c r="AT2" s="3">
        <v>43425</v>
      </c>
      <c r="AU2">
        <v>32000</v>
      </c>
      <c r="AV2">
        <v>0</v>
      </c>
      <c r="AW2">
        <v>0</v>
      </c>
      <c r="AX2">
        <v>0</v>
      </c>
      <c r="BQ2" t="s">
        <v>72</v>
      </c>
      <c r="BR2" t="s">
        <v>1333</v>
      </c>
    </row>
    <row r="3" spans="1:74" x14ac:dyDescent="0.25">
      <c r="A3" t="s">
        <v>1334</v>
      </c>
      <c r="B3" s="3">
        <v>43395</v>
      </c>
      <c r="C3" t="s">
        <v>1325</v>
      </c>
      <c r="D3" t="s">
        <v>1326</v>
      </c>
      <c r="E3" t="s">
        <v>1326</v>
      </c>
      <c r="F3">
        <v>26000</v>
      </c>
      <c r="G3" t="s">
        <v>1335</v>
      </c>
      <c r="H3" s="3">
        <v>43395</v>
      </c>
      <c r="I3" t="s">
        <v>1328</v>
      </c>
      <c r="J3">
        <v>22500</v>
      </c>
      <c r="K3" s="1"/>
      <c r="M3" s="3">
        <v>43397</v>
      </c>
      <c r="N3" t="s">
        <v>1336</v>
      </c>
      <c r="P3" t="s">
        <v>56</v>
      </c>
      <c r="Q3">
        <v>19600</v>
      </c>
      <c r="R3" s="3">
        <v>43397</v>
      </c>
      <c r="S3" t="s">
        <v>57</v>
      </c>
      <c r="U3" t="s">
        <v>56</v>
      </c>
      <c r="V3">
        <v>0</v>
      </c>
      <c r="W3" s="3">
        <v>43468</v>
      </c>
      <c r="X3" t="s">
        <v>54</v>
      </c>
      <c r="Y3" t="s">
        <v>1330</v>
      </c>
      <c r="Z3" t="s">
        <v>60</v>
      </c>
      <c r="AA3">
        <v>2450</v>
      </c>
      <c r="AG3" t="s">
        <v>1337</v>
      </c>
      <c r="AH3" s="3">
        <v>43444</v>
      </c>
      <c r="AI3">
        <v>26000</v>
      </c>
      <c r="AJ3">
        <v>0</v>
      </c>
      <c r="AS3" t="s">
        <v>1338</v>
      </c>
      <c r="AT3" s="3">
        <v>43479</v>
      </c>
      <c r="AU3">
        <v>26000</v>
      </c>
      <c r="AV3">
        <v>0</v>
      </c>
      <c r="AW3">
        <v>0</v>
      </c>
      <c r="AX3">
        <v>0</v>
      </c>
      <c r="BQ3" t="s">
        <v>72</v>
      </c>
      <c r="BR3" t="s">
        <v>1339</v>
      </c>
    </row>
    <row r="4" spans="1:74" x14ac:dyDescent="0.25">
      <c r="A4" s="5" t="s">
        <v>1340</v>
      </c>
      <c r="B4" s="3">
        <v>43397</v>
      </c>
      <c r="C4" t="s">
        <v>1325</v>
      </c>
      <c r="D4" t="s">
        <v>1326</v>
      </c>
      <c r="E4" t="s">
        <v>1326</v>
      </c>
      <c r="F4">
        <v>28000</v>
      </c>
      <c r="G4" t="s">
        <v>1341</v>
      </c>
      <c r="H4" s="3">
        <v>43398</v>
      </c>
      <c r="I4" t="s">
        <v>66</v>
      </c>
      <c r="J4">
        <v>25000</v>
      </c>
      <c r="K4" s="1" t="s">
        <v>67</v>
      </c>
      <c r="M4" s="3">
        <v>43399</v>
      </c>
      <c r="N4" t="s">
        <v>54</v>
      </c>
      <c r="O4" t="s">
        <v>66</v>
      </c>
      <c r="P4" t="s">
        <v>56</v>
      </c>
      <c r="Q4">
        <v>22500</v>
      </c>
      <c r="R4" s="3">
        <v>43468</v>
      </c>
      <c r="S4" t="s">
        <v>54</v>
      </c>
      <c r="T4" t="s">
        <v>1330</v>
      </c>
      <c r="U4" t="s">
        <v>60</v>
      </c>
      <c r="V4">
        <v>1950</v>
      </c>
      <c r="AG4" s="5" t="s">
        <v>1342</v>
      </c>
      <c r="AH4" s="3">
        <v>43449</v>
      </c>
      <c r="AI4" s="5">
        <v>28000</v>
      </c>
      <c r="AJ4">
        <v>28000</v>
      </c>
    </row>
    <row r="5" spans="1:74" x14ac:dyDescent="0.25">
      <c r="A5" s="5" t="s">
        <v>1343</v>
      </c>
      <c r="B5" s="3">
        <v>43399</v>
      </c>
      <c r="C5" t="s">
        <v>1325</v>
      </c>
      <c r="D5" t="s">
        <v>1326</v>
      </c>
      <c r="E5" t="s">
        <v>1326</v>
      </c>
      <c r="F5">
        <v>23000</v>
      </c>
      <c r="G5" t="s">
        <v>1344</v>
      </c>
      <c r="H5" s="3">
        <v>43399</v>
      </c>
      <c r="I5" t="s">
        <v>66</v>
      </c>
      <c r="J5">
        <v>21000</v>
      </c>
      <c r="K5" s="1" t="s">
        <v>67</v>
      </c>
      <c r="M5" s="3">
        <v>43399</v>
      </c>
      <c r="N5" t="s">
        <v>54</v>
      </c>
      <c r="O5" t="s">
        <v>68</v>
      </c>
      <c r="P5" t="s">
        <v>56</v>
      </c>
      <c r="Q5">
        <v>18500</v>
      </c>
      <c r="R5" s="3">
        <v>43468</v>
      </c>
      <c r="S5" t="s">
        <v>54</v>
      </c>
      <c r="T5" t="s">
        <v>1330</v>
      </c>
      <c r="U5" t="s">
        <v>60</v>
      </c>
      <c r="V5">
        <v>1950</v>
      </c>
      <c r="AG5" s="5" t="s">
        <v>1345</v>
      </c>
      <c r="AH5" s="3">
        <v>43449</v>
      </c>
      <c r="AI5" s="5">
        <v>23000</v>
      </c>
      <c r="AJ5">
        <v>23000</v>
      </c>
    </row>
    <row r="6" spans="1:74" x14ac:dyDescent="0.25">
      <c r="A6" s="5" t="s">
        <v>1346</v>
      </c>
      <c r="B6" s="3">
        <v>43416</v>
      </c>
      <c r="C6" t="s">
        <v>1325</v>
      </c>
      <c r="D6" t="s">
        <v>1326</v>
      </c>
      <c r="E6" t="s">
        <v>1326</v>
      </c>
      <c r="F6">
        <v>42000</v>
      </c>
      <c r="G6" t="s">
        <v>1347</v>
      </c>
      <c r="H6" s="3">
        <v>43416</v>
      </c>
      <c r="I6" t="s">
        <v>66</v>
      </c>
      <c r="J6">
        <v>38000</v>
      </c>
      <c r="K6" s="1" t="s">
        <v>67</v>
      </c>
      <c r="M6" s="3">
        <v>43416</v>
      </c>
      <c r="N6" t="s">
        <v>54</v>
      </c>
      <c r="O6" t="s">
        <v>66</v>
      </c>
      <c r="P6" t="s">
        <v>56</v>
      </c>
      <c r="Q6">
        <v>34500</v>
      </c>
      <c r="R6" s="3">
        <v>43476</v>
      </c>
      <c r="S6" t="s">
        <v>54</v>
      </c>
      <c r="T6" t="s">
        <v>66</v>
      </c>
      <c r="U6" t="s">
        <v>60</v>
      </c>
      <c r="V6">
        <v>2950</v>
      </c>
      <c r="AG6" s="5" t="s">
        <v>1348</v>
      </c>
      <c r="AH6" s="3">
        <v>43477</v>
      </c>
      <c r="AI6" s="5">
        <v>42000</v>
      </c>
      <c r="AJ6">
        <v>42000</v>
      </c>
    </row>
    <row r="7" spans="1:74" x14ac:dyDescent="0.25">
      <c r="A7" s="5" t="s">
        <v>1349</v>
      </c>
      <c r="B7" s="3">
        <v>43451</v>
      </c>
      <c r="C7" t="s">
        <v>1325</v>
      </c>
      <c r="D7" t="s">
        <v>1326</v>
      </c>
      <c r="E7" t="s">
        <v>1326</v>
      </c>
      <c r="F7">
        <v>55000</v>
      </c>
      <c r="G7" t="s">
        <v>1350</v>
      </c>
      <c r="H7" s="3">
        <v>43451</v>
      </c>
      <c r="I7" t="s">
        <v>66</v>
      </c>
      <c r="J7">
        <v>50000</v>
      </c>
      <c r="K7" s="1" t="s">
        <v>67</v>
      </c>
      <c r="M7" s="3">
        <v>43455</v>
      </c>
      <c r="N7" t="s">
        <v>54</v>
      </c>
      <c r="O7" t="s">
        <v>1191</v>
      </c>
      <c r="P7" t="s">
        <v>56</v>
      </c>
      <c r="Q7">
        <v>44000</v>
      </c>
      <c r="AG7" s="5" t="s">
        <v>1351</v>
      </c>
      <c r="AH7" s="3">
        <v>43502</v>
      </c>
      <c r="AI7" s="5">
        <v>55000</v>
      </c>
      <c r="AJ7">
        <v>55000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workbookViewId="0">
      <pane xSplit="6" ySplit="1" topLeftCell="AE2" activePane="bottomRight" state="frozen"/>
      <selection pane="topRight" activeCell="G1" sqref="G1"/>
      <selection pane="bottomLeft" activeCell="A2" sqref="A2"/>
      <selection pane="bottomRight" activeCell="E2" sqref="E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4" t="s">
        <v>1352</v>
      </c>
      <c r="B2" s="3">
        <v>43326</v>
      </c>
      <c r="C2" t="s">
        <v>50</v>
      </c>
      <c r="D2" t="s">
        <v>1353</v>
      </c>
      <c r="E2" t="s">
        <v>1354</v>
      </c>
      <c r="F2">
        <v>170000</v>
      </c>
      <c r="G2" t="s">
        <v>1355</v>
      </c>
      <c r="H2" s="3">
        <v>43326</v>
      </c>
      <c r="I2" t="s">
        <v>53</v>
      </c>
      <c r="J2">
        <v>165000</v>
      </c>
      <c r="K2" s="1" t="s">
        <v>67</v>
      </c>
      <c r="M2" s="3">
        <v>43329</v>
      </c>
      <c r="N2" t="s">
        <v>1336</v>
      </c>
      <c r="O2" t="s">
        <v>55</v>
      </c>
      <c r="P2" t="s">
        <v>56</v>
      </c>
      <c r="Q2">
        <v>20000</v>
      </c>
      <c r="R2" s="3">
        <v>43329</v>
      </c>
      <c r="S2" t="s">
        <v>54</v>
      </c>
      <c r="T2" t="s">
        <v>55</v>
      </c>
      <c r="U2" t="s">
        <v>56</v>
      </c>
      <c r="V2">
        <v>119000</v>
      </c>
      <c r="W2" s="3">
        <v>43413</v>
      </c>
      <c r="X2" t="s">
        <v>54</v>
      </c>
      <c r="Y2" t="s">
        <v>55</v>
      </c>
      <c r="Z2" t="s">
        <v>60</v>
      </c>
      <c r="AA2">
        <v>24500</v>
      </c>
      <c r="AG2" s="5" t="s">
        <v>1356</v>
      </c>
      <c r="AH2" s="3">
        <v>43399</v>
      </c>
      <c r="AI2" s="7">
        <v>70000</v>
      </c>
      <c r="AJ2">
        <v>70000</v>
      </c>
      <c r="AS2" t="s">
        <v>1357</v>
      </c>
      <c r="AT2" s="3">
        <v>43330</v>
      </c>
      <c r="AU2">
        <v>100000</v>
      </c>
      <c r="AV2">
        <v>0</v>
      </c>
      <c r="AW2">
        <v>0</v>
      </c>
      <c r="AX2">
        <v>0</v>
      </c>
    </row>
    <row r="3" spans="1:74" x14ac:dyDescent="0.25">
      <c r="A3" s="4" t="s">
        <v>1358</v>
      </c>
      <c r="B3" s="3">
        <v>43329</v>
      </c>
      <c r="C3" t="s">
        <v>50</v>
      </c>
      <c r="D3" t="s">
        <v>1353</v>
      </c>
      <c r="E3" t="s">
        <v>1354</v>
      </c>
      <c r="F3">
        <v>98000</v>
      </c>
      <c r="G3" t="s">
        <v>1359</v>
      </c>
      <c r="H3" s="3">
        <v>43329</v>
      </c>
      <c r="I3" t="s">
        <v>214</v>
      </c>
      <c r="J3">
        <v>90000</v>
      </c>
      <c r="K3" s="1" t="s">
        <v>67</v>
      </c>
      <c r="M3" s="3">
        <v>43337</v>
      </c>
      <c r="N3" t="s">
        <v>57</v>
      </c>
      <c r="P3" t="s">
        <v>60</v>
      </c>
      <c r="Q3">
        <v>90000</v>
      </c>
      <c r="AG3" s="5" t="s">
        <v>1360</v>
      </c>
      <c r="AH3" s="3">
        <v>43370</v>
      </c>
      <c r="AI3" s="7">
        <v>98000</v>
      </c>
      <c r="AJ3">
        <v>98000</v>
      </c>
    </row>
    <row r="4" spans="1:74" x14ac:dyDescent="0.25">
      <c r="A4" s="4" t="s">
        <v>1361</v>
      </c>
      <c r="B4" s="3">
        <v>43329</v>
      </c>
      <c r="C4" t="s">
        <v>50</v>
      </c>
      <c r="D4" t="s">
        <v>1353</v>
      </c>
      <c r="E4" t="s">
        <v>1354</v>
      </c>
      <c r="F4">
        <v>98000</v>
      </c>
      <c r="G4" t="s">
        <v>1362</v>
      </c>
      <c r="H4" s="3">
        <v>43329</v>
      </c>
      <c r="I4" t="s">
        <v>214</v>
      </c>
      <c r="J4">
        <v>90000</v>
      </c>
      <c r="K4" s="1" t="s">
        <v>67</v>
      </c>
      <c r="M4" s="3">
        <v>43337</v>
      </c>
      <c r="N4" t="s">
        <v>57</v>
      </c>
      <c r="P4" t="s">
        <v>60</v>
      </c>
      <c r="Q4">
        <v>90000</v>
      </c>
      <c r="AG4" s="5" t="s">
        <v>1363</v>
      </c>
      <c r="AH4" s="3">
        <v>43370</v>
      </c>
      <c r="AI4" s="7">
        <v>98000</v>
      </c>
      <c r="AJ4">
        <v>98000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>
      <pane xSplit="6" ySplit="1" topLeftCell="T2" activePane="bottomRight" state="frozen"/>
      <selection pane="topRight" activeCell="G1" sqref="G1"/>
      <selection pane="bottomLeft" activeCell="A2" sqref="A2"/>
      <selection pane="bottomRight" activeCell="AG7" sqref="AG7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1364</v>
      </c>
      <c r="B2" s="3">
        <v>42880</v>
      </c>
      <c r="C2" t="s">
        <v>1325</v>
      </c>
      <c r="D2" t="s">
        <v>1365</v>
      </c>
      <c r="E2" t="s">
        <v>1366</v>
      </c>
      <c r="F2">
        <v>37000</v>
      </c>
      <c r="G2" t="s">
        <v>1367</v>
      </c>
      <c r="H2" s="3">
        <v>42880</v>
      </c>
      <c r="I2" t="s">
        <v>1368</v>
      </c>
      <c r="J2">
        <v>34000</v>
      </c>
      <c r="K2" s="1"/>
      <c r="M2" s="3">
        <v>42882</v>
      </c>
      <c r="N2" t="s">
        <v>57</v>
      </c>
      <c r="O2" t="s">
        <v>1369</v>
      </c>
      <c r="P2" t="s">
        <v>56</v>
      </c>
      <c r="Q2">
        <v>2000</v>
      </c>
      <c r="R2" s="3">
        <v>42882</v>
      </c>
      <c r="S2" t="s">
        <v>54</v>
      </c>
      <c r="T2" t="s">
        <v>1370</v>
      </c>
      <c r="U2" t="s">
        <v>56</v>
      </c>
      <c r="V2">
        <v>27500</v>
      </c>
      <c r="W2" s="3">
        <v>42893</v>
      </c>
      <c r="X2" t="s">
        <v>54</v>
      </c>
      <c r="Y2" t="s">
        <v>1371</v>
      </c>
      <c r="Z2" t="s">
        <v>60</v>
      </c>
      <c r="AA2">
        <v>3900</v>
      </c>
      <c r="AG2" t="s">
        <v>1372</v>
      </c>
      <c r="AH2" s="3">
        <v>42886</v>
      </c>
      <c r="AI2">
        <v>37000</v>
      </c>
      <c r="AJ2">
        <v>0</v>
      </c>
      <c r="AS2" t="s">
        <v>1377</v>
      </c>
      <c r="AT2" s="3">
        <v>42931</v>
      </c>
      <c r="AU2">
        <v>72520</v>
      </c>
      <c r="AV2">
        <v>0</v>
      </c>
      <c r="AW2">
        <v>1480</v>
      </c>
      <c r="AX2">
        <v>0</v>
      </c>
      <c r="BQ2" t="s">
        <v>72</v>
      </c>
      <c r="BR2" t="s">
        <v>1378</v>
      </c>
    </row>
    <row r="3" spans="1:74" x14ac:dyDescent="0.25">
      <c r="A3" t="s">
        <v>1373</v>
      </c>
      <c r="B3" s="3">
        <v>42880</v>
      </c>
      <c r="C3" t="s">
        <v>1325</v>
      </c>
      <c r="D3" t="s">
        <v>1365</v>
      </c>
      <c r="E3" t="s">
        <v>1366</v>
      </c>
      <c r="F3">
        <v>37000</v>
      </c>
      <c r="G3" t="s">
        <v>1374</v>
      </c>
      <c r="H3" s="3">
        <v>42880</v>
      </c>
      <c r="I3" t="s">
        <v>1375</v>
      </c>
      <c r="J3">
        <v>34000</v>
      </c>
      <c r="K3" s="1"/>
      <c r="M3" s="3">
        <v>42882</v>
      </c>
      <c r="N3" t="s">
        <v>54</v>
      </c>
      <c r="O3" t="s">
        <v>1376</v>
      </c>
      <c r="P3" t="s">
        <v>56</v>
      </c>
      <c r="Q3">
        <v>29500</v>
      </c>
      <c r="R3" s="3">
        <v>42893</v>
      </c>
      <c r="S3" t="s">
        <v>54</v>
      </c>
      <c r="T3" t="s">
        <v>1371</v>
      </c>
      <c r="U3" t="s">
        <v>60</v>
      </c>
      <c r="V3">
        <v>3900</v>
      </c>
      <c r="AG3" t="s">
        <v>1372</v>
      </c>
      <c r="AH3" s="3">
        <v>42886</v>
      </c>
      <c r="AI3">
        <v>37000</v>
      </c>
      <c r="AJ3">
        <v>0</v>
      </c>
      <c r="AS3" t="s">
        <v>1377</v>
      </c>
      <c r="AT3" s="3">
        <v>42931</v>
      </c>
      <c r="AU3">
        <v>72520</v>
      </c>
      <c r="AV3">
        <v>0</v>
      </c>
      <c r="AW3">
        <v>1480</v>
      </c>
      <c r="AX3">
        <v>0</v>
      </c>
      <c r="BQ3" t="s">
        <v>72</v>
      </c>
      <c r="BR3" t="s">
        <v>1378</v>
      </c>
    </row>
    <row r="4" spans="1:74" x14ac:dyDescent="0.25">
      <c r="A4" t="s">
        <v>1379</v>
      </c>
      <c r="B4" s="3">
        <v>43082</v>
      </c>
      <c r="C4" t="s">
        <v>1325</v>
      </c>
      <c r="D4" t="s">
        <v>1380</v>
      </c>
      <c r="E4" t="s">
        <v>1366</v>
      </c>
      <c r="F4">
        <v>28000</v>
      </c>
      <c r="G4" t="s">
        <v>1381</v>
      </c>
      <c r="H4" s="3">
        <v>43082</v>
      </c>
      <c r="I4" t="s">
        <v>344</v>
      </c>
      <c r="J4">
        <v>25000</v>
      </c>
      <c r="K4" s="1"/>
      <c r="M4" s="3">
        <v>43082</v>
      </c>
      <c r="N4" t="s">
        <v>54</v>
      </c>
      <c r="O4" t="s">
        <v>538</v>
      </c>
      <c r="P4" t="s">
        <v>56</v>
      </c>
      <c r="Q4">
        <v>23750</v>
      </c>
      <c r="R4" s="3">
        <v>43141</v>
      </c>
      <c r="S4" t="s">
        <v>54</v>
      </c>
      <c r="T4" t="s">
        <v>494</v>
      </c>
      <c r="U4" t="s">
        <v>60</v>
      </c>
      <c r="V4">
        <v>970</v>
      </c>
      <c r="AG4" t="s">
        <v>1382</v>
      </c>
      <c r="AH4" s="3">
        <v>43130</v>
      </c>
      <c r="AI4">
        <v>28000</v>
      </c>
      <c r="AJ4">
        <v>0</v>
      </c>
      <c r="AS4" t="s">
        <v>1383</v>
      </c>
      <c r="AT4" s="3">
        <v>43189</v>
      </c>
      <c r="AU4">
        <v>27440</v>
      </c>
      <c r="AV4">
        <v>0</v>
      </c>
      <c r="AW4">
        <v>560</v>
      </c>
      <c r="AX4">
        <v>0</v>
      </c>
      <c r="BQ4" t="s">
        <v>72</v>
      </c>
      <c r="BR4" t="s">
        <v>1384</v>
      </c>
    </row>
    <row r="5" spans="1:74" x14ac:dyDescent="0.25">
      <c r="A5" t="s">
        <v>1385</v>
      </c>
      <c r="B5" s="3">
        <v>43262</v>
      </c>
      <c r="C5" t="s">
        <v>1325</v>
      </c>
      <c r="D5" t="s">
        <v>1380</v>
      </c>
      <c r="E5" t="s">
        <v>1366</v>
      </c>
      <c r="F5">
        <v>36000</v>
      </c>
      <c r="G5" t="s">
        <v>1386</v>
      </c>
      <c r="H5" s="3">
        <v>43262</v>
      </c>
      <c r="I5" t="s">
        <v>344</v>
      </c>
      <c r="J5">
        <v>33000</v>
      </c>
      <c r="K5" s="1"/>
      <c r="M5" s="3">
        <v>43263</v>
      </c>
      <c r="N5" t="s">
        <v>54</v>
      </c>
      <c r="O5" t="s">
        <v>410</v>
      </c>
      <c r="P5" t="s">
        <v>56</v>
      </c>
      <c r="Q5">
        <v>29600</v>
      </c>
      <c r="R5" s="3">
        <v>43329</v>
      </c>
      <c r="S5" t="s">
        <v>54</v>
      </c>
      <c r="T5" t="s">
        <v>538</v>
      </c>
      <c r="U5" t="s">
        <v>60</v>
      </c>
      <c r="V5">
        <v>2950</v>
      </c>
      <c r="AG5" t="s">
        <v>1387</v>
      </c>
      <c r="AH5" s="3">
        <v>43283</v>
      </c>
      <c r="AI5">
        <v>36000</v>
      </c>
      <c r="AJ5">
        <v>0</v>
      </c>
      <c r="AS5" t="s">
        <v>1388</v>
      </c>
      <c r="AT5" s="3">
        <v>43336</v>
      </c>
      <c r="AU5">
        <v>35280</v>
      </c>
      <c r="AV5">
        <v>0</v>
      </c>
      <c r="AW5">
        <v>720</v>
      </c>
      <c r="AX5">
        <v>0</v>
      </c>
      <c r="BQ5" t="s">
        <v>72</v>
      </c>
      <c r="BR5" t="s">
        <v>1389</v>
      </c>
    </row>
    <row r="6" spans="1:74" x14ac:dyDescent="0.25">
      <c r="A6" t="s">
        <v>1390</v>
      </c>
      <c r="B6" s="3">
        <v>43280</v>
      </c>
      <c r="C6" t="s">
        <v>1325</v>
      </c>
      <c r="D6" t="s">
        <v>1380</v>
      </c>
      <c r="E6" t="s">
        <v>1366</v>
      </c>
      <c r="F6">
        <v>26000</v>
      </c>
      <c r="G6" t="s">
        <v>1391</v>
      </c>
      <c r="H6" s="3">
        <v>43280</v>
      </c>
      <c r="I6" t="s">
        <v>344</v>
      </c>
      <c r="J6">
        <v>24000</v>
      </c>
      <c r="K6" s="1"/>
      <c r="M6" s="3">
        <v>43281</v>
      </c>
      <c r="N6" t="s">
        <v>1336</v>
      </c>
      <c r="O6" t="s">
        <v>494</v>
      </c>
      <c r="P6" t="s">
        <v>56</v>
      </c>
      <c r="Q6">
        <v>10000</v>
      </c>
      <c r="R6" s="3">
        <v>43281</v>
      </c>
      <c r="S6" t="s">
        <v>54</v>
      </c>
      <c r="T6" t="s">
        <v>707</v>
      </c>
      <c r="U6" t="s">
        <v>56</v>
      </c>
      <c r="V6">
        <v>10700</v>
      </c>
      <c r="W6" s="3">
        <v>43301</v>
      </c>
      <c r="X6" t="s">
        <v>54</v>
      </c>
      <c r="Y6" t="s">
        <v>816</v>
      </c>
      <c r="Z6" t="s">
        <v>60</v>
      </c>
      <c r="AA6">
        <v>2750</v>
      </c>
      <c r="AG6" t="s">
        <v>1392</v>
      </c>
      <c r="AH6" s="3">
        <v>43283</v>
      </c>
      <c r="AI6">
        <v>26000</v>
      </c>
      <c r="AJ6">
        <v>0</v>
      </c>
      <c r="AS6" t="s">
        <v>1388</v>
      </c>
      <c r="AT6" s="3">
        <v>43336</v>
      </c>
      <c r="AU6">
        <v>25480</v>
      </c>
      <c r="AV6">
        <v>0</v>
      </c>
      <c r="AW6">
        <v>520</v>
      </c>
      <c r="AX6">
        <v>0</v>
      </c>
      <c r="BQ6" t="s">
        <v>72</v>
      </c>
      <c r="BR6" t="s">
        <v>1389</v>
      </c>
    </row>
    <row r="7" spans="1:74" x14ac:dyDescent="0.25">
      <c r="A7" s="4" t="s">
        <v>1393</v>
      </c>
      <c r="B7" s="3">
        <v>43358</v>
      </c>
      <c r="C7" t="s">
        <v>1325</v>
      </c>
      <c r="D7" t="s">
        <v>1380</v>
      </c>
      <c r="E7" t="s">
        <v>1366</v>
      </c>
      <c r="F7">
        <v>80000</v>
      </c>
      <c r="G7" t="s">
        <v>1394</v>
      </c>
      <c r="H7" s="3">
        <v>43358</v>
      </c>
      <c r="I7" t="s">
        <v>66</v>
      </c>
      <c r="J7">
        <v>72000</v>
      </c>
      <c r="K7" s="1" t="s">
        <v>67</v>
      </c>
      <c r="M7" s="3">
        <v>43363</v>
      </c>
      <c r="N7" t="s">
        <v>54</v>
      </c>
      <c r="O7" t="s">
        <v>69</v>
      </c>
      <c r="P7" t="s">
        <v>56</v>
      </c>
      <c r="Q7">
        <v>66200</v>
      </c>
      <c r="R7" s="3">
        <v>43445</v>
      </c>
      <c r="S7" t="s">
        <v>54</v>
      </c>
      <c r="T7" t="s">
        <v>1191</v>
      </c>
      <c r="U7" t="s">
        <v>60</v>
      </c>
      <c r="V7">
        <v>4900</v>
      </c>
      <c r="AG7" s="5" t="s">
        <v>1395</v>
      </c>
      <c r="AH7" s="3">
        <v>43433</v>
      </c>
      <c r="AI7" s="4">
        <v>80000</v>
      </c>
      <c r="AJ7">
        <v>80000</v>
      </c>
    </row>
    <row r="8" spans="1:74" x14ac:dyDescent="0.25">
      <c r="A8" t="s">
        <v>1396</v>
      </c>
      <c r="B8" s="3">
        <v>43494</v>
      </c>
      <c r="C8" t="s">
        <v>1325</v>
      </c>
      <c r="D8" t="s">
        <v>1380</v>
      </c>
      <c r="E8" t="s">
        <v>1366</v>
      </c>
      <c r="F8">
        <v>25000</v>
      </c>
      <c r="G8" t="s">
        <v>1397</v>
      </c>
      <c r="H8" s="3">
        <v>43494</v>
      </c>
      <c r="I8" t="s">
        <v>200</v>
      </c>
      <c r="J8">
        <v>22000</v>
      </c>
      <c r="K8" s="1"/>
      <c r="M8" s="3">
        <v>43495</v>
      </c>
      <c r="N8" t="s">
        <v>54</v>
      </c>
      <c r="O8" t="s">
        <v>1074</v>
      </c>
      <c r="P8" t="s">
        <v>56</v>
      </c>
      <c r="Q8">
        <v>19800</v>
      </c>
      <c r="R8" s="3">
        <v>43558</v>
      </c>
      <c r="S8" t="s">
        <v>54</v>
      </c>
      <c r="T8" t="s">
        <v>1074</v>
      </c>
      <c r="U8" t="s">
        <v>60</v>
      </c>
      <c r="V8">
        <v>1970</v>
      </c>
      <c r="AG8" t="s">
        <v>1398</v>
      </c>
      <c r="AH8" s="3">
        <v>43549</v>
      </c>
      <c r="AI8">
        <v>25000</v>
      </c>
      <c r="AJ8">
        <v>25000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9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4" sqref="E4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1399</v>
      </c>
      <c r="B2" s="3">
        <v>42419</v>
      </c>
      <c r="C2" t="s">
        <v>1400</v>
      </c>
      <c r="D2" t="s">
        <v>1401</v>
      </c>
      <c r="E2" t="s">
        <v>1400</v>
      </c>
      <c r="F2">
        <v>9000</v>
      </c>
      <c r="G2" t="s">
        <v>1402</v>
      </c>
      <c r="H2" s="3">
        <v>42419</v>
      </c>
      <c r="I2" t="s">
        <v>214</v>
      </c>
      <c r="J2">
        <v>8000</v>
      </c>
      <c r="K2" s="1"/>
      <c r="M2" s="3">
        <v>42419</v>
      </c>
      <c r="N2" t="s">
        <v>57</v>
      </c>
      <c r="P2" t="s">
        <v>56</v>
      </c>
      <c r="Q2">
        <v>6800</v>
      </c>
      <c r="R2" s="3">
        <v>42432</v>
      </c>
      <c r="S2" t="s">
        <v>57</v>
      </c>
      <c r="U2" t="s">
        <v>60</v>
      </c>
      <c r="V2">
        <v>950</v>
      </c>
      <c r="AG2" t="s">
        <v>1403</v>
      </c>
      <c r="AH2" s="3">
        <v>42422</v>
      </c>
      <c r="AI2">
        <v>9000</v>
      </c>
      <c r="AJ2">
        <v>0</v>
      </c>
      <c r="AS2" t="s">
        <v>1404</v>
      </c>
      <c r="AT2" s="3">
        <v>42478</v>
      </c>
      <c r="AU2">
        <v>8820</v>
      </c>
      <c r="AV2">
        <v>0</v>
      </c>
      <c r="AW2">
        <v>180</v>
      </c>
      <c r="AX2">
        <v>0</v>
      </c>
      <c r="BQ2" t="s">
        <v>72</v>
      </c>
      <c r="BR2" t="s">
        <v>1405</v>
      </c>
    </row>
    <row r="3" spans="1:74" x14ac:dyDescent="0.25">
      <c r="A3" t="s">
        <v>1406</v>
      </c>
      <c r="B3" s="3">
        <v>42425</v>
      </c>
      <c r="C3" t="s">
        <v>1400</v>
      </c>
      <c r="D3" t="s">
        <v>1407</v>
      </c>
      <c r="E3" t="s">
        <v>1400</v>
      </c>
      <c r="F3">
        <v>30000</v>
      </c>
      <c r="G3" t="s">
        <v>1408</v>
      </c>
      <c r="H3" s="3">
        <v>42425</v>
      </c>
      <c r="I3" t="s">
        <v>1409</v>
      </c>
      <c r="J3">
        <v>27500</v>
      </c>
      <c r="K3" s="1"/>
      <c r="M3" s="3">
        <v>42425</v>
      </c>
      <c r="N3" t="s">
        <v>57</v>
      </c>
      <c r="P3" t="s">
        <v>56</v>
      </c>
      <c r="Q3">
        <v>24200</v>
      </c>
      <c r="R3" s="3">
        <v>42499</v>
      </c>
      <c r="S3" t="s">
        <v>54</v>
      </c>
      <c r="U3" t="s">
        <v>60</v>
      </c>
      <c r="V3">
        <v>2950</v>
      </c>
      <c r="AG3" t="s">
        <v>1410</v>
      </c>
      <c r="AH3" s="3">
        <v>42467</v>
      </c>
      <c r="AI3">
        <v>30000</v>
      </c>
      <c r="AJ3">
        <v>0</v>
      </c>
      <c r="AS3" t="s">
        <v>1411</v>
      </c>
      <c r="AT3" s="3">
        <v>42557</v>
      </c>
      <c r="AU3">
        <v>29400</v>
      </c>
      <c r="AV3">
        <v>0</v>
      </c>
      <c r="AW3">
        <v>600</v>
      </c>
      <c r="AX3">
        <v>0</v>
      </c>
      <c r="BQ3" t="s">
        <v>72</v>
      </c>
      <c r="BR3" t="s">
        <v>1412</v>
      </c>
    </row>
    <row r="4" spans="1:74" x14ac:dyDescent="0.25">
      <c r="A4" s="4" t="s">
        <v>1413</v>
      </c>
      <c r="B4" s="3">
        <v>42431</v>
      </c>
      <c r="C4" t="s">
        <v>1400</v>
      </c>
      <c r="D4" t="s">
        <v>1414</v>
      </c>
      <c r="E4" t="s">
        <v>1400</v>
      </c>
      <c r="F4">
        <v>20000</v>
      </c>
      <c r="G4" t="s">
        <v>1415</v>
      </c>
      <c r="H4" s="3">
        <v>42431</v>
      </c>
      <c r="I4" t="s">
        <v>1416</v>
      </c>
      <c r="J4">
        <v>18000</v>
      </c>
      <c r="K4" s="1" t="s">
        <v>67</v>
      </c>
      <c r="M4" s="3">
        <v>42431</v>
      </c>
      <c r="N4" t="s">
        <v>57</v>
      </c>
      <c r="P4" t="s">
        <v>56</v>
      </c>
      <c r="Q4">
        <v>15600</v>
      </c>
      <c r="R4" s="3">
        <v>42508</v>
      </c>
      <c r="S4" t="s">
        <v>54</v>
      </c>
      <c r="U4" t="s">
        <v>60</v>
      </c>
      <c r="V4">
        <v>1950</v>
      </c>
      <c r="AG4" s="5" t="s">
        <v>1417</v>
      </c>
      <c r="AH4" s="3">
        <v>42494</v>
      </c>
      <c r="AI4" s="4">
        <v>20000</v>
      </c>
      <c r="AJ4">
        <v>0</v>
      </c>
      <c r="AS4" t="s">
        <v>1418</v>
      </c>
      <c r="AT4" s="3">
        <v>42640</v>
      </c>
      <c r="AU4">
        <v>20000</v>
      </c>
      <c r="AV4">
        <v>0</v>
      </c>
      <c r="AW4">
        <v>0</v>
      </c>
      <c r="AX4">
        <v>0</v>
      </c>
      <c r="BQ4" t="s">
        <v>1419</v>
      </c>
    </row>
    <row r="5" spans="1:74" x14ac:dyDescent="0.25">
      <c r="A5" t="s">
        <v>1420</v>
      </c>
      <c r="B5" s="3">
        <v>42441</v>
      </c>
      <c r="C5" t="s">
        <v>1400</v>
      </c>
      <c r="D5" t="s">
        <v>1401</v>
      </c>
      <c r="E5" t="s">
        <v>1400</v>
      </c>
      <c r="F5">
        <v>9000</v>
      </c>
      <c r="G5" t="s">
        <v>1421</v>
      </c>
      <c r="H5" s="3">
        <v>42441</v>
      </c>
      <c r="I5" t="s">
        <v>214</v>
      </c>
      <c r="J5">
        <v>8000</v>
      </c>
      <c r="K5" s="1"/>
      <c r="M5" s="3">
        <v>42441</v>
      </c>
      <c r="N5" t="s">
        <v>57</v>
      </c>
      <c r="P5" t="s">
        <v>56</v>
      </c>
      <c r="Q5">
        <v>5850</v>
      </c>
      <c r="R5" s="3">
        <v>42445</v>
      </c>
      <c r="S5" t="s">
        <v>57</v>
      </c>
      <c r="U5" t="s">
        <v>60</v>
      </c>
      <c r="V5">
        <v>1950</v>
      </c>
      <c r="AG5" t="s">
        <v>1422</v>
      </c>
      <c r="AH5" s="3">
        <v>42447</v>
      </c>
      <c r="AI5">
        <v>9000</v>
      </c>
      <c r="AJ5">
        <v>0</v>
      </c>
      <c r="AS5" t="s">
        <v>1411</v>
      </c>
      <c r="AT5" s="3">
        <v>42557</v>
      </c>
      <c r="AU5">
        <v>8820</v>
      </c>
      <c r="AV5">
        <v>0</v>
      </c>
      <c r="AW5">
        <v>180</v>
      </c>
      <c r="AX5">
        <v>0</v>
      </c>
      <c r="BQ5" t="s">
        <v>72</v>
      </c>
      <c r="BR5" t="s">
        <v>1412</v>
      </c>
    </row>
    <row r="6" spans="1:74" x14ac:dyDescent="0.25">
      <c r="A6" s="4" t="s">
        <v>1423</v>
      </c>
      <c r="B6" s="3">
        <v>42460</v>
      </c>
      <c r="C6" t="s">
        <v>1400</v>
      </c>
      <c r="D6" t="s">
        <v>1424</v>
      </c>
      <c r="E6" t="s">
        <v>1400</v>
      </c>
      <c r="F6">
        <v>62000</v>
      </c>
      <c r="G6" t="s">
        <v>1425</v>
      </c>
      <c r="H6" s="3">
        <v>42460</v>
      </c>
      <c r="I6" t="s">
        <v>91</v>
      </c>
      <c r="J6">
        <v>55000</v>
      </c>
      <c r="K6" s="1" t="s">
        <v>67</v>
      </c>
      <c r="M6" s="3">
        <v>42460</v>
      </c>
      <c r="N6" t="s">
        <v>57</v>
      </c>
      <c r="P6" t="s">
        <v>56</v>
      </c>
      <c r="Q6">
        <v>24400</v>
      </c>
      <c r="R6" s="3">
        <v>42502</v>
      </c>
      <c r="S6" t="s">
        <v>54</v>
      </c>
      <c r="U6" t="s">
        <v>60</v>
      </c>
      <c r="V6">
        <v>29700</v>
      </c>
      <c r="AG6" s="5" t="s">
        <v>1426</v>
      </c>
      <c r="AH6" s="3">
        <v>42494</v>
      </c>
      <c r="AI6" s="4">
        <v>62000</v>
      </c>
      <c r="AJ6">
        <v>0</v>
      </c>
      <c r="AS6" t="s">
        <v>1430</v>
      </c>
      <c r="AT6" s="3">
        <v>42692</v>
      </c>
      <c r="AU6">
        <v>50000</v>
      </c>
      <c r="AV6">
        <v>0</v>
      </c>
      <c r="AW6">
        <v>0</v>
      </c>
      <c r="AX6">
        <v>0</v>
      </c>
      <c r="AY6" t="s">
        <v>1431</v>
      </c>
      <c r="AZ6" s="3">
        <v>42703</v>
      </c>
      <c r="BA6">
        <v>12000</v>
      </c>
      <c r="BB6">
        <v>0</v>
      </c>
      <c r="BC6">
        <v>0</v>
      </c>
      <c r="BD6">
        <v>0</v>
      </c>
      <c r="BQ6" t="s">
        <v>72</v>
      </c>
      <c r="BR6" t="s">
        <v>1433</v>
      </c>
      <c r="BS6" t="s">
        <v>72</v>
      </c>
      <c r="BT6" t="s">
        <v>1434</v>
      </c>
    </row>
    <row r="7" spans="1:74" x14ac:dyDescent="0.25">
      <c r="A7" s="4" t="s">
        <v>1427</v>
      </c>
      <c r="B7" s="3">
        <v>42460</v>
      </c>
      <c r="C7" t="s">
        <v>1400</v>
      </c>
      <c r="D7" t="s">
        <v>1424</v>
      </c>
      <c r="E7" t="s">
        <v>1400</v>
      </c>
      <c r="F7">
        <v>62000</v>
      </c>
      <c r="G7" t="s">
        <v>1428</v>
      </c>
      <c r="H7" s="3">
        <v>42460</v>
      </c>
      <c r="I7" t="s">
        <v>91</v>
      </c>
      <c r="J7">
        <v>55000</v>
      </c>
      <c r="K7" s="1" t="s">
        <v>67</v>
      </c>
      <c r="M7" s="3">
        <v>42460</v>
      </c>
      <c r="N7" t="s">
        <v>57</v>
      </c>
      <c r="P7" t="s">
        <v>56</v>
      </c>
      <c r="Q7">
        <v>24400</v>
      </c>
      <c r="R7" s="3">
        <v>42502</v>
      </c>
      <c r="S7" t="s">
        <v>54</v>
      </c>
      <c r="U7" t="s">
        <v>60</v>
      </c>
      <c r="V7">
        <v>29700</v>
      </c>
      <c r="AG7" s="5" t="s">
        <v>1429</v>
      </c>
      <c r="AH7" s="3">
        <v>42494</v>
      </c>
      <c r="AI7" s="4">
        <v>62000</v>
      </c>
      <c r="AJ7">
        <v>0</v>
      </c>
      <c r="AS7" t="s">
        <v>1432</v>
      </c>
      <c r="AT7" s="3">
        <v>42734</v>
      </c>
      <c r="AU7">
        <v>62000</v>
      </c>
      <c r="AV7">
        <v>0</v>
      </c>
      <c r="AW7">
        <v>0</v>
      </c>
      <c r="AX7">
        <v>0</v>
      </c>
      <c r="BQ7" t="s">
        <v>72</v>
      </c>
      <c r="BR7" t="s">
        <v>1435</v>
      </c>
    </row>
    <row r="8" spans="1:74" x14ac:dyDescent="0.25">
      <c r="A8" t="s">
        <v>1436</v>
      </c>
      <c r="B8" s="3">
        <v>42472</v>
      </c>
      <c r="C8" t="s">
        <v>1400</v>
      </c>
      <c r="D8" t="s">
        <v>1407</v>
      </c>
      <c r="E8" t="s">
        <v>1400</v>
      </c>
      <c r="F8">
        <v>30000</v>
      </c>
      <c r="G8" t="s">
        <v>1437</v>
      </c>
      <c r="H8" s="3">
        <v>42472</v>
      </c>
      <c r="I8" t="s">
        <v>1438</v>
      </c>
      <c r="J8">
        <v>27000</v>
      </c>
      <c r="K8" s="1"/>
      <c r="M8" s="3">
        <v>42472</v>
      </c>
      <c r="N8" t="s">
        <v>57</v>
      </c>
      <c r="P8" t="s">
        <v>56</v>
      </c>
      <c r="Q8">
        <v>23700</v>
      </c>
      <c r="R8" s="3">
        <v>42521</v>
      </c>
      <c r="S8" t="s">
        <v>54</v>
      </c>
      <c r="U8" t="s">
        <v>60</v>
      </c>
      <c r="V8">
        <v>2950</v>
      </c>
      <c r="AG8" t="s">
        <v>1439</v>
      </c>
      <c r="AH8" s="3">
        <v>42489</v>
      </c>
      <c r="AI8">
        <v>30000</v>
      </c>
      <c r="AJ8">
        <v>0</v>
      </c>
      <c r="AS8" t="s">
        <v>1411</v>
      </c>
      <c r="AT8" s="3">
        <v>42557</v>
      </c>
      <c r="AU8">
        <v>29400</v>
      </c>
      <c r="AV8">
        <v>0</v>
      </c>
      <c r="AW8">
        <v>600</v>
      </c>
      <c r="AX8">
        <v>0</v>
      </c>
      <c r="BQ8" t="s">
        <v>72</v>
      </c>
      <c r="BR8" t="s">
        <v>1412</v>
      </c>
    </row>
    <row r="9" spans="1:74" x14ac:dyDescent="0.25">
      <c r="A9" t="s">
        <v>1440</v>
      </c>
      <c r="B9" s="3">
        <v>42489</v>
      </c>
      <c r="C9" t="s">
        <v>1400</v>
      </c>
      <c r="D9" t="s">
        <v>1441</v>
      </c>
      <c r="E9" t="s">
        <v>1400</v>
      </c>
      <c r="F9">
        <v>85000</v>
      </c>
      <c r="G9" t="s">
        <v>1442</v>
      </c>
      <c r="H9" s="3">
        <v>42489</v>
      </c>
      <c r="I9" t="s">
        <v>214</v>
      </c>
      <c r="J9">
        <v>78000</v>
      </c>
      <c r="K9" s="1"/>
      <c r="M9" s="3">
        <v>42489</v>
      </c>
      <c r="N9" t="s">
        <v>57</v>
      </c>
      <c r="P9" t="s">
        <v>56</v>
      </c>
      <c r="Q9">
        <v>20000</v>
      </c>
      <c r="R9" s="3">
        <v>42489</v>
      </c>
      <c r="S9" t="s">
        <v>54</v>
      </c>
      <c r="U9" t="s">
        <v>56</v>
      </c>
      <c r="V9">
        <v>42300</v>
      </c>
      <c r="W9" s="3">
        <v>42514</v>
      </c>
      <c r="X9" t="s">
        <v>54</v>
      </c>
      <c r="Z9" t="s">
        <v>60</v>
      </c>
      <c r="AA9">
        <v>14800</v>
      </c>
      <c r="AG9" t="s">
        <v>1443</v>
      </c>
      <c r="AH9" s="3">
        <v>42508</v>
      </c>
      <c r="AI9">
        <v>85000</v>
      </c>
      <c r="AJ9">
        <v>0</v>
      </c>
      <c r="AS9" t="s">
        <v>1444</v>
      </c>
      <c r="AT9" s="3">
        <v>42658</v>
      </c>
      <c r="AU9">
        <v>83300</v>
      </c>
      <c r="AV9">
        <v>0</v>
      </c>
      <c r="AW9">
        <v>1700</v>
      </c>
      <c r="AX9">
        <v>0</v>
      </c>
      <c r="BQ9" t="s">
        <v>72</v>
      </c>
      <c r="BR9" t="s">
        <v>1445</v>
      </c>
    </row>
    <row r="10" spans="1:74" x14ac:dyDescent="0.25">
      <c r="A10" s="4" t="s">
        <v>1446</v>
      </c>
      <c r="B10" s="3">
        <v>42495</v>
      </c>
      <c r="C10" t="s">
        <v>1447</v>
      </c>
      <c r="D10" t="s">
        <v>1448</v>
      </c>
      <c r="E10" t="s">
        <v>1400</v>
      </c>
      <c r="F10">
        <v>146450</v>
      </c>
      <c r="G10" t="s">
        <v>1449</v>
      </c>
      <c r="H10" s="3">
        <v>42495</v>
      </c>
      <c r="I10" t="s">
        <v>1305</v>
      </c>
      <c r="J10">
        <v>125000</v>
      </c>
      <c r="K10" s="1" t="s">
        <v>67</v>
      </c>
      <c r="M10" s="3">
        <v>42495</v>
      </c>
      <c r="N10" t="s">
        <v>57</v>
      </c>
      <c r="P10" t="s">
        <v>56</v>
      </c>
      <c r="Q10">
        <v>20000</v>
      </c>
      <c r="R10" s="3">
        <v>42495</v>
      </c>
      <c r="S10" t="s">
        <v>54</v>
      </c>
      <c r="U10" t="s">
        <v>56</v>
      </c>
      <c r="V10">
        <v>84200</v>
      </c>
      <c r="W10" s="3">
        <v>42521</v>
      </c>
      <c r="X10" t="s">
        <v>54</v>
      </c>
      <c r="Z10" t="s">
        <v>60</v>
      </c>
      <c r="AA10">
        <v>19700</v>
      </c>
      <c r="AG10" s="5" t="s">
        <v>1450</v>
      </c>
      <c r="AH10" s="3">
        <v>42517</v>
      </c>
      <c r="AI10" s="4">
        <v>146450</v>
      </c>
      <c r="AJ10">
        <v>0</v>
      </c>
      <c r="AS10" t="s">
        <v>1455</v>
      </c>
      <c r="AT10" s="3">
        <v>42622</v>
      </c>
      <c r="AU10">
        <v>99000</v>
      </c>
      <c r="AV10">
        <v>0</v>
      </c>
      <c r="AW10">
        <v>0</v>
      </c>
      <c r="AX10">
        <v>0</v>
      </c>
      <c r="AY10" t="s">
        <v>1456</v>
      </c>
      <c r="AZ10" s="3">
        <v>42646</v>
      </c>
      <c r="BA10">
        <v>44521</v>
      </c>
      <c r="BB10">
        <v>0</v>
      </c>
      <c r="BC10">
        <v>2929</v>
      </c>
      <c r="BD10">
        <v>0</v>
      </c>
      <c r="BQ10" t="s">
        <v>1457</v>
      </c>
      <c r="BR10" t="s">
        <v>1458</v>
      </c>
      <c r="BS10" t="s">
        <v>72</v>
      </c>
      <c r="BT10" t="s">
        <v>1459</v>
      </c>
    </row>
    <row r="11" spans="1:74" x14ac:dyDescent="0.25">
      <c r="A11" s="4" t="s">
        <v>1451</v>
      </c>
      <c r="B11" s="3">
        <v>42495</v>
      </c>
      <c r="C11" t="s">
        <v>1400</v>
      </c>
      <c r="D11" t="s">
        <v>1452</v>
      </c>
      <c r="E11" t="s">
        <v>1400</v>
      </c>
      <c r="F11">
        <v>103550</v>
      </c>
      <c r="G11" t="s">
        <v>1453</v>
      </c>
      <c r="H11" s="3">
        <v>42495</v>
      </c>
      <c r="I11" t="s">
        <v>1305</v>
      </c>
      <c r="J11">
        <v>88500</v>
      </c>
      <c r="K11" s="1" t="s">
        <v>67</v>
      </c>
      <c r="M11" s="3">
        <v>42495</v>
      </c>
      <c r="N11" t="s">
        <v>57</v>
      </c>
      <c r="P11" t="s">
        <v>56</v>
      </c>
      <c r="Q11">
        <v>20000</v>
      </c>
      <c r="R11" s="3">
        <v>42495</v>
      </c>
      <c r="S11" t="s">
        <v>54</v>
      </c>
      <c r="U11" t="s">
        <v>56</v>
      </c>
      <c r="V11">
        <v>55200</v>
      </c>
      <c r="W11" s="3">
        <v>42521</v>
      </c>
      <c r="X11" t="s">
        <v>54</v>
      </c>
      <c r="Z11" t="s">
        <v>60</v>
      </c>
      <c r="AA11">
        <v>12300</v>
      </c>
      <c r="AG11" s="5" t="s">
        <v>1454</v>
      </c>
      <c r="AH11" s="3">
        <v>42517</v>
      </c>
      <c r="AI11" s="4">
        <v>103550</v>
      </c>
      <c r="AJ11">
        <v>0</v>
      </c>
      <c r="AS11" t="s">
        <v>1456</v>
      </c>
      <c r="AT11" s="3">
        <v>42646</v>
      </c>
      <c r="AU11">
        <v>101479</v>
      </c>
      <c r="AV11">
        <v>0</v>
      </c>
      <c r="AW11">
        <v>2071</v>
      </c>
      <c r="AX11">
        <v>0</v>
      </c>
      <c r="BQ11" t="s">
        <v>72</v>
      </c>
      <c r="BR11" t="s">
        <v>1459</v>
      </c>
    </row>
    <row r="12" spans="1:74" x14ac:dyDescent="0.25">
      <c r="A12" t="s">
        <v>1460</v>
      </c>
      <c r="B12" s="3">
        <v>42524</v>
      </c>
      <c r="C12" t="s">
        <v>1400</v>
      </c>
      <c r="D12" t="s">
        <v>1401</v>
      </c>
      <c r="E12" t="s">
        <v>1400</v>
      </c>
      <c r="F12">
        <v>9000</v>
      </c>
      <c r="G12" t="s">
        <v>1461</v>
      </c>
      <c r="H12" s="3">
        <v>42524</v>
      </c>
      <c r="I12" t="s">
        <v>214</v>
      </c>
      <c r="J12">
        <v>8200</v>
      </c>
      <c r="K12" s="1"/>
      <c r="M12" s="3">
        <v>42524</v>
      </c>
      <c r="N12" t="s">
        <v>57</v>
      </c>
      <c r="P12" t="s">
        <v>56</v>
      </c>
      <c r="Q12">
        <v>7000</v>
      </c>
      <c r="R12" s="3">
        <v>42525</v>
      </c>
      <c r="S12" t="s">
        <v>57</v>
      </c>
      <c r="U12" t="s">
        <v>60</v>
      </c>
      <c r="V12">
        <v>970</v>
      </c>
      <c r="AG12" t="s">
        <v>1462</v>
      </c>
      <c r="AH12" s="3">
        <v>42529</v>
      </c>
      <c r="AI12">
        <v>9000</v>
      </c>
      <c r="AJ12">
        <v>0</v>
      </c>
      <c r="AS12" t="s">
        <v>1444</v>
      </c>
      <c r="AT12" s="3">
        <v>42658</v>
      </c>
      <c r="AU12">
        <v>8820</v>
      </c>
      <c r="AV12">
        <v>0</v>
      </c>
      <c r="AW12">
        <v>180</v>
      </c>
      <c r="AX12">
        <v>0</v>
      </c>
      <c r="BQ12" t="s">
        <v>72</v>
      </c>
      <c r="BR12" t="s">
        <v>1463</v>
      </c>
    </row>
    <row r="13" spans="1:74" x14ac:dyDescent="0.25">
      <c r="A13" t="s">
        <v>1464</v>
      </c>
      <c r="B13" s="3">
        <v>42583</v>
      </c>
      <c r="C13" t="s">
        <v>1400</v>
      </c>
      <c r="D13" t="s">
        <v>1401</v>
      </c>
      <c r="E13" t="s">
        <v>1400</v>
      </c>
      <c r="F13">
        <v>9000</v>
      </c>
      <c r="G13" t="s">
        <v>1465</v>
      </c>
      <c r="H13" s="3">
        <v>42583</v>
      </c>
      <c r="I13" t="s">
        <v>214</v>
      </c>
      <c r="J13">
        <v>8000</v>
      </c>
      <c r="K13" s="1"/>
      <c r="M13" s="3">
        <v>42584</v>
      </c>
      <c r="N13" t="s">
        <v>57</v>
      </c>
      <c r="P13" t="s">
        <v>56</v>
      </c>
      <c r="Q13">
        <v>5600</v>
      </c>
      <c r="R13" s="3">
        <v>42588</v>
      </c>
      <c r="S13" t="s">
        <v>57</v>
      </c>
      <c r="U13" t="s">
        <v>60</v>
      </c>
      <c r="V13">
        <v>1950</v>
      </c>
      <c r="AG13" t="s">
        <v>1466</v>
      </c>
      <c r="AH13" s="3">
        <v>42588</v>
      </c>
      <c r="AI13">
        <v>9000</v>
      </c>
      <c r="AJ13">
        <v>0</v>
      </c>
      <c r="AS13" t="s">
        <v>1467</v>
      </c>
      <c r="AT13" s="3">
        <v>42720</v>
      </c>
      <c r="AU13">
        <v>18000</v>
      </c>
      <c r="AV13">
        <v>0</v>
      </c>
      <c r="AW13">
        <v>0</v>
      </c>
      <c r="AX13">
        <v>0</v>
      </c>
      <c r="BQ13" t="s">
        <v>72</v>
      </c>
      <c r="BR13" t="s">
        <v>1468</v>
      </c>
    </row>
    <row r="14" spans="1:74" x14ac:dyDescent="0.25">
      <c r="A14" t="s">
        <v>1469</v>
      </c>
      <c r="B14" s="3">
        <v>42585</v>
      </c>
      <c r="C14" t="s">
        <v>1400</v>
      </c>
      <c r="D14" t="s">
        <v>1401</v>
      </c>
      <c r="E14" t="s">
        <v>1400</v>
      </c>
      <c r="F14">
        <v>9000</v>
      </c>
      <c r="G14" t="s">
        <v>1470</v>
      </c>
      <c r="H14" s="3">
        <v>42585</v>
      </c>
      <c r="I14" t="s">
        <v>214</v>
      </c>
      <c r="J14">
        <v>8000</v>
      </c>
      <c r="K14" s="1"/>
      <c r="M14" s="3">
        <v>42585</v>
      </c>
      <c r="N14" t="s">
        <v>57</v>
      </c>
      <c r="P14" t="s">
        <v>56</v>
      </c>
      <c r="Q14">
        <v>5600</v>
      </c>
      <c r="R14" s="3">
        <v>42588</v>
      </c>
      <c r="S14" t="s">
        <v>57</v>
      </c>
      <c r="U14" t="s">
        <v>60</v>
      </c>
      <c r="V14">
        <v>1950</v>
      </c>
      <c r="AG14" t="s">
        <v>1466</v>
      </c>
      <c r="AH14" s="3">
        <v>42588</v>
      </c>
      <c r="AI14">
        <v>9000</v>
      </c>
      <c r="AJ14">
        <v>0</v>
      </c>
      <c r="AS14" t="s">
        <v>1467</v>
      </c>
      <c r="AT14" s="3">
        <v>42720</v>
      </c>
      <c r="AU14">
        <v>18000</v>
      </c>
      <c r="AV14">
        <v>0</v>
      </c>
      <c r="AW14">
        <v>0</v>
      </c>
      <c r="AX14">
        <v>0</v>
      </c>
      <c r="BQ14" t="s">
        <v>72</v>
      </c>
      <c r="BR14" t="s">
        <v>1468</v>
      </c>
    </row>
    <row r="15" spans="1:74" x14ac:dyDescent="0.25">
      <c r="A15" s="4" t="s">
        <v>1471</v>
      </c>
      <c r="B15" s="3">
        <v>42585</v>
      </c>
      <c r="C15" t="s">
        <v>1400</v>
      </c>
      <c r="D15" t="s">
        <v>1414</v>
      </c>
      <c r="E15" t="s">
        <v>1400</v>
      </c>
      <c r="F15">
        <v>24000</v>
      </c>
      <c r="G15" t="s">
        <v>1472</v>
      </c>
      <c r="H15" s="3">
        <v>42585</v>
      </c>
      <c r="I15" t="s">
        <v>214</v>
      </c>
      <c r="J15">
        <v>22000</v>
      </c>
      <c r="K15" s="1" t="s">
        <v>67</v>
      </c>
      <c r="M15" s="3">
        <v>42585</v>
      </c>
      <c r="N15" t="s">
        <v>57</v>
      </c>
      <c r="P15" t="s">
        <v>56</v>
      </c>
      <c r="Q15">
        <v>19500</v>
      </c>
      <c r="R15" s="3">
        <v>42667</v>
      </c>
      <c r="S15" t="s">
        <v>57</v>
      </c>
      <c r="U15" t="s">
        <v>60</v>
      </c>
      <c r="V15">
        <v>1950</v>
      </c>
      <c r="AG15" s="5" t="s">
        <v>1473</v>
      </c>
      <c r="AH15" s="3">
        <v>42667</v>
      </c>
      <c r="AI15" s="4">
        <v>24000</v>
      </c>
      <c r="AJ15">
        <v>0</v>
      </c>
      <c r="AS15" t="s">
        <v>1474</v>
      </c>
      <c r="AT15" s="3">
        <v>42909</v>
      </c>
      <c r="AU15">
        <v>23520</v>
      </c>
      <c r="AV15">
        <v>0</v>
      </c>
      <c r="AW15">
        <v>480</v>
      </c>
      <c r="AX15">
        <v>0</v>
      </c>
      <c r="BQ15" t="s">
        <v>72</v>
      </c>
      <c r="BR15" t="s">
        <v>1475</v>
      </c>
    </row>
    <row r="16" spans="1:74" x14ac:dyDescent="0.25">
      <c r="A16" t="s">
        <v>1476</v>
      </c>
      <c r="B16" s="3">
        <v>42633</v>
      </c>
      <c r="C16" t="s">
        <v>1400</v>
      </c>
      <c r="D16" t="s">
        <v>1477</v>
      </c>
      <c r="E16" t="s">
        <v>1400</v>
      </c>
      <c r="F16">
        <v>101000</v>
      </c>
      <c r="G16" t="s">
        <v>1478</v>
      </c>
      <c r="H16" s="3">
        <v>42633</v>
      </c>
      <c r="I16" t="s">
        <v>214</v>
      </c>
      <c r="J16">
        <v>86000</v>
      </c>
      <c r="K16" s="1"/>
      <c r="M16" s="3">
        <v>42633</v>
      </c>
      <c r="N16" t="s">
        <v>54</v>
      </c>
      <c r="P16" t="s">
        <v>56</v>
      </c>
      <c r="Q16">
        <v>51200</v>
      </c>
      <c r="R16" s="3">
        <v>42634</v>
      </c>
      <c r="S16" t="s">
        <v>57</v>
      </c>
      <c r="U16" t="s">
        <v>56</v>
      </c>
      <c r="V16">
        <v>19000</v>
      </c>
      <c r="W16" s="3">
        <v>42689</v>
      </c>
      <c r="X16" t="s">
        <v>54</v>
      </c>
      <c r="Z16" t="s">
        <v>60</v>
      </c>
      <c r="AA16">
        <v>14800</v>
      </c>
      <c r="AG16" t="s">
        <v>1479</v>
      </c>
      <c r="AH16" s="3">
        <v>42657</v>
      </c>
      <c r="AI16">
        <v>101000</v>
      </c>
      <c r="AJ16">
        <v>0</v>
      </c>
      <c r="AS16" t="s">
        <v>1432</v>
      </c>
      <c r="AT16" s="3">
        <v>42734</v>
      </c>
      <c r="AU16">
        <v>98980</v>
      </c>
      <c r="AV16">
        <v>0</v>
      </c>
      <c r="AW16">
        <v>2020</v>
      </c>
      <c r="AX16">
        <v>0</v>
      </c>
      <c r="BQ16" t="s">
        <v>72</v>
      </c>
      <c r="BR16" t="s">
        <v>1480</v>
      </c>
    </row>
    <row r="17" spans="1:76" x14ac:dyDescent="0.25">
      <c r="A17" t="s">
        <v>1481</v>
      </c>
      <c r="B17" s="3">
        <v>42634</v>
      </c>
      <c r="C17" t="s">
        <v>1400</v>
      </c>
      <c r="D17" t="s">
        <v>1477</v>
      </c>
      <c r="E17" t="s">
        <v>1400</v>
      </c>
      <c r="F17">
        <v>264000</v>
      </c>
      <c r="G17" t="s">
        <v>1482</v>
      </c>
      <c r="H17" s="3">
        <v>42634</v>
      </c>
      <c r="I17" t="s">
        <v>1483</v>
      </c>
      <c r="J17">
        <v>235000</v>
      </c>
      <c r="K17" s="1"/>
      <c r="M17" s="3">
        <v>42635</v>
      </c>
      <c r="N17" t="s">
        <v>54</v>
      </c>
      <c r="P17" t="s">
        <v>56</v>
      </c>
      <c r="Q17">
        <v>166500</v>
      </c>
      <c r="R17" s="3">
        <v>42635</v>
      </c>
      <c r="S17" t="s">
        <v>57</v>
      </c>
      <c r="U17" t="s">
        <v>56</v>
      </c>
      <c r="V17">
        <v>20000</v>
      </c>
      <c r="W17" s="3">
        <v>42723</v>
      </c>
      <c r="X17" t="s">
        <v>54</v>
      </c>
      <c r="Z17" t="s">
        <v>60</v>
      </c>
      <c r="AA17">
        <v>46500</v>
      </c>
      <c r="AG17" t="s">
        <v>1484</v>
      </c>
      <c r="AH17" s="3">
        <v>42657</v>
      </c>
      <c r="AI17">
        <v>264000</v>
      </c>
      <c r="AJ17">
        <v>0</v>
      </c>
      <c r="AS17" t="s">
        <v>1485</v>
      </c>
      <c r="AT17" s="3">
        <v>42747</v>
      </c>
      <c r="AU17">
        <v>75000</v>
      </c>
      <c r="AV17">
        <v>0</v>
      </c>
      <c r="AW17">
        <v>0</v>
      </c>
      <c r="AX17">
        <v>0</v>
      </c>
      <c r="AY17" t="s">
        <v>1486</v>
      </c>
      <c r="AZ17" s="3">
        <v>42748</v>
      </c>
      <c r="BA17">
        <v>99000</v>
      </c>
      <c r="BB17">
        <v>0</v>
      </c>
      <c r="BC17">
        <v>0</v>
      </c>
      <c r="BD17">
        <v>0</v>
      </c>
      <c r="BE17" t="s">
        <v>2128</v>
      </c>
      <c r="BF17" s="3">
        <v>42783</v>
      </c>
      <c r="BG17">
        <v>78360</v>
      </c>
      <c r="BH17">
        <v>0</v>
      </c>
      <c r="BI17">
        <v>0</v>
      </c>
      <c r="BJ17">
        <v>0</v>
      </c>
      <c r="BK17" t="s">
        <v>2129</v>
      </c>
      <c r="BL17" s="3">
        <v>43080</v>
      </c>
      <c r="BM17">
        <v>6360</v>
      </c>
      <c r="BN17">
        <v>0</v>
      </c>
      <c r="BO17">
        <v>5280</v>
      </c>
      <c r="BP17">
        <v>0</v>
      </c>
      <c r="BQ17" t="s">
        <v>1419</v>
      </c>
      <c r="BR17" t="s">
        <v>1487</v>
      </c>
      <c r="BS17" t="s">
        <v>72</v>
      </c>
      <c r="BT17" t="s">
        <v>1488</v>
      </c>
      <c r="BU17" t="s">
        <v>72</v>
      </c>
      <c r="BV17" t="s">
        <v>1489</v>
      </c>
      <c r="BW17" t="s">
        <v>72</v>
      </c>
      <c r="BX17" t="s">
        <v>1490</v>
      </c>
    </row>
    <row r="18" spans="1:76" x14ac:dyDescent="0.25">
      <c r="A18" t="s">
        <v>1491</v>
      </c>
      <c r="B18" s="3">
        <v>42647</v>
      </c>
      <c r="C18" t="s">
        <v>1400</v>
      </c>
      <c r="D18" t="s">
        <v>1492</v>
      </c>
      <c r="E18" t="s">
        <v>1400</v>
      </c>
      <c r="F18">
        <v>13500</v>
      </c>
      <c r="G18" t="s">
        <v>1493</v>
      </c>
      <c r="H18" s="3">
        <v>42647</v>
      </c>
      <c r="I18" t="s">
        <v>230</v>
      </c>
      <c r="J18">
        <v>11000</v>
      </c>
      <c r="K18" s="1"/>
      <c r="M18" s="3">
        <v>42647</v>
      </c>
      <c r="N18" t="s">
        <v>57</v>
      </c>
      <c r="P18" t="s">
        <v>56</v>
      </c>
      <c r="Q18">
        <v>9800</v>
      </c>
      <c r="R18" s="3">
        <v>42681</v>
      </c>
      <c r="S18" t="s">
        <v>57</v>
      </c>
      <c r="U18" t="s">
        <v>60</v>
      </c>
      <c r="V18">
        <v>950</v>
      </c>
      <c r="AG18" t="s">
        <v>1494</v>
      </c>
      <c r="AH18" s="3">
        <v>42681</v>
      </c>
      <c r="AI18">
        <v>13500</v>
      </c>
      <c r="AJ18">
        <v>0</v>
      </c>
      <c r="AS18" t="s">
        <v>1495</v>
      </c>
      <c r="AT18" s="3">
        <v>42810</v>
      </c>
      <c r="AU18">
        <v>13230</v>
      </c>
      <c r="AV18">
        <v>0</v>
      </c>
      <c r="AW18">
        <v>270</v>
      </c>
      <c r="AX18">
        <v>0</v>
      </c>
      <c r="BQ18" t="s">
        <v>72</v>
      </c>
      <c r="BR18" t="s">
        <v>1496</v>
      </c>
    </row>
    <row r="19" spans="1:76" x14ac:dyDescent="0.25">
      <c r="A19" t="s">
        <v>1497</v>
      </c>
      <c r="B19" s="3">
        <v>42657</v>
      </c>
      <c r="C19" t="s">
        <v>1400</v>
      </c>
      <c r="D19" t="s">
        <v>1498</v>
      </c>
      <c r="E19" t="s">
        <v>1400</v>
      </c>
      <c r="F19">
        <v>8000</v>
      </c>
      <c r="G19" t="s">
        <v>1499</v>
      </c>
      <c r="H19" s="3">
        <v>42657</v>
      </c>
      <c r="I19" t="s">
        <v>230</v>
      </c>
      <c r="J19">
        <v>7000</v>
      </c>
      <c r="K19" s="1"/>
      <c r="M19" s="3">
        <v>42657</v>
      </c>
      <c r="N19" t="s">
        <v>57</v>
      </c>
      <c r="P19" t="s">
        <v>56</v>
      </c>
      <c r="Q19">
        <v>5900</v>
      </c>
      <c r="R19" s="3">
        <v>42681</v>
      </c>
      <c r="S19" t="s">
        <v>57</v>
      </c>
      <c r="U19" t="s">
        <v>60</v>
      </c>
      <c r="V19">
        <v>950</v>
      </c>
      <c r="AG19" t="s">
        <v>1500</v>
      </c>
      <c r="AH19" s="3">
        <v>42681</v>
      </c>
      <c r="AI19">
        <v>8000</v>
      </c>
      <c r="AJ19">
        <v>0</v>
      </c>
      <c r="AS19" t="s">
        <v>1495</v>
      </c>
      <c r="AT19" s="3">
        <v>42810</v>
      </c>
      <c r="AU19">
        <v>7840</v>
      </c>
      <c r="AV19">
        <v>0</v>
      </c>
      <c r="AW19">
        <v>160</v>
      </c>
      <c r="AX19">
        <v>0</v>
      </c>
      <c r="BQ19" t="s">
        <v>72</v>
      </c>
      <c r="BR19" t="s">
        <v>1501</v>
      </c>
    </row>
    <row r="20" spans="1:76" x14ac:dyDescent="0.25">
      <c r="A20" s="4" t="s">
        <v>1502</v>
      </c>
      <c r="B20" s="3">
        <v>42674</v>
      </c>
      <c r="C20" t="s">
        <v>1400</v>
      </c>
      <c r="D20" t="s">
        <v>1503</v>
      </c>
      <c r="E20" t="s">
        <v>1400</v>
      </c>
      <c r="F20">
        <v>65000</v>
      </c>
      <c r="G20" t="s">
        <v>1504</v>
      </c>
      <c r="H20" s="3">
        <v>42676</v>
      </c>
      <c r="I20" t="s">
        <v>107</v>
      </c>
      <c r="J20">
        <v>58000</v>
      </c>
      <c r="K20" s="1" t="s">
        <v>67</v>
      </c>
      <c r="M20" s="3">
        <v>42676</v>
      </c>
      <c r="N20" t="s">
        <v>57</v>
      </c>
      <c r="P20" t="s">
        <v>56</v>
      </c>
      <c r="Q20">
        <v>14500</v>
      </c>
      <c r="R20" s="3">
        <v>42676</v>
      </c>
      <c r="S20" t="s">
        <v>54</v>
      </c>
      <c r="U20" t="s">
        <v>56</v>
      </c>
      <c r="V20">
        <v>15000</v>
      </c>
      <c r="W20" s="3">
        <v>42723</v>
      </c>
      <c r="X20" t="s">
        <v>54</v>
      </c>
      <c r="Z20" t="s">
        <v>60</v>
      </c>
      <c r="AA20">
        <v>27500</v>
      </c>
      <c r="AG20" s="5" t="s">
        <v>1505</v>
      </c>
      <c r="AH20" s="3">
        <v>42712</v>
      </c>
      <c r="AI20" s="4">
        <v>65000</v>
      </c>
      <c r="AJ20">
        <v>0</v>
      </c>
      <c r="AS20" t="s">
        <v>1511</v>
      </c>
      <c r="AT20" s="3">
        <v>42916</v>
      </c>
      <c r="AU20">
        <v>63700</v>
      </c>
      <c r="AV20">
        <v>0</v>
      </c>
      <c r="AW20">
        <v>1300</v>
      </c>
      <c r="AX20">
        <v>0</v>
      </c>
      <c r="BQ20" t="s">
        <v>72</v>
      </c>
      <c r="BR20" t="s">
        <v>1512</v>
      </c>
    </row>
    <row r="21" spans="1:76" x14ac:dyDescent="0.25">
      <c r="A21" t="s">
        <v>1506</v>
      </c>
      <c r="B21" s="3">
        <v>42676</v>
      </c>
      <c r="C21" t="s">
        <v>1400</v>
      </c>
      <c r="D21" t="s">
        <v>1507</v>
      </c>
      <c r="E21" t="s">
        <v>1400</v>
      </c>
      <c r="F21">
        <v>28000</v>
      </c>
      <c r="G21" t="s">
        <v>1508</v>
      </c>
      <c r="H21" s="3">
        <v>42676</v>
      </c>
      <c r="I21" t="s">
        <v>1509</v>
      </c>
      <c r="J21">
        <v>25000</v>
      </c>
      <c r="K21" s="1"/>
      <c r="M21" s="3">
        <v>42678</v>
      </c>
      <c r="N21" t="s">
        <v>57</v>
      </c>
      <c r="P21" t="s">
        <v>56</v>
      </c>
      <c r="Q21">
        <v>22750</v>
      </c>
      <c r="R21" s="3">
        <v>42705</v>
      </c>
      <c r="S21" t="s">
        <v>54</v>
      </c>
      <c r="U21" t="s">
        <v>60</v>
      </c>
      <c r="V21">
        <v>1950</v>
      </c>
      <c r="AG21" t="s">
        <v>1510</v>
      </c>
      <c r="AH21" s="3">
        <v>42698</v>
      </c>
      <c r="AI21">
        <v>28000</v>
      </c>
      <c r="AJ21">
        <v>0</v>
      </c>
      <c r="AS21" t="s">
        <v>1495</v>
      </c>
      <c r="AT21" s="3">
        <v>42810</v>
      </c>
      <c r="AU21">
        <v>27440</v>
      </c>
      <c r="AV21">
        <v>0</v>
      </c>
      <c r="AW21">
        <v>560</v>
      </c>
      <c r="AX21">
        <v>0</v>
      </c>
      <c r="BQ21" t="s">
        <v>72</v>
      </c>
      <c r="BR21" t="s">
        <v>1496</v>
      </c>
    </row>
    <row r="22" spans="1:76" x14ac:dyDescent="0.25">
      <c r="A22" t="s">
        <v>1513</v>
      </c>
      <c r="B22" s="3">
        <v>42698</v>
      </c>
      <c r="C22" t="s">
        <v>1400</v>
      </c>
      <c r="D22" t="s">
        <v>1401</v>
      </c>
      <c r="E22" t="s">
        <v>1400</v>
      </c>
      <c r="F22">
        <v>10000</v>
      </c>
      <c r="G22" t="s">
        <v>1514</v>
      </c>
      <c r="H22" s="3">
        <v>42698</v>
      </c>
      <c r="I22" t="s">
        <v>1515</v>
      </c>
      <c r="J22">
        <v>9000</v>
      </c>
      <c r="K22" s="1"/>
      <c r="M22" s="3">
        <v>42698</v>
      </c>
      <c r="N22" t="s">
        <v>57</v>
      </c>
      <c r="P22" t="s">
        <v>56</v>
      </c>
      <c r="Q22">
        <v>5850</v>
      </c>
      <c r="R22" s="3">
        <v>42753</v>
      </c>
      <c r="S22" t="s">
        <v>54</v>
      </c>
      <c r="U22" t="s">
        <v>60</v>
      </c>
      <c r="V22">
        <v>2950</v>
      </c>
      <c r="AG22" s="10" t="s">
        <v>1516</v>
      </c>
      <c r="AH22" s="3">
        <v>42739</v>
      </c>
      <c r="AI22">
        <v>10000</v>
      </c>
      <c r="AJ22">
        <v>0</v>
      </c>
      <c r="AS22" t="s">
        <v>1517</v>
      </c>
      <c r="AT22" s="3">
        <v>42838</v>
      </c>
      <c r="AU22">
        <v>9800</v>
      </c>
      <c r="AV22">
        <v>0</v>
      </c>
      <c r="AW22">
        <v>200</v>
      </c>
      <c r="AX22">
        <v>0</v>
      </c>
      <c r="BQ22" t="s">
        <v>72</v>
      </c>
      <c r="BR22" t="s">
        <v>1518</v>
      </c>
    </row>
    <row r="23" spans="1:76" x14ac:dyDescent="0.25">
      <c r="A23" s="5" t="s">
        <v>1519</v>
      </c>
      <c r="B23" s="3">
        <v>42702</v>
      </c>
      <c r="C23" t="s">
        <v>1400</v>
      </c>
      <c r="D23" t="s">
        <v>1520</v>
      </c>
      <c r="E23" t="s">
        <v>1400</v>
      </c>
      <c r="F23">
        <v>60000</v>
      </c>
      <c r="G23" t="s">
        <v>1521</v>
      </c>
      <c r="H23" s="3">
        <v>42703</v>
      </c>
      <c r="I23" t="s">
        <v>107</v>
      </c>
      <c r="J23">
        <v>53000</v>
      </c>
      <c r="K23" s="1" t="s">
        <v>67</v>
      </c>
      <c r="M23" s="3">
        <v>42703</v>
      </c>
      <c r="N23" t="s">
        <v>54</v>
      </c>
      <c r="P23" t="s">
        <v>56</v>
      </c>
      <c r="Q23">
        <v>32000</v>
      </c>
      <c r="R23" s="3">
        <v>42703</v>
      </c>
      <c r="S23" t="s">
        <v>57</v>
      </c>
      <c r="U23" t="s">
        <v>56</v>
      </c>
      <c r="V23">
        <v>10000</v>
      </c>
      <c r="W23" s="3">
        <v>42776</v>
      </c>
      <c r="X23" t="s">
        <v>54</v>
      </c>
      <c r="Z23" t="s">
        <v>60</v>
      </c>
      <c r="AA23">
        <v>9800</v>
      </c>
      <c r="AG23" s="5" t="s">
        <v>1522</v>
      </c>
      <c r="AH23" s="3">
        <v>42772</v>
      </c>
      <c r="AI23" s="5">
        <v>60000</v>
      </c>
      <c r="AJ23">
        <v>0</v>
      </c>
      <c r="AS23" t="s">
        <v>1523</v>
      </c>
      <c r="AT23" s="3">
        <v>42873</v>
      </c>
      <c r="AU23">
        <v>60000</v>
      </c>
      <c r="AV23">
        <v>0</v>
      </c>
      <c r="AW23">
        <v>0</v>
      </c>
      <c r="AX23">
        <v>0</v>
      </c>
      <c r="BQ23" t="s">
        <v>72</v>
      </c>
      <c r="BR23" t="s">
        <v>1524</v>
      </c>
    </row>
    <row r="24" spans="1:76" x14ac:dyDescent="0.25">
      <c r="A24" t="s">
        <v>1525</v>
      </c>
      <c r="B24" s="3">
        <v>42711</v>
      </c>
      <c r="C24" t="s">
        <v>1400</v>
      </c>
      <c r="D24" t="s">
        <v>1526</v>
      </c>
      <c r="E24" t="s">
        <v>1400</v>
      </c>
      <c r="F24">
        <v>14000</v>
      </c>
      <c r="G24" t="s">
        <v>1527</v>
      </c>
      <c r="H24" s="3">
        <v>42711</v>
      </c>
      <c r="I24" t="s">
        <v>1528</v>
      </c>
      <c r="J24">
        <v>12000</v>
      </c>
      <c r="K24" s="1"/>
      <c r="M24" s="3">
        <v>42711</v>
      </c>
      <c r="N24" t="s">
        <v>57</v>
      </c>
      <c r="P24" t="s">
        <v>56</v>
      </c>
      <c r="Q24">
        <v>10800</v>
      </c>
      <c r="R24" s="3">
        <v>42721</v>
      </c>
      <c r="S24" t="s">
        <v>54</v>
      </c>
      <c r="U24" t="s">
        <v>60</v>
      </c>
      <c r="V24">
        <v>950</v>
      </c>
      <c r="AG24" s="10" t="s">
        <v>1529</v>
      </c>
      <c r="AH24" s="3">
        <v>42739</v>
      </c>
      <c r="AI24">
        <v>14000</v>
      </c>
      <c r="AJ24">
        <v>0</v>
      </c>
      <c r="AS24" t="s">
        <v>1517</v>
      </c>
      <c r="AT24" s="3">
        <v>42838</v>
      </c>
      <c r="AU24">
        <v>13720</v>
      </c>
      <c r="AV24">
        <v>0</v>
      </c>
      <c r="AW24">
        <v>280</v>
      </c>
      <c r="AX24">
        <v>0</v>
      </c>
      <c r="BQ24" t="s">
        <v>72</v>
      </c>
      <c r="BR24" t="s">
        <v>1518</v>
      </c>
    </row>
    <row r="25" spans="1:76" x14ac:dyDescent="0.25">
      <c r="A25" t="s">
        <v>1530</v>
      </c>
      <c r="B25" s="3">
        <v>42711</v>
      </c>
      <c r="C25" t="s">
        <v>1400</v>
      </c>
      <c r="D25" t="s">
        <v>1401</v>
      </c>
      <c r="E25" t="s">
        <v>1400</v>
      </c>
      <c r="F25">
        <v>10000</v>
      </c>
      <c r="G25" t="s">
        <v>1531</v>
      </c>
      <c r="H25" s="3">
        <v>42711</v>
      </c>
      <c r="I25" t="s">
        <v>1515</v>
      </c>
      <c r="J25">
        <v>9000</v>
      </c>
      <c r="K25" s="1"/>
      <c r="M25" s="3">
        <v>42711</v>
      </c>
      <c r="N25" t="s">
        <v>57</v>
      </c>
      <c r="P25" t="s">
        <v>56</v>
      </c>
      <c r="Q25">
        <v>5600</v>
      </c>
      <c r="R25" s="3">
        <v>42753</v>
      </c>
      <c r="S25" t="s">
        <v>54</v>
      </c>
      <c r="U25" t="s">
        <v>60</v>
      </c>
      <c r="V25">
        <v>2950</v>
      </c>
      <c r="AG25" s="10" t="s">
        <v>1532</v>
      </c>
      <c r="AH25" s="3">
        <v>42739</v>
      </c>
      <c r="AI25">
        <v>10000</v>
      </c>
      <c r="AJ25">
        <v>0</v>
      </c>
      <c r="AS25" t="s">
        <v>1517</v>
      </c>
      <c r="AT25" s="3">
        <v>42838</v>
      </c>
      <c r="AU25">
        <v>9800</v>
      </c>
      <c r="AV25">
        <v>0</v>
      </c>
      <c r="AW25">
        <v>200</v>
      </c>
      <c r="AX25">
        <v>0</v>
      </c>
      <c r="BQ25" t="s">
        <v>72</v>
      </c>
      <c r="BR25" t="s">
        <v>1518</v>
      </c>
    </row>
    <row r="26" spans="1:76" x14ac:dyDescent="0.25">
      <c r="A26" t="s">
        <v>1533</v>
      </c>
      <c r="B26" s="3">
        <v>42740</v>
      </c>
      <c r="C26" t="s">
        <v>1400</v>
      </c>
      <c r="D26" t="s">
        <v>1401</v>
      </c>
      <c r="E26" t="s">
        <v>1400</v>
      </c>
      <c r="F26">
        <v>10000</v>
      </c>
      <c r="G26" t="s">
        <v>1534</v>
      </c>
      <c r="H26" s="3">
        <v>42740</v>
      </c>
      <c r="I26" t="s">
        <v>214</v>
      </c>
      <c r="J26">
        <v>9000</v>
      </c>
      <c r="K26" s="1"/>
      <c r="M26" s="3">
        <v>42740</v>
      </c>
      <c r="N26" t="s">
        <v>57</v>
      </c>
      <c r="P26" t="s">
        <v>56</v>
      </c>
      <c r="Q26">
        <v>5800</v>
      </c>
      <c r="R26" s="3">
        <v>42810</v>
      </c>
      <c r="S26" t="s">
        <v>54</v>
      </c>
      <c r="U26" t="s">
        <v>60</v>
      </c>
      <c r="V26">
        <v>2900</v>
      </c>
      <c r="AG26" s="10" t="s">
        <v>1535</v>
      </c>
      <c r="AH26" s="3">
        <v>42762</v>
      </c>
      <c r="AI26">
        <v>10000</v>
      </c>
      <c r="AJ26">
        <v>0</v>
      </c>
      <c r="AS26" t="s">
        <v>1517</v>
      </c>
      <c r="AT26" s="3">
        <v>42838</v>
      </c>
      <c r="AU26">
        <v>9800</v>
      </c>
      <c r="AV26">
        <v>0</v>
      </c>
      <c r="AW26">
        <v>200</v>
      </c>
      <c r="AX26">
        <v>0</v>
      </c>
      <c r="BQ26" t="s">
        <v>72</v>
      </c>
      <c r="BR26" t="s">
        <v>1518</v>
      </c>
    </row>
    <row r="27" spans="1:76" x14ac:dyDescent="0.25">
      <c r="A27" t="s">
        <v>1536</v>
      </c>
      <c r="B27" s="3">
        <v>42760</v>
      </c>
      <c r="C27" t="s">
        <v>1400</v>
      </c>
      <c r="D27" t="s">
        <v>1537</v>
      </c>
      <c r="E27" t="s">
        <v>1400</v>
      </c>
      <c r="F27">
        <v>28000</v>
      </c>
      <c r="G27" t="s">
        <v>1538</v>
      </c>
      <c r="H27" s="3">
        <v>42760</v>
      </c>
      <c r="I27" t="s">
        <v>1509</v>
      </c>
      <c r="J27">
        <v>24000</v>
      </c>
      <c r="K27" s="1"/>
      <c r="M27" s="3">
        <v>42760</v>
      </c>
      <c r="N27" t="s">
        <v>54</v>
      </c>
      <c r="P27" t="s">
        <v>56</v>
      </c>
      <c r="Q27">
        <v>20700</v>
      </c>
      <c r="R27" s="3">
        <v>42790</v>
      </c>
      <c r="S27" t="s">
        <v>54</v>
      </c>
      <c r="U27" t="s">
        <v>60</v>
      </c>
      <c r="V27">
        <v>2950</v>
      </c>
      <c r="AG27" s="10" t="s">
        <v>1539</v>
      </c>
      <c r="AH27" s="3">
        <v>42796</v>
      </c>
      <c r="AI27">
        <v>28000</v>
      </c>
      <c r="AJ27">
        <v>0</v>
      </c>
      <c r="AS27" t="s">
        <v>1542</v>
      </c>
      <c r="AT27" s="3">
        <v>42878</v>
      </c>
      <c r="AU27">
        <v>27440</v>
      </c>
      <c r="AV27">
        <v>0</v>
      </c>
      <c r="AW27">
        <v>560</v>
      </c>
      <c r="AX27">
        <v>0</v>
      </c>
      <c r="BQ27" t="s">
        <v>72</v>
      </c>
      <c r="BR27" t="s">
        <v>1543</v>
      </c>
    </row>
    <row r="28" spans="1:76" x14ac:dyDescent="0.25">
      <c r="A28" t="s">
        <v>1540</v>
      </c>
      <c r="B28" s="3">
        <v>42760</v>
      </c>
      <c r="C28" t="s">
        <v>1400</v>
      </c>
      <c r="D28" t="s">
        <v>1541</v>
      </c>
      <c r="E28" t="s">
        <v>1400</v>
      </c>
      <c r="F28">
        <v>0</v>
      </c>
      <c r="K28" s="1"/>
    </row>
    <row r="29" spans="1:76" x14ac:dyDescent="0.25">
      <c r="A29" t="s">
        <v>1544</v>
      </c>
      <c r="B29" s="3">
        <v>42766</v>
      </c>
      <c r="C29" t="s">
        <v>1400</v>
      </c>
      <c r="D29" t="s">
        <v>1401</v>
      </c>
      <c r="E29" t="s">
        <v>1400</v>
      </c>
      <c r="F29">
        <v>10000</v>
      </c>
      <c r="G29" t="s">
        <v>1545</v>
      </c>
      <c r="H29" s="3">
        <v>42766</v>
      </c>
      <c r="I29" t="s">
        <v>1375</v>
      </c>
      <c r="J29">
        <v>9000</v>
      </c>
      <c r="K29" s="1"/>
      <c r="M29" s="3">
        <v>42766</v>
      </c>
      <c r="N29" t="s">
        <v>54</v>
      </c>
      <c r="P29" t="s">
        <v>56</v>
      </c>
      <c r="Q29">
        <v>7800</v>
      </c>
      <c r="R29" s="3">
        <v>42844</v>
      </c>
      <c r="S29" t="s">
        <v>54</v>
      </c>
      <c r="T29" t="s">
        <v>1546</v>
      </c>
      <c r="U29" t="s">
        <v>60</v>
      </c>
      <c r="V29">
        <v>950</v>
      </c>
      <c r="AG29" s="10" t="s">
        <v>1547</v>
      </c>
      <c r="AH29" s="3">
        <v>42796</v>
      </c>
      <c r="AI29">
        <v>10000</v>
      </c>
      <c r="AJ29">
        <v>0</v>
      </c>
      <c r="AS29" t="s">
        <v>1542</v>
      </c>
      <c r="AT29" s="3">
        <v>42878</v>
      </c>
      <c r="AU29">
        <v>9800</v>
      </c>
      <c r="AV29">
        <v>0</v>
      </c>
      <c r="AW29">
        <v>200</v>
      </c>
      <c r="AX29">
        <v>0</v>
      </c>
      <c r="BQ29" t="s">
        <v>72</v>
      </c>
      <c r="BR29" t="s">
        <v>1543</v>
      </c>
    </row>
    <row r="30" spans="1:76" x14ac:dyDescent="0.25">
      <c r="A30" t="s">
        <v>1548</v>
      </c>
      <c r="B30" s="3">
        <v>42773</v>
      </c>
      <c r="C30" t="s">
        <v>1400</v>
      </c>
      <c r="D30" t="s">
        <v>1526</v>
      </c>
      <c r="E30" t="s">
        <v>1400</v>
      </c>
      <c r="F30">
        <v>14000</v>
      </c>
      <c r="G30" t="s">
        <v>1549</v>
      </c>
      <c r="H30" s="3">
        <v>42773</v>
      </c>
      <c r="I30" t="s">
        <v>1528</v>
      </c>
      <c r="J30">
        <v>12000</v>
      </c>
      <c r="K30" s="1"/>
      <c r="M30" s="3">
        <v>42807</v>
      </c>
      <c r="N30" t="s">
        <v>54</v>
      </c>
      <c r="P30" t="s">
        <v>56</v>
      </c>
      <c r="Q30">
        <v>9300</v>
      </c>
      <c r="R30" s="3">
        <v>43151</v>
      </c>
      <c r="S30" t="s">
        <v>57</v>
      </c>
      <c r="U30" t="s">
        <v>60</v>
      </c>
      <c r="V30">
        <v>2500</v>
      </c>
      <c r="AG30" s="10" t="s">
        <v>1550</v>
      </c>
      <c r="AH30" s="3">
        <v>42796</v>
      </c>
      <c r="AI30">
        <v>14000</v>
      </c>
      <c r="AJ30">
        <v>0</v>
      </c>
      <c r="AS30" t="s">
        <v>1542</v>
      </c>
      <c r="AT30" s="3">
        <v>42878</v>
      </c>
      <c r="AU30">
        <v>13720</v>
      </c>
      <c r="AV30">
        <v>0</v>
      </c>
      <c r="AW30">
        <v>280</v>
      </c>
      <c r="AX30">
        <v>0</v>
      </c>
      <c r="BQ30" t="s">
        <v>72</v>
      </c>
      <c r="BR30" t="s">
        <v>1543</v>
      </c>
    </row>
    <row r="31" spans="1:76" x14ac:dyDescent="0.25">
      <c r="A31" t="s">
        <v>1551</v>
      </c>
      <c r="B31" s="3">
        <v>42793</v>
      </c>
      <c r="C31" t="s">
        <v>1400</v>
      </c>
      <c r="D31" t="s">
        <v>1552</v>
      </c>
      <c r="E31" t="s">
        <v>1400</v>
      </c>
      <c r="F31">
        <v>187000</v>
      </c>
      <c r="G31" t="s">
        <v>1553</v>
      </c>
      <c r="H31" s="3">
        <v>42793</v>
      </c>
      <c r="I31" t="s">
        <v>1554</v>
      </c>
      <c r="J31">
        <v>165000</v>
      </c>
      <c r="K31" s="1"/>
      <c r="M31" s="3">
        <v>42794</v>
      </c>
      <c r="N31" t="s">
        <v>54</v>
      </c>
      <c r="P31" t="s">
        <v>56</v>
      </c>
      <c r="Q31">
        <v>130500</v>
      </c>
      <c r="R31" s="3">
        <v>42875</v>
      </c>
      <c r="S31" t="s">
        <v>54</v>
      </c>
      <c r="U31" t="s">
        <v>60</v>
      </c>
      <c r="V31">
        <v>32700</v>
      </c>
      <c r="AG31" t="s">
        <v>1555</v>
      </c>
      <c r="AH31" s="3">
        <v>42850</v>
      </c>
      <c r="AI31">
        <v>187000</v>
      </c>
      <c r="AJ31">
        <v>0</v>
      </c>
      <c r="AS31" t="s">
        <v>1556</v>
      </c>
      <c r="AT31" s="3">
        <v>42964</v>
      </c>
      <c r="AU31">
        <v>183260</v>
      </c>
      <c r="AV31">
        <v>0</v>
      </c>
      <c r="AW31">
        <v>3740</v>
      </c>
      <c r="AX31">
        <v>0</v>
      </c>
      <c r="BQ31" t="s">
        <v>72</v>
      </c>
      <c r="BR31" t="s">
        <v>1557</v>
      </c>
    </row>
    <row r="32" spans="1:76" x14ac:dyDescent="0.25">
      <c r="A32" t="s">
        <v>1558</v>
      </c>
      <c r="B32" s="3">
        <v>42794</v>
      </c>
      <c r="C32" t="s">
        <v>1400</v>
      </c>
      <c r="D32" t="s">
        <v>1401</v>
      </c>
      <c r="E32" t="s">
        <v>1400</v>
      </c>
      <c r="F32">
        <v>5500</v>
      </c>
      <c r="G32" t="s">
        <v>1559</v>
      </c>
      <c r="H32" s="3">
        <v>42794</v>
      </c>
      <c r="I32" t="s">
        <v>214</v>
      </c>
      <c r="J32">
        <v>4500</v>
      </c>
      <c r="K32" s="1"/>
      <c r="M32" s="3">
        <v>42808</v>
      </c>
      <c r="N32" t="s">
        <v>54</v>
      </c>
      <c r="P32" t="s">
        <v>60</v>
      </c>
      <c r="Q32">
        <v>4400</v>
      </c>
      <c r="AG32" t="s">
        <v>1560</v>
      </c>
      <c r="AH32" s="3">
        <v>42838</v>
      </c>
      <c r="AI32">
        <v>5500</v>
      </c>
      <c r="AJ32">
        <v>0</v>
      </c>
      <c r="AS32" t="s">
        <v>1556</v>
      </c>
      <c r="AT32" s="3">
        <v>42964</v>
      </c>
      <c r="AU32">
        <v>10780</v>
      </c>
      <c r="AV32">
        <v>0</v>
      </c>
      <c r="AW32">
        <v>220</v>
      </c>
      <c r="AX32">
        <v>0</v>
      </c>
      <c r="BQ32" t="s">
        <v>72</v>
      </c>
      <c r="BR32" t="s">
        <v>1557</v>
      </c>
    </row>
    <row r="33" spans="1:70" x14ac:dyDescent="0.25">
      <c r="A33" t="s">
        <v>1561</v>
      </c>
      <c r="B33" s="3">
        <v>42804</v>
      </c>
      <c r="C33" t="s">
        <v>1400</v>
      </c>
      <c r="D33" t="s">
        <v>1401</v>
      </c>
      <c r="E33" t="s">
        <v>1400</v>
      </c>
      <c r="F33">
        <v>5500</v>
      </c>
      <c r="G33" t="s">
        <v>1562</v>
      </c>
      <c r="H33" s="3">
        <v>42805</v>
      </c>
      <c r="I33" t="s">
        <v>107</v>
      </c>
      <c r="J33">
        <v>4500</v>
      </c>
      <c r="K33" s="1"/>
      <c r="M33" s="3">
        <v>42808</v>
      </c>
      <c r="N33" t="s">
        <v>54</v>
      </c>
      <c r="P33" t="s">
        <v>60</v>
      </c>
      <c r="Q33">
        <v>4400</v>
      </c>
      <c r="AG33" t="s">
        <v>1560</v>
      </c>
      <c r="AH33" s="3">
        <v>42838</v>
      </c>
      <c r="AI33">
        <v>5500</v>
      </c>
      <c r="AJ33">
        <v>0</v>
      </c>
      <c r="AS33" t="s">
        <v>1556</v>
      </c>
      <c r="AT33" s="3">
        <v>42964</v>
      </c>
      <c r="AU33">
        <v>10780</v>
      </c>
      <c r="AV33">
        <v>0</v>
      </c>
      <c r="AW33">
        <v>220</v>
      </c>
      <c r="AX33">
        <v>0</v>
      </c>
      <c r="BQ33" t="s">
        <v>72</v>
      </c>
      <c r="BR33" t="s">
        <v>1557</v>
      </c>
    </row>
    <row r="34" spans="1:70" x14ac:dyDescent="0.25">
      <c r="A34" t="s">
        <v>1563</v>
      </c>
      <c r="B34" s="3">
        <v>42821</v>
      </c>
      <c r="C34" t="s">
        <v>1400</v>
      </c>
      <c r="D34" t="s">
        <v>1219</v>
      </c>
      <c r="E34" t="s">
        <v>1400</v>
      </c>
      <c r="F34">
        <v>174000</v>
      </c>
      <c r="G34" t="s">
        <v>1564</v>
      </c>
      <c r="H34" s="3">
        <v>42825</v>
      </c>
      <c r="I34" t="s">
        <v>1368</v>
      </c>
      <c r="J34">
        <v>157000</v>
      </c>
      <c r="K34" s="1"/>
      <c r="M34" s="3">
        <v>42825</v>
      </c>
      <c r="N34" t="s">
        <v>54</v>
      </c>
      <c r="O34" t="s">
        <v>1565</v>
      </c>
      <c r="P34" t="s">
        <v>56</v>
      </c>
      <c r="Q34">
        <v>15000</v>
      </c>
      <c r="R34" s="3">
        <v>42825</v>
      </c>
      <c r="S34" t="s">
        <v>54</v>
      </c>
      <c r="T34" t="s">
        <v>1566</v>
      </c>
      <c r="U34" t="s">
        <v>56</v>
      </c>
      <c r="V34">
        <v>109200</v>
      </c>
      <c r="W34" s="3">
        <v>42916</v>
      </c>
      <c r="X34" t="s">
        <v>54</v>
      </c>
      <c r="Y34" t="s">
        <v>1567</v>
      </c>
      <c r="Z34" t="s">
        <v>60</v>
      </c>
      <c r="AA34">
        <v>31600</v>
      </c>
      <c r="AG34" t="s">
        <v>1568</v>
      </c>
      <c r="AH34" s="3">
        <v>42879</v>
      </c>
      <c r="AI34">
        <v>174000</v>
      </c>
      <c r="AJ34">
        <v>0</v>
      </c>
      <c r="AS34" t="s">
        <v>1569</v>
      </c>
      <c r="AT34" s="3">
        <v>43049</v>
      </c>
      <c r="AU34">
        <v>170520</v>
      </c>
      <c r="AV34">
        <v>0</v>
      </c>
      <c r="AW34">
        <v>3480</v>
      </c>
      <c r="AX34">
        <v>0</v>
      </c>
      <c r="BQ34" t="s">
        <v>72</v>
      </c>
      <c r="BR34" t="s">
        <v>1570</v>
      </c>
    </row>
    <row r="35" spans="1:70" x14ac:dyDescent="0.25">
      <c r="A35" t="s">
        <v>1571</v>
      </c>
      <c r="B35" s="3">
        <v>42825</v>
      </c>
      <c r="C35" t="s">
        <v>1400</v>
      </c>
      <c r="D35" t="s">
        <v>1219</v>
      </c>
      <c r="E35" t="s">
        <v>1400</v>
      </c>
      <c r="F35">
        <v>0</v>
      </c>
      <c r="G35" t="s">
        <v>1572</v>
      </c>
      <c r="H35" s="3">
        <v>42825</v>
      </c>
      <c r="I35" t="s">
        <v>1305</v>
      </c>
      <c r="J35">
        <v>150000</v>
      </c>
      <c r="K35" s="1"/>
      <c r="M35" s="3">
        <v>42829</v>
      </c>
      <c r="N35" t="s">
        <v>54</v>
      </c>
      <c r="O35" t="s">
        <v>1573</v>
      </c>
      <c r="P35" t="s">
        <v>56</v>
      </c>
      <c r="Q35">
        <v>129200</v>
      </c>
      <c r="R35" s="3">
        <v>42929</v>
      </c>
      <c r="S35" t="s">
        <v>54</v>
      </c>
      <c r="T35" t="s">
        <v>1306</v>
      </c>
      <c r="U35" t="s">
        <v>60</v>
      </c>
      <c r="V35">
        <v>19700</v>
      </c>
      <c r="AG35" t="s">
        <v>1574</v>
      </c>
      <c r="AH35" s="3">
        <v>42871</v>
      </c>
      <c r="AI35">
        <v>0</v>
      </c>
      <c r="AJ35">
        <v>0</v>
      </c>
      <c r="AS35" t="s">
        <v>1576</v>
      </c>
      <c r="AT35" s="3">
        <v>43000</v>
      </c>
      <c r="AU35">
        <v>166600</v>
      </c>
      <c r="AV35">
        <v>0</v>
      </c>
      <c r="AW35">
        <v>3400</v>
      </c>
      <c r="AX35">
        <v>0</v>
      </c>
      <c r="BQ35" t="s">
        <v>72</v>
      </c>
      <c r="BR35" t="s">
        <v>1577</v>
      </c>
    </row>
    <row r="36" spans="1:70" x14ac:dyDescent="0.25">
      <c r="A36" t="s">
        <v>1575</v>
      </c>
      <c r="B36" s="3">
        <v>42825</v>
      </c>
      <c r="C36" t="s">
        <v>1400</v>
      </c>
      <c r="D36" t="s">
        <v>1219</v>
      </c>
      <c r="E36" t="s">
        <v>1400</v>
      </c>
      <c r="F36">
        <v>170000</v>
      </c>
      <c r="K36" s="1"/>
      <c r="AG36" t="s">
        <v>1574</v>
      </c>
      <c r="AH36" s="3">
        <v>42871</v>
      </c>
      <c r="AI36">
        <v>170000</v>
      </c>
      <c r="AJ36">
        <v>0</v>
      </c>
      <c r="AS36" t="s">
        <v>1576</v>
      </c>
      <c r="AT36" s="3">
        <v>43000</v>
      </c>
      <c r="AU36">
        <v>166600</v>
      </c>
      <c r="AV36">
        <v>0</v>
      </c>
      <c r="AW36">
        <v>3400</v>
      </c>
      <c r="AX36">
        <v>0</v>
      </c>
      <c r="BQ36" t="s">
        <v>72</v>
      </c>
      <c r="BR36" t="s">
        <v>1577</v>
      </c>
    </row>
    <row r="37" spans="1:70" x14ac:dyDescent="0.25">
      <c r="A37" s="5" t="s">
        <v>1578</v>
      </c>
      <c r="B37" s="3">
        <v>42829</v>
      </c>
      <c r="C37" t="s">
        <v>1400</v>
      </c>
      <c r="D37" t="s">
        <v>1401</v>
      </c>
      <c r="E37" t="s">
        <v>1400</v>
      </c>
      <c r="F37">
        <v>5500</v>
      </c>
      <c r="G37" t="s">
        <v>1579</v>
      </c>
      <c r="H37" s="3">
        <v>42829</v>
      </c>
      <c r="I37" t="s">
        <v>1528</v>
      </c>
      <c r="J37">
        <v>4500</v>
      </c>
      <c r="K37" s="1" t="s">
        <v>67</v>
      </c>
      <c r="M37" s="3">
        <v>42835</v>
      </c>
      <c r="N37" t="s">
        <v>54</v>
      </c>
      <c r="O37" t="s">
        <v>1580</v>
      </c>
      <c r="P37" t="s">
        <v>60</v>
      </c>
      <c r="Q37">
        <v>4400</v>
      </c>
      <c r="AG37" s="5" t="s">
        <v>1581</v>
      </c>
      <c r="AH37" s="3">
        <v>42850</v>
      </c>
      <c r="AI37" s="5">
        <v>5500</v>
      </c>
      <c r="AJ37">
        <v>5500</v>
      </c>
    </row>
    <row r="38" spans="1:70" x14ac:dyDescent="0.25">
      <c r="A38" t="s">
        <v>1582</v>
      </c>
      <c r="B38" s="3">
        <v>42829</v>
      </c>
      <c r="C38" t="s">
        <v>1400</v>
      </c>
      <c r="D38" t="s">
        <v>1401</v>
      </c>
      <c r="E38" t="s">
        <v>1400</v>
      </c>
      <c r="F38">
        <v>10000</v>
      </c>
      <c r="G38" t="s">
        <v>1583</v>
      </c>
      <c r="H38" s="3">
        <v>42829</v>
      </c>
      <c r="I38" t="s">
        <v>1528</v>
      </c>
      <c r="J38">
        <v>9000</v>
      </c>
      <c r="K38" s="1"/>
      <c r="M38" s="3">
        <v>42997</v>
      </c>
      <c r="N38" t="s">
        <v>54</v>
      </c>
      <c r="P38" t="s">
        <v>60</v>
      </c>
      <c r="Q38">
        <v>8500</v>
      </c>
      <c r="AG38" t="s">
        <v>1584</v>
      </c>
      <c r="AH38" s="3">
        <v>42871</v>
      </c>
      <c r="AI38">
        <v>10000</v>
      </c>
      <c r="AJ38">
        <v>0</v>
      </c>
      <c r="AS38" t="s">
        <v>1585</v>
      </c>
      <c r="AT38" s="3">
        <v>42985</v>
      </c>
      <c r="AU38">
        <v>9800</v>
      </c>
      <c r="AV38">
        <v>0</v>
      </c>
      <c r="AW38">
        <v>200</v>
      </c>
      <c r="AX38">
        <v>0</v>
      </c>
      <c r="BQ38" t="s">
        <v>72</v>
      </c>
      <c r="BR38" t="s">
        <v>1586</v>
      </c>
    </row>
    <row r="39" spans="1:70" x14ac:dyDescent="0.25">
      <c r="A39" t="s">
        <v>1587</v>
      </c>
      <c r="B39" s="3">
        <v>42949</v>
      </c>
      <c r="C39" t="s">
        <v>1400</v>
      </c>
      <c r="D39" t="s">
        <v>1588</v>
      </c>
      <c r="E39" t="s">
        <v>1400</v>
      </c>
      <c r="F39">
        <v>10000</v>
      </c>
      <c r="G39" t="s">
        <v>1589</v>
      </c>
      <c r="H39" s="3">
        <v>42949</v>
      </c>
      <c r="I39" t="s">
        <v>1528</v>
      </c>
      <c r="J39">
        <v>9000</v>
      </c>
      <c r="K39" s="1"/>
      <c r="M39" s="3">
        <v>42952</v>
      </c>
      <c r="N39" t="s">
        <v>54</v>
      </c>
      <c r="O39" t="s">
        <v>1590</v>
      </c>
      <c r="P39" t="s">
        <v>56</v>
      </c>
      <c r="Q39">
        <v>7500</v>
      </c>
      <c r="R39" s="3">
        <v>43015</v>
      </c>
      <c r="S39" t="s">
        <v>54</v>
      </c>
      <c r="T39" t="s">
        <v>1591</v>
      </c>
      <c r="U39" t="s">
        <v>60</v>
      </c>
      <c r="V39">
        <v>1150</v>
      </c>
      <c r="AG39" t="s">
        <v>1592</v>
      </c>
      <c r="AH39" s="3">
        <v>42957</v>
      </c>
      <c r="AI39">
        <v>10000</v>
      </c>
      <c r="AJ39">
        <v>0</v>
      </c>
      <c r="AS39" t="s">
        <v>1593</v>
      </c>
      <c r="AT39" s="3">
        <v>43080</v>
      </c>
      <c r="AU39">
        <v>9800</v>
      </c>
      <c r="AV39">
        <v>0</v>
      </c>
      <c r="AW39">
        <v>200</v>
      </c>
      <c r="AX39">
        <v>0</v>
      </c>
      <c r="BQ39" t="s">
        <v>1419</v>
      </c>
    </row>
    <row r="40" spans="1:70" x14ac:dyDescent="0.25">
      <c r="A40" s="5" t="s">
        <v>1594</v>
      </c>
      <c r="B40" s="3">
        <v>43019</v>
      </c>
      <c r="C40" t="s">
        <v>1400</v>
      </c>
      <c r="D40" t="s">
        <v>1380</v>
      </c>
      <c r="E40" t="s">
        <v>1400</v>
      </c>
      <c r="F40">
        <v>84000</v>
      </c>
      <c r="G40" t="s">
        <v>1595</v>
      </c>
      <c r="H40" s="3">
        <v>43019</v>
      </c>
      <c r="I40" t="s">
        <v>214</v>
      </c>
      <c r="J40">
        <v>76000</v>
      </c>
      <c r="K40" s="1" t="s">
        <v>67</v>
      </c>
      <c r="M40" s="3">
        <v>43020</v>
      </c>
      <c r="N40" t="s">
        <v>54</v>
      </c>
      <c r="O40" t="s">
        <v>1596</v>
      </c>
      <c r="P40" t="s">
        <v>56</v>
      </c>
      <c r="Q40">
        <v>65500</v>
      </c>
      <c r="R40" s="3">
        <v>43183</v>
      </c>
      <c r="S40" t="s">
        <v>54</v>
      </c>
      <c r="T40" t="s">
        <v>214</v>
      </c>
      <c r="U40" t="s">
        <v>60</v>
      </c>
      <c r="V40">
        <v>9800</v>
      </c>
      <c r="AG40" s="5" t="s">
        <v>1597</v>
      </c>
      <c r="AH40" s="3">
        <v>43071</v>
      </c>
      <c r="AI40" s="5">
        <v>84000</v>
      </c>
      <c r="AJ40">
        <v>0</v>
      </c>
      <c r="AS40" t="s">
        <v>1601</v>
      </c>
      <c r="AT40" s="3">
        <v>43186</v>
      </c>
      <c r="AU40">
        <v>84000</v>
      </c>
      <c r="AV40">
        <v>0</v>
      </c>
      <c r="AW40">
        <v>0</v>
      </c>
      <c r="AX40">
        <v>0</v>
      </c>
      <c r="BQ40" t="s">
        <v>72</v>
      </c>
      <c r="BR40" t="s">
        <v>1603</v>
      </c>
    </row>
    <row r="41" spans="1:70" x14ac:dyDescent="0.25">
      <c r="A41" s="5" t="s">
        <v>1598</v>
      </c>
      <c r="B41" s="3">
        <v>43019</v>
      </c>
      <c r="C41" t="s">
        <v>1400</v>
      </c>
      <c r="D41" t="s">
        <v>1380</v>
      </c>
      <c r="E41" t="s">
        <v>1400</v>
      </c>
      <c r="F41">
        <v>78000</v>
      </c>
      <c r="G41" t="s">
        <v>1599</v>
      </c>
      <c r="H41" s="3">
        <v>43019</v>
      </c>
      <c r="I41" t="s">
        <v>66</v>
      </c>
      <c r="J41">
        <v>70000</v>
      </c>
      <c r="K41" s="1" t="s">
        <v>67</v>
      </c>
      <c r="M41" s="3">
        <v>43020</v>
      </c>
      <c r="N41" t="s">
        <v>54</v>
      </c>
      <c r="O41" t="s">
        <v>77</v>
      </c>
      <c r="P41" t="s">
        <v>56</v>
      </c>
      <c r="Q41">
        <v>59500</v>
      </c>
      <c r="R41" s="3">
        <v>43095</v>
      </c>
      <c r="S41" t="s">
        <v>54</v>
      </c>
      <c r="T41" t="s">
        <v>77</v>
      </c>
      <c r="U41" t="s">
        <v>60</v>
      </c>
      <c r="V41">
        <v>9800</v>
      </c>
      <c r="AG41" s="5" t="s">
        <v>1600</v>
      </c>
      <c r="AH41" s="3">
        <v>43071</v>
      </c>
      <c r="AI41" s="5">
        <v>78000</v>
      </c>
      <c r="AJ41">
        <v>0</v>
      </c>
      <c r="AS41" t="s">
        <v>1602</v>
      </c>
      <c r="AT41" s="3">
        <v>43195</v>
      </c>
      <c r="AU41">
        <v>78000</v>
      </c>
      <c r="AV41">
        <v>0</v>
      </c>
      <c r="AW41">
        <v>0</v>
      </c>
      <c r="AX41">
        <v>0</v>
      </c>
      <c r="BQ41" t="s">
        <v>72</v>
      </c>
      <c r="BR41" t="s">
        <v>1512</v>
      </c>
    </row>
    <row r="42" spans="1:70" x14ac:dyDescent="0.25">
      <c r="A42" s="10" t="s">
        <v>1604</v>
      </c>
      <c r="B42" s="3">
        <v>43099</v>
      </c>
      <c r="C42" t="s">
        <v>1400</v>
      </c>
      <c r="D42" t="s">
        <v>1605</v>
      </c>
      <c r="E42" t="s">
        <v>1400</v>
      </c>
      <c r="F42">
        <v>21000</v>
      </c>
      <c r="G42" t="s">
        <v>1606</v>
      </c>
      <c r="H42" s="3">
        <v>43099</v>
      </c>
      <c r="I42" t="s">
        <v>514</v>
      </c>
      <c r="J42">
        <v>20000</v>
      </c>
      <c r="K42" s="1"/>
      <c r="M42" s="3">
        <v>43103</v>
      </c>
      <c r="N42" t="s">
        <v>57</v>
      </c>
      <c r="O42" t="s">
        <v>1607</v>
      </c>
      <c r="P42" t="s">
        <v>56</v>
      </c>
      <c r="Q42">
        <v>12000</v>
      </c>
      <c r="R42" s="3">
        <v>43123</v>
      </c>
      <c r="S42" t="s">
        <v>57</v>
      </c>
      <c r="U42" t="s">
        <v>60</v>
      </c>
      <c r="V42">
        <v>8000</v>
      </c>
      <c r="AG42" t="s">
        <v>1608</v>
      </c>
      <c r="AH42" s="3">
        <v>43106</v>
      </c>
      <c r="AI42">
        <v>21000</v>
      </c>
      <c r="AJ42">
        <v>0</v>
      </c>
      <c r="AS42" t="s">
        <v>1609</v>
      </c>
      <c r="AT42" s="3">
        <v>43243</v>
      </c>
      <c r="AU42">
        <v>20580</v>
      </c>
      <c r="AV42">
        <v>0</v>
      </c>
      <c r="AW42">
        <v>420</v>
      </c>
      <c r="AX42">
        <v>0</v>
      </c>
      <c r="BQ42" t="s">
        <v>1610</v>
      </c>
      <c r="BR42" t="s">
        <v>1611</v>
      </c>
    </row>
    <row r="43" spans="1:70" x14ac:dyDescent="0.25">
      <c r="A43" s="10" t="s">
        <v>1612</v>
      </c>
      <c r="B43" s="3">
        <v>43132</v>
      </c>
      <c r="C43" t="s">
        <v>1400</v>
      </c>
      <c r="D43" t="s">
        <v>1613</v>
      </c>
      <c r="E43" t="s">
        <v>1400</v>
      </c>
      <c r="F43">
        <v>23000</v>
      </c>
      <c r="G43" t="s">
        <v>1614</v>
      </c>
      <c r="H43" s="3">
        <v>43132</v>
      </c>
      <c r="I43" t="s">
        <v>344</v>
      </c>
      <c r="J43">
        <v>21000</v>
      </c>
      <c r="K43" s="1"/>
      <c r="M43" s="3">
        <v>43136</v>
      </c>
      <c r="N43" t="s">
        <v>54</v>
      </c>
      <c r="O43" t="s">
        <v>1615</v>
      </c>
      <c r="P43" t="s">
        <v>56</v>
      </c>
      <c r="Q43">
        <v>7750</v>
      </c>
      <c r="R43" s="3">
        <v>43136</v>
      </c>
      <c r="S43" t="s">
        <v>1336</v>
      </c>
      <c r="T43" t="s">
        <v>410</v>
      </c>
      <c r="U43" t="s">
        <v>56</v>
      </c>
      <c r="V43">
        <v>10000</v>
      </c>
      <c r="W43" s="3">
        <v>43160</v>
      </c>
      <c r="X43" t="s">
        <v>54</v>
      </c>
      <c r="Y43" t="s">
        <v>579</v>
      </c>
      <c r="Z43" t="s">
        <v>60</v>
      </c>
      <c r="AA43">
        <v>2950</v>
      </c>
      <c r="AG43" t="s">
        <v>1616</v>
      </c>
      <c r="AH43" s="3">
        <v>43154</v>
      </c>
      <c r="AI43">
        <v>23000</v>
      </c>
      <c r="AJ43">
        <v>0</v>
      </c>
      <c r="AS43" t="s">
        <v>1609</v>
      </c>
      <c r="AT43" s="3">
        <v>43243</v>
      </c>
      <c r="AU43">
        <v>22540</v>
      </c>
      <c r="AV43">
        <v>0</v>
      </c>
      <c r="AW43">
        <v>460</v>
      </c>
      <c r="AX43">
        <v>0</v>
      </c>
      <c r="BQ43" t="s">
        <v>1610</v>
      </c>
      <c r="BR43" t="s">
        <v>1611</v>
      </c>
    </row>
    <row r="44" spans="1:70" x14ac:dyDescent="0.25">
      <c r="A44" s="10" t="s">
        <v>1617</v>
      </c>
      <c r="B44" s="3">
        <v>43138</v>
      </c>
      <c r="C44" t="s">
        <v>1400</v>
      </c>
      <c r="D44" t="s">
        <v>1613</v>
      </c>
      <c r="E44" t="s">
        <v>1400</v>
      </c>
      <c r="F44">
        <v>23000</v>
      </c>
      <c r="G44" t="s">
        <v>1618</v>
      </c>
      <c r="H44" s="3">
        <v>43138</v>
      </c>
      <c r="I44" t="s">
        <v>344</v>
      </c>
      <c r="J44">
        <v>21000</v>
      </c>
      <c r="K44" s="1"/>
      <c r="M44" s="3">
        <v>43140</v>
      </c>
      <c r="N44" t="s">
        <v>1336</v>
      </c>
      <c r="O44" t="s">
        <v>410</v>
      </c>
      <c r="P44" t="s">
        <v>56</v>
      </c>
      <c r="Q44">
        <v>10000</v>
      </c>
      <c r="R44" s="3">
        <v>43140</v>
      </c>
      <c r="S44" t="s">
        <v>54</v>
      </c>
      <c r="T44" t="s">
        <v>410</v>
      </c>
      <c r="U44" t="s">
        <v>56</v>
      </c>
      <c r="V44">
        <v>7750</v>
      </c>
      <c r="W44" s="3">
        <v>43160</v>
      </c>
      <c r="X44" t="s">
        <v>54</v>
      </c>
      <c r="Y44" t="s">
        <v>579</v>
      </c>
      <c r="Z44" t="s">
        <v>60</v>
      </c>
      <c r="AA44">
        <v>2950</v>
      </c>
      <c r="AG44" t="s">
        <v>1619</v>
      </c>
      <c r="AH44" s="3">
        <v>43162</v>
      </c>
      <c r="AI44">
        <v>23000</v>
      </c>
      <c r="AJ44">
        <v>0</v>
      </c>
      <c r="AS44" t="s">
        <v>1626</v>
      </c>
      <c r="AT44" s="3">
        <v>43285</v>
      </c>
      <c r="AU44">
        <v>22540</v>
      </c>
      <c r="AV44">
        <v>0</v>
      </c>
      <c r="AW44">
        <v>460</v>
      </c>
      <c r="AX44">
        <v>0</v>
      </c>
      <c r="BQ44" t="s">
        <v>1610</v>
      </c>
      <c r="BR44" t="s">
        <v>1627</v>
      </c>
    </row>
    <row r="45" spans="1:70" x14ac:dyDescent="0.25">
      <c r="A45" s="10" t="s">
        <v>1620</v>
      </c>
      <c r="B45" s="3">
        <v>43140</v>
      </c>
      <c r="C45" t="s">
        <v>1400</v>
      </c>
      <c r="D45" t="s">
        <v>1621</v>
      </c>
      <c r="E45" t="s">
        <v>1400</v>
      </c>
      <c r="F45">
        <v>21000</v>
      </c>
      <c r="G45" t="s">
        <v>1622</v>
      </c>
      <c r="H45" s="3">
        <v>43140</v>
      </c>
      <c r="I45" t="s">
        <v>1305</v>
      </c>
      <c r="J45">
        <v>19000</v>
      </c>
      <c r="K45" s="1"/>
      <c r="M45" s="3">
        <v>43146</v>
      </c>
      <c r="N45" t="s">
        <v>54</v>
      </c>
      <c r="O45" t="s">
        <v>1623</v>
      </c>
      <c r="P45" t="s">
        <v>56</v>
      </c>
      <c r="Q45">
        <v>16500</v>
      </c>
      <c r="R45" s="3">
        <v>43186</v>
      </c>
      <c r="S45" t="s">
        <v>54</v>
      </c>
      <c r="T45" t="s">
        <v>1306</v>
      </c>
      <c r="U45" t="s">
        <v>60</v>
      </c>
      <c r="V45">
        <v>1950</v>
      </c>
      <c r="AG45" t="s">
        <v>1624</v>
      </c>
      <c r="AH45" s="3">
        <v>43158</v>
      </c>
      <c r="AI45">
        <v>21000</v>
      </c>
      <c r="AJ45">
        <v>0</v>
      </c>
      <c r="AS45" t="s">
        <v>1609</v>
      </c>
      <c r="AT45" s="3">
        <v>43243</v>
      </c>
      <c r="AU45">
        <v>20580</v>
      </c>
      <c r="AV45">
        <v>0</v>
      </c>
      <c r="AW45">
        <v>420</v>
      </c>
      <c r="AX45">
        <v>0</v>
      </c>
      <c r="BQ45" t="s">
        <v>1610</v>
      </c>
      <c r="BR45" t="s">
        <v>1611</v>
      </c>
    </row>
    <row r="46" spans="1:70" x14ac:dyDescent="0.25">
      <c r="A46" t="s">
        <v>1625</v>
      </c>
      <c r="B46" s="3">
        <v>43140</v>
      </c>
      <c r="C46" t="s">
        <v>1400</v>
      </c>
      <c r="D46" t="s">
        <v>1621</v>
      </c>
      <c r="E46" t="s">
        <v>1400</v>
      </c>
      <c r="F46">
        <v>0</v>
      </c>
      <c r="K46" s="1"/>
    </row>
    <row r="47" spans="1:70" x14ac:dyDescent="0.25">
      <c r="A47" s="10" t="s">
        <v>1628</v>
      </c>
      <c r="B47" s="3">
        <v>43140</v>
      </c>
      <c r="C47" t="s">
        <v>1400</v>
      </c>
      <c r="D47" t="s">
        <v>1613</v>
      </c>
      <c r="E47" t="s">
        <v>1400</v>
      </c>
      <c r="F47">
        <v>23000</v>
      </c>
      <c r="G47" t="s">
        <v>1629</v>
      </c>
      <c r="H47" s="3">
        <v>43140</v>
      </c>
      <c r="I47" t="s">
        <v>344</v>
      </c>
      <c r="J47">
        <v>21000</v>
      </c>
      <c r="K47" s="1"/>
      <c r="M47" s="3">
        <v>43141</v>
      </c>
      <c r="N47" t="s">
        <v>1336</v>
      </c>
      <c r="O47" t="s">
        <v>538</v>
      </c>
      <c r="P47" t="s">
        <v>56</v>
      </c>
      <c r="Q47">
        <v>10000</v>
      </c>
      <c r="R47" s="3">
        <v>43141</v>
      </c>
      <c r="S47" t="s">
        <v>54</v>
      </c>
      <c r="T47" t="s">
        <v>494</v>
      </c>
      <c r="U47" t="s">
        <v>56</v>
      </c>
      <c r="V47">
        <v>7750</v>
      </c>
      <c r="W47" s="3">
        <v>43160</v>
      </c>
      <c r="X47" t="s">
        <v>54</v>
      </c>
      <c r="Y47" t="s">
        <v>579</v>
      </c>
      <c r="Z47" t="s">
        <v>60</v>
      </c>
      <c r="AA47">
        <v>2950</v>
      </c>
      <c r="AG47" t="s">
        <v>1630</v>
      </c>
      <c r="AH47" s="3">
        <v>43162</v>
      </c>
      <c r="AI47">
        <v>23000</v>
      </c>
      <c r="AJ47">
        <v>0</v>
      </c>
      <c r="AS47" t="s">
        <v>1626</v>
      </c>
      <c r="AT47" s="3">
        <v>43285</v>
      </c>
      <c r="AU47">
        <v>22540</v>
      </c>
      <c r="AV47">
        <v>0</v>
      </c>
      <c r="AW47">
        <v>460</v>
      </c>
      <c r="AX47">
        <v>0</v>
      </c>
      <c r="BQ47" t="s">
        <v>1610</v>
      </c>
      <c r="BR47" t="s">
        <v>1627</v>
      </c>
    </row>
    <row r="48" spans="1:70" x14ac:dyDescent="0.25">
      <c r="A48" s="10" t="s">
        <v>1631</v>
      </c>
      <c r="B48" s="3">
        <v>43143</v>
      </c>
      <c r="C48" t="s">
        <v>1400</v>
      </c>
      <c r="D48" t="s">
        <v>1632</v>
      </c>
      <c r="E48" t="s">
        <v>1400</v>
      </c>
      <c r="F48">
        <v>48000</v>
      </c>
      <c r="G48" t="s">
        <v>1633</v>
      </c>
      <c r="H48" s="3">
        <v>43143</v>
      </c>
      <c r="I48" t="s">
        <v>1368</v>
      </c>
      <c r="J48">
        <v>45000</v>
      </c>
      <c r="K48" s="1"/>
      <c r="M48" s="3">
        <v>43144</v>
      </c>
      <c r="N48" t="s">
        <v>1336</v>
      </c>
      <c r="O48" t="s">
        <v>1634</v>
      </c>
      <c r="P48" t="s">
        <v>56</v>
      </c>
      <c r="Q48">
        <v>10000</v>
      </c>
      <c r="R48" s="3">
        <v>43144</v>
      </c>
      <c r="S48" t="s">
        <v>54</v>
      </c>
      <c r="T48" t="s">
        <v>1634</v>
      </c>
      <c r="U48" t="s">
        <v>56</v>
      </c>
      <c r="V48">
        <v>29400</v>
      </c>
      <c r="W48" s="3">
        <v>43293</v>
      </c>
      <c r="X48" t="s">
        <v>54</v>
      </c>
      <c r="Y48" t="s">
        <v>1635</v>
      </c>
      <c r="Z48" t="s">
        <v>60</v>
      </c>
      <c r="AA48">
        <v>4900</v>
      </c>
      <c r="AG48" t="s">
        <v>1636</v>
      </c>
      <c r="AH48" s="3">
        <v>43178</v>
      </c>
      <c r="AI48">
        <v>48000</v>
      </c>
      <c r="AJ48">
        <v>0</v>
      </c>
      <c r="AS48" t="s">
        <v>1626</v>
      </c>
      <c r="AT48" s="3">
        <v>43285</v>
      </c>
      <c r="AU48">
        <v>47040</v>
      </c>
      <c r="AV48">
        <v>0</v>
      </c>
      <c r="AW48">
        <v>960</v>
      </c>
      <c r="AX48">
        <v>0</v>
      </c>
      <c r="BQ48" t="s">
        <v>1610</v>
      </c>
      <c r="BR48" t="s">
        <v>1627</v>
      </c>
    </row>
    <row r="49" spans="1:72" x14ac:dyDescent="0.25">
      <c r="A49" s="10" t="s">
        <v>1637</v>
      </c>
      <c r="B49" s="3">
        <v>43153</v>
      </c>
      <c r="C49" t="s">
        <v>1400</v>
      </c>
      <c r="D49" t="s">
        <v>1638</v>
      </c>
      <c r="E49" t="s">
        <v>1400</v>
      </c>
      <c r="F49">
        <v>63000</v>
      </c>
      <c r="G49" t="s">
        <v>1639</v>
      </c>
      <c r="H49" s="3">
        <v>43153</v>
      </c>
      <c r="I49" t="s">
        <v>344</v>
      </c>
      <c r="J49">
        <v>58000</v>
      </c>
      <c r="K49" s="1"/>
      <c r="M49" s="3">
        <v>43154</v>
      </c>
      <c r="N49" t="s">
        <v>54</v>
      </c>
      <c r="O49" t="s">
        <v>538</v>
      </c>
      <c r="P49" t="s">
        <v>56</v>
      </c>
      <c r="Q49">
        <v>37600</v>
      </c>
      <c r="R49" s="3">
        <v>43154</v>
      </c>
      <c r="S49" t="s">
        <v>1336</v>
      </c>
      <c r="T49" t="s">
        <v>538</v>
      </c>
      <c r="U49" t="s">
        <v>56</v>
      </c>
      <c r="V49">
        <v>15000</v>
      </c>
      <c r="W49" s="3">
        <v>43208</v>
      </c>
      <c r="X49" t="s">
        <v>54</v>
      </c>
      <c r="Y49" t="s">
        <v>410</v>
      </c>
      <c r="Z49" t="s">
        <v>60</v>
      </c>
      <c r="AA49">
        <v>4900</v>
      </c>
      <c r="AG49" t="s">
        <v>1640</v>
      </c>
      <c r="AH49" s="3">
        <v>43178</v>
      </c>
      <c r="AI49">
        <v>63000</v>
      </c>
      <c r="AJ49">
        <v>0</v>
      </c>
      <c r="AS49" t="s">
        <v>1641</v>
      </c>
      <c r="AT49" s="3">
        <v>43312</v>
      </c>
      <c r="AU49">
        <v>61740</v>
      </c>
      <c r="AV49">
        <v>0</v>
      </c>
      <c r="AW49">
        <v>1260</v>
      </c>
      <c r="AX49">
        <v>0</v>
      </c>
      <c r="BQ49" t="s">
        <v>72</v>
      </c>
      <c r="BR49" t="s">
        <v>1642</v>
      </c>
    </row>
    <row r="50" spans="1:72" x14ac:dyDescent="0.25">
      <c r="A50" s="5" t="s">
        <v>1643</v>
      </c>
      <c r="B50" s="3">
        <v>43189</v>
      </c>
      <c r="C50" t="s">
        <v>1400</v>
      </c>
      <c r="D50" t="s">
        <v>1380</v>
      </c>
      <c r="E50" t="s">
        <v>1400</v>
      </c>
      <c r="F50">
        <v>80000</v>
      </c>
      <c r="G50" t="s">
        <v>1644</v>
      </c>
      <c r="H50" s="3">
        <v>43189</v>
      </c>
      <c r="I50" t="s">
        <v>502</v>
      </c>
      <c r="J50">
        <v>70000</v>
      </c>
      <c r="K50" s="1" t="s">
        <v>67</v>
      </c>
      <c r="M50" s="3">
        <v>43194</v>
      </c>
      <c r="N50" t="s">
        <v>54</v>
      </c>
      <c r="O50" t="s">
        <v>1645</v>
      </c>
      <c r="P50" t="s">
        <v>56</v>
      </c>
      <c r="Q50">
        <v>59300</v>
      </c>
      <c r="R50" s="3">
        <v>43251</v>
      </c>
      <c r="S50" t="s">
        <v>54</v>
      </c>
      <c r="T50" t="s">
        <v>1646</v>
      </c>
      <c r="U50" t="s">
        <v>60</v>
      </c>
      <c r="V50">
        <v>9800</v>
      </c>
      <c r="AG50" s="5" t="s">
        <v>1647</v>
      </c>
      <c r="AH50" s="3">
        <v>43239</v>
      </c>
      <c r="AI50" s="5">
        <v>80000</v>
      </c>
      <c r="AJ50">
        <v>80000</v>
      </c>
    </row>
    <row r="51" spans="1:72" x14ac:dyDescent="0.25">
      <c r="A51" s="5" t="s">
        <v>1648</v>
      </c>
      <c r="B51" s="3">
        <v>43190</v>
      </c>
      <c r="C51" t="s">
        <v>1400</v>
      </c>
      <c r="D51" t="s">
        <v>1380</v>
      </c>
      <c r="E51" t="s">
        <v>1400</v>
      </c>
      <c r="F51">
        <v>90000</v>
      </c>
      <c r="G51" t="s">
        <v>1649</v>
      </c>
      <c r="H51" s="3">
        <v>43190</v>
      </c>
      <c r="I51" t="s">
        <v>66</v>
      </c>
      <c r="J51">
        <v>80000</v>
      </c>
      <c r="K51" s="1" t="s">
        <v>67</v>
      </c>
      <c r="M51" s="3">
        <v>43190</v>
      </c>
      <c r="N51" t="s">
        <v>54</v>
      </c>
      <c r="O51" t="s">
        <v>68</v>
      </c>
      <c r="P51" t="s">
        <v>56</v>
      </c>
      <c r="Q51">
        <v>69200</v>
      </c>
      <c r="R51" s="3">
        <v>43220</v>
      </c>
      <c r="S51" t="s">
        <v>54</v>
      </c>
      <c r="T51" t="s">
        <v>66</v>
      </c>
      <c r="U51" t="s">
        <v>60</v>
      </c>
      <c r="V51">
        <v>9800</v>
      </c>
      <c r="AG51" s="5" t="s">
        <v>1650</v>
      </c>
      <c r="AH51" s="3">
        <v>43239</v>
      </c>
      <c r="AI51" s="5">
        <v>90000</v>
      </c>
      <c r="AJ51">
        <v>90000</v>
      </c>
    </row>
    <row r="52" spans="1:72" x14ac:dyDescent="0.25">
      <c r="A52" s="10" t="s">
        <v>1651</v>
      </c>
      <c r="B52" s="3">
        <v>43201</v>
      </c>
      <c r="C52" t="s">
        <v>1400</v>
      </c>
      <c r="D52" t="s">
        <v>1652</v>
      </c>
      <c r="E52" t="s">
        <v>1400</v>
      </c>
      <c r="F52">
        <v>113200</v>
      </c>
      <c r="G52" t="s">
        <v>1653</v>
      </c>
      <c r="H52" s="3">
        <v>43201</v>
      </c>
      <c r="I52" t="s">
        <v>1305</v>
      </c>
      <c r="J52">
        <v>80000</v>
      </c>
      <c r="K52" s="1"/>
      <c r="M52" s="3">
        <v>43203</v>
      </c>
      <c r="N52" t="s">
        <v>1336</v>
      </c>
      <c r="P52" t="s">
        <v>56</v>
      </c>
      <c r="Q52">
        <v>15000</v>
      </c>
      <c r="R52" s="3">
        <v>43203</v>
      </c>
      <c r="S52" t="s">
        <v>54</v>
      </c>
      <c r="T52" t="s">
        <v>1623</v>
      </c>
      <c r="U52" t="s">
        <v>56</v>
      </c>
      <c r="V52">
        <v>54200</v>
      </c>
      <c r="W52" s="3">
        <v>43251</v>
      </c>
      <c r="X52" t="s">
        <v>54</v>
      </c>
      <c r="Y52" t="s">
        <v>1306</v>
      </c>
      <c r="Z52" t="s">
        <v>60</v>
      </c>
      <c r="AA52">
        <v>9800</v>
      </c>
      <c r="AG52" t="s">
        <v>1654</v>
      </c>
      <c r="AH52" s="3">
        <v>43243</v>
      </c>
      <c r="AI52">
        <v>113200</v>
      </c>
      <c r="AJ52">
        <v>0</v>
      </c>
      <c r="AS52" t="s">
        <v>1655</v>
      </c>
      <c r="AT52" s="3">
        <v>43343</v>
      </c>
      <c r="AU52">
        <v>74030</v>
      </c>
      <c r="AV52">
        <v>0</v>
      </c>
      <c r="AW52">
        <v>0</v>
      </c>
      <c r="AX52">
        <v>0</v>
      </c>
      <c r="AY52" t="s">
        <v>1656</v>
      </c>
      <c r="AZ52" s="3">
        <v>43351</v>
      </c>
      <c r="BA52">
        <v>36906</v>
      </c>
      <c r="BB52">
        <v>0</v>
      </c>
      <c r="BC52">
        <v>2264</v>
      </c>
      <c r="BD52">
        <v>0</v>
      </c>
      <c r="BQ52" t="s">
        <v>72</v>
      </c>
      <c r="BR52" t="s">
        <v>1657</v>
      </c>
      <c r="BS52" t="s">
        <v>72</v>
      </c>
      <c r="BT52" t="s">
        <v>1658</v>
      </c>
    </row>
    <row r="53" spans="1:72" x14ac:dyDescent="0.25">
      <c r="A53" s="10" t="s">
        <v>1659</v>
      </c>
      <c r="B53" s="3">
        <v>43201</v>
      </c>
      <c r="C53" t="s">
        <v>1400</v>
      </c>
      <c r="D53" t="s">
        <v>1660</v>
      </c>
      <c r="E53" t="s">
        <v>1400</v>
      </c>
      <c r="F53">
        <v>35000</v>
      </c>
      <c r="G53" t="s">
        <v>1661</v>
      </c>
      <c r="H53" s="3">
        <v>43201</v>
      </c>
      <c r="I53" t="s">
        <v>344</v>
      </c>
      <c r="J53">
        <v>33000</v>
      </c>
      <c r="K53" s="1"/>
      <c r="M53" s="3">
        <v>43201</v>
      </c>
      <c r="N53" t="s">
        <v>1336</v>
      </c>
      <c r="O53" t="s">
        <v>632</v>
      </c>
      <c r="P53" t="s">
        <v>56</v>
      </c>
      <c r="Q53">
        <v>10000</v>
      </c>
      <c r="R53" s="3">
        <v>43201</v>
      </c>
      <c r="S53" t="s">
        <v>54</v>
      </c>
      <c r="T53" t="s">
        <v>410</v>
      </c>
      <c r="U53" t="s">
        <v>56</v>
      </c>
      <c r="V53">
        <v>19700</v>
      </c>
      <c r="W53" s="3">
        <v>43225</v>
      </c>
      <c r="X53" t="s">
        <v>54</v>
      </c>
      <c r="Y53" t="s">
        <v>410</v>
      </c>
      <c r="Z53" t="s">
        <v>60</v>
      </c>
      <c r="AA53">
        <v>2950</v>
      </c>
      <c r="AG53" t="s">
        <v>1662</v>
      </c>
      <c r="AH53" s="3">
        <v>43235</v>
      </c>
      <c r="AI53">
        <v>35000</v>
      </c>
      <c r="AJ53">
        <v>0</v>
      </c>
      <c r="AS53" t="s">
        <v>1663</v>
      </c>
      <c r="AT53" s="3">
        <v>43325</v>
      </c>
      <c r="AU53">
        <v>34300</v>
      </c>
      <c r="AV53">
        <v>0</v>
      </c>
      <c r="AW53">
        <v>700</v>
      </c>
      <c r="AX53">
        <v>0</v>
      </c>
      <c r="BQ53" t="s">
        <v>72</v>
      </c>
      <c r="BR53" t="s">
        <v>1664</v>
      </c>
    </row>
    <row r="54" spans="1:72" x14ac:dyDescent="0.25">
      <c r="A54" s="10" t="s">
        <v>1665</v>
      </c>
      <c r="B54" s="3">
        <v>43203</v>
      </c>
      <c r="C54" t="s">
        <v>1400</v>
      </c>
      <c r="D54" t="s">
        <v>1588</v>
      </c>
      <c r="E54" t="s">
        <v>1400</v>
      </c>
      <c r="F54">
        <v>6500</v>
      </c>
      <c r="G54" t="s">
        <v>1666</v>
      </c>
      <c r="H54" s="3">
        <v>43203</v>
      </c>
      <c r="I54" t="s">
        <v>1528</v>
      </c>
      <c r="J54">
        <v>6000</v>
      </c>
      <c r="K54" s="1"/>
      <c r="M54" s="3">
        <v>43246</v>
      </c>
      <c r="N54" t="s">
        <v>54</v>
      </c>
      <c r="O54" t="s">
        <v>1667</v>
      </c>
      <c r="P54" t="s">
        <v>60</v>
      </c>
      <c r="Q54">
        <v>5900</v>
      </c>
      <c r="AG54" t="s">
        <v>1668</v>
      </c>
      <c r="AH54" s="3">
        <v>43239</v>
      </c>
      <c r="AI54">
        <v>6500</v>
      </c>
      <c r="AJ54">
        <v>0</v>
      </c>
      <c r="AS54" t="s">
        <v>1663</v>
      </c>
      <c r="AT54" s="3">
        <v>43325</v>
      </c>
      <c r="AU54">
        <v>6370</v>
      </c>
      <c r="AV54">
        <v>0</v>
      </c>
      <c r="AW54">
        <v>130</v>
      </c>
      <c r="AX54">
        <v>0</v>
      </c>
      <c r="BQ54" t="s">
        <v>72</v>
      </c>
      <c r="BR54" t="s">
        <v>1664</v>
      </c>
    </row>
    <row r="55" spans="1:72" x14ac:dyDescent="0.25">
      <c r="A55" s="10" t="s">
        <v>1669</v>
      </c>
      <c r="B55" s="3">
        <v>43207</v>
      </c>
      <c r="C55" t="s">
        <v>1400</v>
      </c>
      <c r="D55" t="s">
        <v>1670</v>
      </c>
      <c r="E55" t="s">
        <v>1400</v>
      </c>
      <c r="F55">
        <v>18500</v>
      </c>
      <c r="G55" t="s">
        <v>1671</v>
      </c>
      <c r="H55" s="3">
        <v>43207</v>
      </c>
      <c r="I55" t="s">
        <v>214</v>
      </c>
      <c r="J55">
        <v>17000</v>
      </c>
      <c r="K55" s="1"/>
      <c r="M55" s="3">
        <v>43208</v>
      </c>
      <c r="N55" t="s">
        <v>54</v>
      </c>
      <c r="O55" t="s">
        <v>214</v>
      </c>
      <c r="P55" t="s">
        <v>56</v>
      </c>
      <c r="Q55">
        <v>15100</v>
      </c>
      <c r="R55" s="3">
        <v>43307</v>
      </c>
      <c r="S55" t="s">
        <v>54</v>
      </c>
      <c r="T55" t="s">
        <v>1672</v>
      </c>
      <c r="U55" t="s">
        <v>60</v>
      </c>
      <c r="V55">
        <v>1450</v>
      </c>
      <c r="AG55" t="s">
        <v>1673</v>
      </c>
      <c r="AH55" s="3">
        <v>43273</v>
      </c>
      <c r="AI55">
        <v>18500</v>
      </c>
      <c r="AJ55">
        <v>0</v>
      </c>
      <c r="AS55" t="s">
        <v>1656</v>
      </c>
      <c r="AT55" s="3">
        <v>43351</v>
      </c>
      <c r="AU55">
        <v>18130</v>
      </c>
      <c r="AV55">
        <v>0</v>
      </c>
      <c r="AW55">
        <v>370</v>
      </c>
      <c r="AX55">
        <v>0</v>
      </c>
      <c r="BQ55" t="s">
        <v>72</v>
      </c>
      <c r="BR55" t="s">
        <v>1658</v>
      </c>
    </row>
    <row r="56" spans="1:72" x14ac:dyDescent="0.25">
      <c r="A56" s="10" t="s">
        <v>1674</v>
      </c>
      <c r="B56" s="3">
        <v>43216</v>
      </c>
      <c r="C56" t="s">
        <v>1400</v>
      </c>
      <c r="D56" t="s">
        <v>1670</v>
      </c>
      <c r="E56" t="s">
        <v>1400</v>
      </c>
      <c r="F56">
        <v>9500</v>
      </c>
      <c r="G56" t="s">
        <v>1675</v>
      </c>
      <c r="H56" s="3">
        <v>43216</v>
      </c>
      <c r="I56" t="s">
        <v>344</v>
      </c>
      <c r="J56">
        <v>8500</v>
      </c>
      <c r="K56" s="1"/>
      <c r="M56" s="3">
        <v>43220</v>
      </c>
      <c r="N56" t="s">
        <v>54</v>
      </c>
      <c r="O56" t="s">
        <v>410</v>
      </c>
      <c r="P56" t="s">
        <v>56</v>
      </c>
      <c r="Q56">
        <v>7400</v>
      </c>
      <c r="R56" s="3">
        <v>43259</v>
      </c>
      <c r="S56" t="s">
        <v>54</v>
      </c>
      <c r="T56" t="s">
        <v>410</v>
      </c>
      <c r="U56" t="s">
        <v>60</v>
      </c>
      <c r="V56">
        <v>970</v>
      </c>
      <c r="AG56" t="s">
        <v>1676</v>
      </c>
      <c r="AH56" s="3">
        <v>43227</v>
      </c>
      <c r="AI56">
        <v>9500</v>
      </c>
      <c r="AJ56">
        <v>0</v>
      </c>
      <c r="AS56" t="s">
        <v>1641</v>
      </c>
      <c r="AT56" s="3">
        <v>43312</v>
      </c>
      <c r="AU56">
        <v>9310</v>
      </c>
      <c r="AV56">
        <v>0</v>
      </c>
      <c r="AW56">
        <v>190</v>
      </c>
      <c r="AX56">
        <v>0</v>
      </c>
      <c r="BQ56" t="s">
        <v>72</v>
      </c>
      <c r="BR56" t="s">
        <v>1642</v>
      </c>
    </row>
    <row r="57" spans="1:72" x14ac:dyDescent="0.25">
      <c r="A57" s="10" t="s">
        <v>1677</v>
      </c>
      <c r="B57" s="3">
        <v>43218</v>
      </c>
      <c r="C57" t="s">
        <v>1400</v>
      </c>
      <c r="D57" t="s">
        <v>1632</v>
      </c>
      <c r="E57" t="s">
        <v>1400</v>
      </c>
      <c r="F57">
        <v>26500</v>
      </c>
      <c r="G57" t="s">
        <v>1678</v>
      </c>
      <c r="H57" s="3">
        <v>43218</v>
      </c>
      <c r="I57" t="s">
        <v>344</v>
      </c>
      <c r="J57">
        <v>24000</v>
      </c>
      <c r="K57" s="1"/>
      <c r="M57" s="3">
        <v>43220</v>
      </c>
      <c r="N57" t="s">
        <v>54</v>
      </c>
      <c r="O57" t="s">
        <v>410</v>
      </c>
      <c r="P57" t="s">
        <v>56</v>
      </c>
      <c r="Q57">
        <v>21750</v>
      </c>
      <c r="R57" s="3">
        <v>43259</v>
      </c>
      <c r="S57" t="s">
        <v>54</v>
      </c>
      <c r="T57" t="s">
        <v>410</v>
      </c>
      <c r="U57" t="s">
        <v>60</v>
      </c>
      <c r="V57">
        <v>1950</v>
      </c>
      <c r="AG57" t="s">
        <v>1679</v>
      </c>
      <c r="AH57" s="3">
        <v>43239</v>
      </c>
      <c r="AI57">
        <v>26500</v>
      </c>
      <c r="AJ57">
        <v>0</v>
      </c>
      <c r="AS57" t="s">
        <v>1680</v>
      </c>
      <c r="AT57" s="3">
        <v>43330</v>
      </c>
      <c r="AU57">
        <v>25970</v>
      </c>
      <c r="AV57">
        <v>0</v>
      </c>
      <c r="AW57">
        <v>530</v>
      </c>
      <c r="AX57">
        <v>0</v>
      </c>
      <c r="BQ57" t="s">
        <v>72</v>
      </c>
      <c r="BR57" t="s">
        <v>1681</v>
      </c>
    </row>
    <row r="58" spans="1:72" x14ac:dyDescent="0.25">
      <c r="A58" s="10" t="s">
        <v>1682</v>
      </c>
      <c r="B58" s="3">
        <v>43243</v>
      </c>
      <c r="C58" t="s">
        <v>1400</v>
      </c>
      <c r="D58" t="s">
        <v>1683</v>
      </c>
      <c r="E58" t="s">
        <v>1400</v>
      </c>
      <c r="F58">
        <v>22000</v>
      </c>
      <c r="G58" t="s">
        <v>1684</v>
      </c>
      <c r="H58" s="3">
        <v>43243</v>
      </c>
      <c r="I58" t="s">
        <v>399</v>
      </c>
      <c r="J58">
        <v>20000</v>
      </c>
      <c r="K58" s="1"/>
      <c r="M58" s="3">
        <v>43243</v>
      </c>
      <c r="N58" t="s">
        <v>54</v>
      </c>
      <c r="O58" t="s">
        <v>1685</v>
      </c>
      <c r="P58" t="s">
        <v>56</v>
      </c>
      <c r="Q58">
        <v>17750</v>
      </c>
      <c r="R58" s="3">
        <v>43262</v>
      </c>
      <c r="S58" t="s">
        <v>54</v>
      </c>
      <c r="T58" t="s">
        <v>399</v>
      </c>
      <c r="U58" t="s">
        <v>60</v>
      </c>
      <c r="V58">
        <v>1950</v>
      </c>
      <c r="AG58" t="s">
        <v>1686</v>
      </c>
      <c r="AH58" s="3">
        <v>43257</v>
      </c>
      <c r="AI58">
        <v>22000</v>
      </c>
      <c r="AJ58">
        <v>0</v>
      </c>
      <c r="AS58" t="s">
        <v>1656</v>
      </c>
      <c r="AT58" s="3">
        <v>43351</v>
      </c>
      <c r="AU58">
        <v>34300</v>
      </c>
      <c r="AV58">
        <v>0</v>
      </c>
      <c r="AW58">
        <v>700</v>
      </c>
      <c r="AX58">
        <v>0</v>
      </c>
      <c r="BQ58" t="s">
        <v>72</v>
      </c>
      <c r="BR58" t="s">
        <v>1658</v>
      </c>
    </row>
    <row r="59" spans="1:72" x14ac:dyDescent="0.25">
      <c r="A59" s="10" t="s">
        <v>1687</v>
      </c>
      <c r="B59" s="3">
        <v>43250</v>
      </c>
      <c r="C59" t="s">
        <v>1688</v>
      </c>
      <c r="D59" t="s">
        <v>1613</v>
      </c>
      <c r="E59" t="s">
        <v>1400</v>
      </c>
      <c r="F59">
        <v>6500</v>
      </c>
      <c r="G59" t="s">
        <v>1689</v>
      </c>
      <c r="H59" s="3">
        <v>43250</v>
      </c>
      <c r="I59" t="s">
        <v>1528</v>
      </c>
      <c r="J59">
        <v>6000</v>
      </c>
      <c r="K59" s="1"/>
      <c r="M59" s="3">
        <v>43251</v>
      </c>
      <c r="N59" t="s">
        <v>54</v>
      </c>
      <c r="O59" t="s">
        <v>1690</v>
      </c>
      <c r="P59" t="s">
        <v>56</v>
      </c>
      <c r="Q59">
        <v>5400</v>
      </c>
      <c r="R59" s="3">
        <v>43273</v>
      </c>
      <c r="S59" t="s">
        <v>57</v>
      </c>
      <c r="T59" t="s">
        <v>1690</v>
      </c>
      <c r="U59" t="s">
        <v>60</v>
      </c>
      <c r="V59">
        <v>470</v>
      </c>
      <c r="AG59" t="s">
        <v>1686</v>
      </c>
      <c r="AH59" s="3">
        <v>43257</v>
      </c>
      <c r="AI59">
        <v>6500</v>
      </c>
      <c r="AJ59">
        <v>0</v>
      </c>
      <c r="AS59" t="s">
        <v>1656</v>
      </c>
      <c r="AT59" s="3">
        <v>43351</v>
      </c>
      <c r="AU59">
        <v>34300</v>
      </c>
      <c r="AV59">
        <v>0</v>
      </c>
      <c r="AW59">
        <v>700</v>
      </c>
      <c r="AX59">
        <v>0</v>
      </c>
      <c r="BQ59" t="s">
        <v>72</v>
      </c>
      <c r="BR59" t="s">
        <v>1658</v>
      </c>
    </row>
    <row r="60" spans="1:72" x14ac:dyDescent="0.25">
      <c r="A60" s="10" t="s">
        <v>1691</v>
      </c>
      <c r="B60" s="3">
        <v>43251</v>
      </c>
      <c r="C60" t="s">
        <v>1400</v>
      </c>
      <c r="D60" t="s">
        <v>1588</v>
      </c>
      <c r="E60" t="s">
        <v>1400</v>
      </c>
      <c r="F60">
        <v>6500</v>
      </c>
      <c r="G60" t="s">
        <v>1692</v>
      </c>
      <c r="H60" s="3">
        <v>43251</v>
      </c>
      <c r="I60" t="s">
        <v>1528</v>
      </c>
      <c r="J60">
        <v>6000</v>
      </c>
      <c r="K60" s="1"/>
      <c r="M60" s="3">
        <v>43251</v>
      </c>
      <c r="N60" t="s">
        <v>54</v>
      </c>
      <c r="O60" t="s">
        <v>1690</v>
      </c>
      <c r="P60" t="s">
        <v>56</v>
      </c>
      <c r="Q60">
        <v>5400</v>
      </c>
      <c r="R60" s="3">
        <v>43273</v>
      </c>
      <c r="S60" t="s">
        <v>57</v>
      </c>
      <c r="T60" t="s">
        <v>1690</v>
      </c>
      <c r="U60" t="s">
        <v>60</v>
      </c>
      <c r="V60">
        <v>470</v>
      </c>
      <c r="AG60" t="s">
        <v>1686</v>
      </c>
      <c r="AH60" s="3">
        <v>43257</v>
      </c>
      <c r="AI60">
        <v>6500</v>
      </c>
      <c r="AJ60">
        <v>0</v>
      </c>
      <c r="AS60" t="s">
        <v>1656</v>
      </c>
      <c r="AT60" s="3">
        <v>43351</v>
      </c>
      <c r="AU60">
        <v>34300</v>
      </c>
      <c r="AV60">
        <v>0</v>
      </c>
      <c r="AW60">
        <v>700</v>
      </c>
      <c r="AX60">
        <v>0</v>
      </c>
      <c r="BQ60" t="s">
        <v>72</v>
      </c>
      <c r="BR60" t="s">
        <v>1658</v>
      </c>
    </row>
    <row r="61" spans="1:72" x14ac:dyDescent="0.25">
      <c r="A61" s="10" t="s">
        <v>1693</v>
      </c>
      <c r="B61" s="3">
        <v>43255</v>
      </c>
      <c r="C61" t="s">
        <v>1400</v>
      </c>
      <c r="D61" t="s">
        <v>1632</v>
      </c>
      <c r="E61" t="s">
        <v>1400</v>
      </c>
      <c r="F61">
        <v>27000</v>
      </c>
      <c r="G61" t="s">
        <v>1694</v>
      </c>
      <c r="H61" s="3">
        <v>43255</v>
      </c>
      <c r="I61" t="s">
        <v>344</v>
      </c>
      <c r="J61">
        <v>25000</v>
      </c>
      <c r="K61" s="1"/>
      <c r="M61" s="3">
        <v>43256</v>
      </c>
      <c r="N61" t="s">
        <v>1336</v>
      </c>
      <c r="O61" t="s">
        <v>1695</v>
      </c>
      <c r="P61" t="s">
        <v>56</v>
      </c>
      <c r="Q61">
        <v>10000</v>
      </c>
      <c r="R61" s="3">
        <v>43256</v>
      </c>
      <c r="S61" t="s">
        <v>54</v>
      </c>
      <c r="T61" t="s">
        <v>410</v>
      </c>
      <c r="U61" t="s">
        <v>56</v>
      </c>
      <c r="V61">
        <v>9700</v>
      </c>
      <c r="W61" s="3">
        <v>43256</v>
      </c>
      <c r="X61" t="s">
        <v>57</v>
      </c>
      <c r="Y61" t="s">
        <v>579</v>
      </c>
      <c r="Z61" t="s">
        <v>56</v>
      </c>
      <c r="AA61">
        <v>2000</v>
      </c>
      <c r="AB61" s="3">
        <v>43281</v>
      </c>
      <c r="AC61" t="s">
        <v>54</v>
      </c>
      <c r="AD61" t="s">
        <v>707</v>
      </c>
      <c r="AE61" t="s">
        <v>60</v>
      </c>
      <c r="AF61">
        <v>2950</v>
      </c>
      <c r="AG61" t="s">
        <v>1696</v>
      </c>
      <c r="AH61" s="3">
        <v>43272</v>
      </c>
      <c r="AI61">
        <v>27000</v>
      </c>
      <c r="AJ61">
        <v>0</v>
      </c>
      <c r="AS61" t="s">
        <v>1656</v>
      </c>
      <c r="AT61" s="3">
        <v>43351</v>
      </c>
      <c r="AU61">
        <v>26460</v>
      </c>
      <c r="AV61">
        <v>0</v>
      </c>
      <c r="AW61">
        <v>540</v>
      </c>
      <c r="AX61">
        <v>0</v>
      </c>
      <c r="BQ61" t="s">
        <v>72</v>
      </c>
      <c r="BR61" t="s">
        <v>1658</v>
      </c>
    </row>
    <row r="62" spans="1:72" x14ac:dyDescent="0.25">
      <c r="A62" t="s">
        <v>1697</v>
      </c>
      <c r="B62" s="3">
        <v>43263</v>
      </c>
      <c r="C62" t="s">
        <v>1400</v>
      </c>
      <c r="D62" t="s">
        <v>1698</v>
      </c>
      <c r="E62" t="s">
        <v>1400</v>
      </c>
      <c r="F62">
        <v>131150</v>
      </c>
      <c r="G62" t="s">
        <v>1699</v>
      </c>
      <c r="H62" s="3">
        <v>43263</v>
      </c>
      <c r="I62" t="s">
        <v>53</v>
      </c>
      <c r="J62">
        <v>118000</v>
      </c>
      <c r="K62" s="1"/>
      <c r="M62" s="3">
        <v>43265</v>
      </c>
      <c r="N62" t="s">
        <v>54</v>
      </c>
      <c r="O62" t="s">
        <v>55</v>
      </c>
      <c r="P62" t="s">
        <v>56</v>
      </c>
      <c r="Q62">
        <v>72200</v>
      </c>
      <c r="R62" s="3">
        <v>43318</v>
      </c>
      <c r="S62" t="s">
        <v>54</v>
      </c>
      <c r="T62" t="s">
        <v>55</v>
      </c>
      <c r="U62" t="s">
        <v>60</v>
      </c>
      <c r="V62">
        <v>24500</v>
      </c>
      <c r="W62" s="3">
        <v>43404</v>
      </c>
      <c r="X62" t="s">
        <v>1336</v>
      </c>
      <c r="Z62" t="s">
        <v>56</v>
      </c>
      <c r="AA62">
        <v>20000</v>
      </c>
      <c r="AG62" t="s">
        <v>1700</v>
      </c>
      <c r="AH62" s="3">
        <v>43286</v>
      </c>
      <c r="AI62">
        <v>131150</v>
      </c>
      <c r="AJ62">
        <v>0</v>
      </c>
      <c r="AS62" t="s">
        <v>1703</v>
      </c>
      <c r="AT62" s="3">
        <v>43413</v>
      </c>
      <c r="AU62">
        <v>166600</v>
      </c>
      <c r="AV62">
        <v>0</v>
      </c>
      <c r="AW62">
        <v>3400</v>
      </c>
      <c r="AX62">
        <v>0</v>
      </c>
      <c r="BQ62" t="s">
        <v>72</v>
      </c>
      <c r="BR62" t="s">
        <v>1704</v>
      </c>
    </row>
    <row r="63" spans="1:72" x14ac:dyDescent="0.25">
      <c r="A63" t="s">
        <v>1701</v>
      </c>
      <c r="B63" s="3">
        <v>43263</v>
      </c>
      <c r="C63" t="s">
        <v>1400</v>
      </c>
      <c r="D63" t="s">
        <v>1698</v>
      </c>
      <c r="E63" t="s">
        <v>1400</v>
      </c>
      <c r="F63">
        <v>38850</v>
      </c>
      <c r="G63" t="s">
        <v>1702</v>
      </c>
      <c r="H63" s="3">
        <v>43263</v>
      </c>
      <c r="I63" t="s">
        <v>344</v>
      </c>
      <c r="J63">
        <v>35000</v>
      </c>
      <c r="K63" s="1"/>
      <c r="M63" s="3">
        <v>43265</v>
      </c>
      <c r="N63" t="s">
        <v>1336</v>
      </c>
      <c r="O63" t="s">
        <v>494</v>
      </c>
      <c r="P63" t="s">
        <v>56</v>
      </c>
      <c r="Q63">
        <v>10000</v>
      </c>
      <c r="R63" s="3">
        <v>43265</v>
      </c>
      <c r="S63" t="s">
        <v>54</v>
      </c>
      <c r="T63" t="s">
        <v>494</v>
      </c>
      <c r="U63" t="s">
        <v>56</v>
      </c>
      <c r="V63">
        <v>19600</v>
      </c>
      <c r="W63" s="3">
        <v>43301</v>
      </c>
      <c r="X63" t="s">
        <v>54</v>
      </c>
      <c r="Y63" t="s">
        <v>816</v>
      </c>
      <c r="Z63" t="s">
        <v>60</v>
      </c>
      <c r="AA63">
        <v>4950</v>
      </c>
      <c r="AG63" t="s">
        <v>1700</v>
      </c>
      <c r="AH63" s="3">
        <v>43286</v>
      </c>
      <c r="AI63">
        <v>38850</v>
      </c>
      <c r="AJ63">
        <v>0</v>
      </c>
      <c r="AS63" t="s">
        <v>1703</v>
      </c>
      <c r="AT63" s="3">
        <v>43413</v>
      </c>
      <c r="AU63">
        <v>166600</v>
      </c>
      <c r="AV63">
        <v>0</v>
      </c>
      <c r="AW63">
        <v>3400</v>
      </c>
      <c r="AX63">
        <v>0</v>
      </c>
      <c r="BQ63" t="s">
        <v>72</v>
      </c>
      <c r="BR63" t="s">
        <v>1704</v>
      </c>
    </row>
    <row r="64" spans="1:72" x14ac:dyDescent="0.25">
      <c r="A64" s="10" t="s">
        <v>1705</v>
      </c>
      <c r="B64" s="3">
        <v>43273</v>
      </c>
      <c r="C64" t="s">
        <v>1400</v>
      </c>
      <c r="D64" t="s">
        <v>1588</v>
      </c>
      <c r="E64" t="s">
        <v>1400</v>
      </c>
      <c r="F64">
        <v>6500</v>
      </c>
      <c r="G64" t="s">
        <v>1706</v>
      </c>
      <c r="H64" s="3">
        <v>43273</v>
      </c>
      <c r="I64" t="s">
        <v>1528</v>
      </c>
      <c r="J64">
        <v>6000</v>
      </c>
      <c r="K64" s="1"/>
      <c r="M64" s="3">
        <v>43280</v>
      </c>
      <c r="N64" t="s">
        <v>54</v>
      </c>
      <c r="O64" t="s">
        <v>1707</v>
      </c>
      <c r="P64" t="s">
        <v>60</v>
      </c>
      <c r="Q64">
        <v>5850</v>
      </c>
      <c r="AG64" t="s">
        <v>1708</v>
      </c>
      <c r="AH64" s="3">
        <v>43291</v>
      </c>
      <c r="AI64">
        <v>6500</v>
      </c>
      <c r="AJ64">
        <v>0</v>
      </c>
      <c r="AS64" t="s">
        <v>1709</v>
      </c>
      <c r="AT64" s="3">
        <v>43433</v>
      </c>
      <c r="AU64">
        <v>6370</v>
      </c>
      <c r="AV64">
        <v>0</v>
      </c>
      <c r="AW64">
        <v>130</v>
      </c>
      <c r="AX64">
        <v>0</v>
      </c>
      <c r="BQ64" t="s">
        <v>72</v>
      </c>
      <c r="BR64" t="s">
        <v>1710</v>
      </c>
    </row>
    <row r="65" spans="1:70" x14ac:dyDescent="0.25">
      <c r="A65" s="10" t="s">
        <v>1711</v>
      </c>
      <c r="B65" s="3">
        <v>43280</v>
      </c>
      <c r="C65" t="s">
        <v>1400</v>
      </c>
      <c r="D65" t="s">
        <v>1683</v>
      </c>
      <c r="E65" t="s">
        <v>1400</v>
      </c>
      <c r="F65">
        <v>22000</v>
      </c>
      <c r="G65" t="s">
        <v>1712</v>
      </c>
      <c r="H65" s="3">
        <v>43280</v>
      </c>
      <c r="I65" t="s">
        <v>344</v>
      </c>
      <c r="J65">
        <v>19000</v>
      </c>
      <c r="K65" s="1"/>
      <c r="M65" s="3">
        <v>43281</v>
      </c>
      <c r="N65" t="s">
        <v>1336</v>
      </c>
      <c r="O65" t="s">
        <v>410</v>
      </c>
      <c r="P65" t="s">
        <v>56</v>
      </c>
      <c r="Q65">
        <v>10000</v>
      </c>
      <c r="R65" s="3">
        <v>43281</v>
      </c>
      <c r="S65" t="s">
        <v>54</v>
      </c>
      <c r="T65" t="s">
        <v>707</v>
      </c>
      <c r="U65" t="s">
        <v>56</v>
      </c>
      <c r="V65">
        <v>5900</v>
      </c>
      <c r="W65" s="3">
        <v>43329</v>
      </c>
      <c r="X65" t="s">
        <v>54</v>
      </c>
      <c r="Y65" t="s">
        <v>538</v>
      </c>
      <c r="Z65" t="s">
        <v>60</v>
      </c>
      <c r="AA65">
        <v>2950</v>
      </c>
      <c r="AG65" t="s">
        <v>1713</v>
      </c>
      <c r="AH65" s="3">
        <v>43300</v>
      </c>
      <c r="AI65">
        <v>22000</v>
      </c>
      <c r="AJ65">
        <v>0</v>
      </c>
      <c r="AS65" t="s">
        <v>1709</v>
      </c>
      <c r="AT65" s="3">
        <v>43433</v>
      </c>
      <c r="AU65">
        <v>33320</v>
      </c>
      <c r="AV65">
        <v>0</v>
      </c>
      <c r="AW65">
        <v>680</v>
      </c>
      <c r="AX65">
        <v>0</v>
      </c>
      <c r="BQ65" t="s">
        <v>72</v>
      </c>
      <c r="BR65" t="s">
        <v>1710</v>
      </c>
    </row>
    <row r="66" spans="1:70" x14ac:dyDescent="0.25">
      <c r="A66" s="10" t="s">
        <v>1714</v>
      </c>
      <c r="B66" s="3">
        <v>43286</v>
      </c>
      <c r="C66" t="s">
        <v>1400</v>
      </c>
      <c r="D66" t="s">
        <v>1670</v>
      </c>
      <c r="E66" t="s">
        <v>1400</v>
      </c>
      <c r="F66">
        <v>12000</v>
      </c>
      <c r="G66" t="s">
        <v>1715</v>
      </c>
      <c r="H66" s="3">
        <v>43286</v>
      </c>
      <c r="I66" t="s">
        <v>344</v>
      </c>
      <c r="J66">
        <v>10500</v>
      </c>
      <c r="K66" s="1"/>
      <c r="M66" s="3">
        <v>43286</v>
      </c>
      <c r="N66" t="s">
        <v>54</v>
      </c>
      <c r="O66" t="s">
        <v>410</v>
      </c>
      <c r="P66" t="s">
        <v>56</v>
      </c>
      <c r="Q66">
        <v>7900</v>
      </c>
      <c r="R66" s="3">
        <v>43286</v>
      </c>
      <c r="S66" t="s">
        <v>57</v>
      </c>
      <c r="T66" t="s">
        <v>410</v>
      </c>
      <c r="U66" t="s">
        <v>56</v>
      </c>
      <c r="V66">
        <v>1500</v>
      </c>
      <c r="W66" s="3">
        <v>43329</v>
      </c>
      <c r="X66" t="s">
        <v>54</v>
      </c>
      <c r="Y66" t="s">
        <v>538</v>
      </c>
      <c r="Z66" t="s">
        <v>60</v>
      </c>
      <c r="AA66">
        <v>970</v>
      </c>
      <c r="AG66" t="s">
        <v>1713</v>
      </c>
      <c r="AH66" s="3">
        <v>43300</v>
      </c>
      <c r="AI66">
        <v>12000</v>
      </c>
      <c r="AJ66">
        <v>0</v>
      </c>
      <c r="AS66" t="s">
        <v>1709</v>
      </c>
      <c r="AT66" s="3">
        <v>43433</v>
      </c>
      <c r="AU66">
        <v>33320</v>
      </c>
      <c r="AV66">
        <v>0</v>
      </c>
      <c r="AW66">
        <v>680</v>
      </c>
      <c r="AX66">
        <v>0</v>
      </c>
      <c r="BQ66" t="s">
        <v>72</v>
      </c>
      <c r="BR66" t="s">
        <v>1710</v>
      </c>
    </row>
    <row r="67" spans="1:70" x14ac:dyDescent="0.25">
      <c r="A67" s="10" t="s">
        <v>1716</v>
      </c>
      <c r="B67" s="3">
        <v>43313</v>
      </c>
      <c r="C67" t="s">
        <v>1400</v>
      </c>
      <c r="D67" t="s">
        <v>1717</v>
      </c>
      <c r="E67" t="s">
        <v>1400</v>
      </c>
      <c r="F67">
        <v>29000</v>
      </c>
      <c r="G67" t="s">
        <v>1718</v>
      </c>
      <c r="H67" s="3">
        <v>43313</v>
      </c>
      <c r="I67" t="s">
        <v>344</v>
      </c>
      <c r="J67">
        <v>27000</v>
      </c>
      <c r="K67" s="1"/>
      <c r="M67" s="3">
        <v>43314</v>
      </c>
      <c r="N67" t="s">
        <v>54</v>
      </c>
      <c r="O67" t="s">
        <v>579</v>
      </c>
      <c r="P67" t="s">
        <v>56</v>
      </c>
      <c r="Q67">
        <v>13700</v>
      </c>
      <c r="R67" s="3">
        <v>43318</v>
      </c>
      <c r="S67" t="s">
        <v>1336</v>
      </c>
      <c r="T67" t="s">
        <v>1719</v>
      </c>
      <c r="U67" t="s">
        <v>56</v>
      </c>
      <c r="V67">
        <v>10000</v>
      </c>
      <c r="W67" s="3">
        <v>43343</v>
      </c>
      <c r="X67" t="s">
        <v>54</v>
      </c>
      <c r="Y67" t="s">
        <v>538</v>
      </c>
      <c r="Z67" t="s">
        <v>60</v>
      </c>
      <c r="AA67">
        <v>2950</v>
      </c>
      <c r="AG67" t="s">
        <v>1720</v>
      </c>
      <c r="AH67" s="3">
        <v>43332</v>
      </c>
      <c r="AI67">
        <v>29000</v>
      </c>
      <c r="AJ67">
        <v>0</v>
      </c>
      <c r="AS67" t="s">
        <v>1709</v>
      </c>
      <c r="AT67" s="3">
        <v>43433</v>
      </c>
      <c r="AU67">
        <v>27370</v>
      </c>
      <c r="AV67">
        <v>1050</v>
      </c>
      <c r="AW67">
        <v>580</v>
      </c>
      <c r="AX67">
        <v>0</v>
      </c>
      <c r="BQ67" t="s">
        <v>72</v>
      </c>
      <c r="BR67" t="s">
        <v>1710</v>
      </c>
    </row>
    <row r="68" spans="1:70" x14ac:dyDescent="0.25">
      <c r="A68" s="10" t="s">
        <v>1721</v>
      </c>
      <c r="B68" s="3">
        <v>43372</v>
      </c>
      <c r="C68" t="s">
        <v>1400</v>
      </c>
      <c r="D68" t="s">
        <v>1588</v>
      </c>
      <c r="E68" t="s">
        <v>1400</v>
      </c>
      <c r="F68">
        <v>6500</v>
      </c>
      <c r="G68" t="s">
        <v>1722</v>
      </c>
      <c r="H68" s="3">
        <v>43372</v>
      </c>
      <c r="I68" t="s">
        <v>1528</v>
      </c>
      <c r="J68">
        <v>6000</v>
      </c>
      <c r="K68" s="1"/>
      <c r="M68" s="3">
        <v>43388</v>
      </c>
      <c r="N68" t="s">
        <v>54</v>
      </c>
      <c r="O68" t="s">
        <v>1707</v>
      </c>
      <c r="P68" t="s">
        <v>56</v>
      </c>
      <c r="Q68">
        <v>5400</v>
      </c>
      <c r="R68" s="3">
        <v>43428</v>
      </c>
      <c r="S68" t="s">
        <v>57</v>
      </c>
      <c r="T68" t="s">
        <v>560</v>
      </c>
      <c r="U68" t="s">
        <v>60</v>
      </c>
      <c r="V68">
        <v>470</v>
      </c>
      <c r="AG68" t="s">
        <v>1723</v>
      </c>
      <c r="AH68" s="3">
        <v>43430</v>
      </c>
      <c r="AI68">
        <v>6500</v>
      </c>
      <c r="AJ68">
        <v>0</v>
      </c>
      <c r="AS68" t="s">
        <v>1724</v>
      </c>
      <c r="AT68" s="3">
        <v>43521</v>
      </c>
      <c r="AU68">
        <v>6370</v>
      </c>
      <c r="AV68">
        <v>0</v>
      </c>
      <c r="AW68">
        <v>130</v>
      </c>
      <c r="AX68">
        <v>0</v>
      </c>
      <c r="BQ68" t="s">
        <v>1610</v>
      </c>
      <c r="BR68" t="s">
        <v>1725</v>
      </c>
    </row>
    <row r="69" spans="1:70" x14ac:dyDescent="0.25">
      <c r="A69" s="10" t="s">
        <v>1726</v>
      </c>
      <c r="B69" s="3">
        <v>43400</v>
      </c>
      <c r="C69" t="s">
        <v>1400</v>
      </c>
      <c r="D69" t="s">
        <v>1727</v>
      </c>
      <c r="E69" t="s">
        <v>1400</v>
      </c>
      <c r="F69">
        <v>0</v>
      </c>
      <c r="G69" t="s">
        <v>1728</v>
      </c>
      <c r="H69" s="3">
        <v>43400</v>
      </c>
      <c r="I69" t="s">
        <v>344</v>
      </c>
      <c r="J69">
        <v>8500</v>
      </c>
      <c r="K69" s="1"/>
      <c r="M69" s="3">
        <v>43403</v>
      </c>
      <c r="N69" t="s">
        <v>54</v>
      </c>
      <c r="O69" t="s">
        <v>410</v>
      </c>
      <c r="P69" t="s">
        <v>56</v>
      </c>
      <c r="Q69">
        <v>7300</v>
      </c>
      <c r="R69" s="3">
        <v>43434</v>
      </c>
      <c r="S69" t="s">
        <v>54</v>
      </c>
      <c r="T69" t="s">
        <v>410</v>
      </c>
      <c r="U69" t="s">
        <v>60</v>
      </c>
      <c r="V69">
        <v>970</v>
      </c>
      <c r="AG69" t="s">
        <v>1729</v>
      </c>
      <c r="AH69" s="3">
        <v>43424</v>
      </c>
      <c r="AI69">
        <v>0</v>
      </c>
      <c r="AJ69">
        <v>0</v>
      </c>
      <c r="AS69" t="s">
        <v>1724</v>
      </c>
      <c r="AT69" s="3">
        <v>43521</v>
      </c>
      <c r="AU69">
        <v>15680</v>
      </c>
      <c r="AV69">
        <v>0</v>
      </c>
      <c r="AW69">
        <v>320</v>
      </c>
      <c r="AX69">
        <v>0</v>
      </c>
      <c r="BQ69" t="s">
        <v>1610</v>
      </c>
    </row>
    <row r="70" spans="1:70" x14ac:dyDescent="0.25">
      <c r="A70" s="10" t="s">
        <v>1730</v>
      </c>
      <c r="B70" s="3">
        <v>43400</v>
      </c>
      <c r="C70" t="s">
        <v>1400</v>
      </c>
      <c r="D70" t="s">
        <v>1727</v>
      </c>
      <c r="E70" t="s">
        <v>1400</v>
      </c>
      <c r="F70">
        <v>9500</v>
      </c>
      <c r="K70" s="1"/>
      <c r="AG70" t="s">
        <v>1729</v>
      </c>
      <c r="AH70" s="3">
        <v>43424</v>
      </c>
      <c r="AI70">
        <v>9500</v>
      </c>
      <c r="AJ70">
        <v>0</v>
      </c>
      <c r="AS70" t="s">
        <v>1724</v>
      </c>
      <c r="AT70" s="3">
        <v>43521</v>
      </c>
      <c r="AU70">
        <v>15680</v>
      </c>
      <c r="AV70">
        <v>0</v>
      </c>
      <c r="AW70">
        <v>320</v>
      </c>
      <c r="AX70">
        <v>0</v>
      </c>
      <c r="BQ70" t="s">
        <v>1610</v>
      </c>
      <c r="BR70" t="s">
        <v>1725</v>
      </c>
    </row>
    <row r="71" spans="1:70" x14ac:dyDescent="0.25">
      <c r="A71" s="10" t="s">
        <v>1731</v>
      </c>
      <c r="B71" s="3">
        <v>43397</v>
      </c>
      <c r="C71" t="s">
        <v>1400</v>
      </c>
      <c r="D71" t="s">
        <v>1717</v>
      </c>
      <c r="E71" t="s">
        <v>1400</v>
      </c>
      <c r="F71">
        <v>6500</v>
      </c>
      <c r="G71" t="s">
        <v>1732</v>
      </c>
      <c r="H71" s="3">
        <v>43416</v>
      </c>
      <c r="I71" t="s">
        <v>399</v>
      </c>
      <c r="J71">
        <v>5000</v>
      </c>
      <c r="K71" s="1"/>
      <c r="M71" s="3">
        <v>43421</v>
      </c>
      <c r="N71" t="s">
        <v>54</v>
      </c>
      <c r="O71" t="s">
        <v>327</v>
      </c>
      <c r="P71" t="s">
        <v>60</v>
      </c>
      <c r="Q71">
        <v>950</v>
      </c>
      <c r="R71" s="3">
        <v>43421</v>
      </c>
      <c r="S71" t="s">
        <v>54</v>
      </c>
      <c r="T71" t="s">
        <v>327</v>
      </c>
      <c r="U71" t="s">
        <v>56</v>
      </c>
      <c r="V71">
        <v>3950</v>
      </c>
      <c r="AG71" t="s">
        <v>1729</v>
      </c>
      <c r="AH71" s="3">
        <v>43424</v>
      </c>
      <c r="AI71">
        <v>6500</v>
      </c>
      <c r="AJ71">
        <v>0</v>
      </c>
      <c r="AS71" t="s">
        <v>1724</v>
      </c>
      <c r="AT71" s="3">
        <v>43521</v>
      </c>
      <c r="AU71">
        <v>15680</v>
      </c>
      <c r="AV71">
        <v>0</v>
      </c>
      <c r="AW71">
        <v>320</v>
      </c>
      <c r="AX71">
        <v>0</v>
      </c>
      <c r="BQ71" t="s">
        <v>1610</v>
      </c>
      <c r="BR71" t="s">
        <v>1725</v>
      </c>
    </row>
    <row r="72" spans="1:70" x14ac:dyDescent="0.25">
      <c r="A72" s="10" t="s">
        <v>1733</v>
      </c>
      <c r="B72" s="3">
        <v>43416</v>
      </c>
      <c r="C72" t="s">
        <v>1400</v>
      </c>
      <c r="D72" t="s">
        <v>1727</v>
      </c>
      <c r="E72" t="s">
        <v>1400</v>
      </c>
      <c r="F72">
        <v>10000</v>
      </c>
      <c r="G72" t="s">
        <v>1734</v>
      </c>
      <c r="H72" s="3">
        <v>43416</v>
      </c>
      <c r="I72" t="s">
        <v>230</v>
      </c>
      <c r="J72">
        <v>9000</v>
      </c>
      <c r="K72" s="1"/>
      <c r="M72" s="3">
        <v>43416</v>
      </c>
      <c r="N72" t="s">
        <v>54</v>
      </c>
      <c r="O72" t="s">
        <v>1074</v>
      </c>
      <c r="P72" t="s">
        <v>56</v>
      </c>
      <c r="Q72">
        <v>7900</v>
      </c>
      <c r="R72" s="3">
        <v>43455</v>
      </c>
      <c r="S72" t="s">
        <v>54</v>
      </c>
      <c r="T72" t="s">
        <v>305</v>
      </c>
      <c r="U72" t="s">
        <v>60</v>
      </c>
      <c r="V72">
        <v>970</v>
      </c>
      <c r="AG72" t="s">
        <v>1735</v>
      </c>
      <c r="AH72" s="3">
        <v>43524</v>
      </c>
      <c r="AI72">
        <v>10000</v>
      </c>
      <c r="AJ72">
        <v>0</v>
      </c>
      <c r="AS72" t="s">
        <v>1736</v>
      </c>
      <c r="AT72" s="3">
        <v>43530</v>
      </c>
      <c r="AU72">
        <v>9800</v>
      </c>
      <c r="AV72">
        <v>0</v>
      </c>
      <c r="AW72">
        <v>200</v>
      </c>
      <c r="AX72">
        <v>0</v>
      </c>
      <c r="BQ72" t="s">
        <v>1610</v>
      </c>
      <c r="BR72" t="s">
        <v>1737</v>
      </c>
    </row>
    <row r="73" spans="1:70" x14ac:dyDescent="0.25">
      <c r="A73" s="10" t="s">
        <v>1738</v>
      </c>
      <c r="B73" s="3">
        <v>43433</v>
      </c>
      <c r="C73" t="s">
        <v>1400</v>
      </c>
      <c r="D73" t="s">
        <v>1717</v>
      </c>
      <c r="E73" t="s">
        <v>1400</v>
      </c>
      <c r="F73">
        <v>0</v>
      </c>
      <c r="G73" t="s">
        <v>1739</v>
      </c>
      <c r="H73" s="3">
        <v>43433</v>
      </c>
      <c r="I73" t="s">
        <v>344</v>
      </c>
      <c r="J73">
        <v>7000</v>
      </c>
      <c r="K73" s="1"/>
      <c r="M73" s="3">
        <v>43439</v>
      </c>
      <c r="N73" t="s">
        <v>57</v>
      </c>
      <c r="P73" t="s">
        <v>56</v>
      </c>
      <c r="Q73">
        <v>1950</v>
      </c>
      <c r="R73" s="3">
        <v>43514</v>
      </c>
      <c r="S73" t="s">
        <v>54</v>
      </c>
      <c r="T73" t="s">
        <v>632</v>
      </c>
      <c r="U73" t="s">
        <v>60</v>
      </c>
      <c r="V73">
        <v>4900</v>
      </c>
      <c r="AG73" t="s">
        <v>1740</v>
      </c>
      <c r="AH73" s="3">
        <v>43438</v>
      </c>
      <c r="AI73">
        <v>0</v>
      </c>
      <c r="AJ73">
        <v>0</v>
      </c>
      <c r="AS73" t="s">
        <v>1736</v>
      </c>
      <c r="AT73" s="3">
        <v>43530</v>
      </c>
      <c r="AU73">
        <v>7840</v>
      </c>
      <c r="AV73">
        <v>0</v>
      </c>
      <c r="AW73">
        <v>160</v>
      </c>
      <c r="AX73">
        <v>0</v>
      </c>
      <c r="BQ73" t="s">
        <v>1610</v>
      </c>
      <c r="BR73" t="s">
        <v>1737</v>
      </c>
    </row>
    <row r="74" spans="1:70" x14ac:dyDescent="0.25">
      <c r="A74" s="10" t="s">
        <v>1741</v>
      </c>
      <c r="B74" s="3">
        <v>43433</v>
      </c>
      <c r="C74" t="s">
        <v>1400</v>
      </c>
      <c r="D74" t="s">
        <v>1717</v>
      </c>
      <c r="E74" t="s">
        <v>1400</v>
      </c>
      <c r="F74">
        <v>8000</v>
      </c>
      <c r="K74" s="1"/>
      <c r="AG74" t="s">
        <v>1740</v>
      </c>
      <c r="AH74" s="3">
        <v>43438</v>
      </c>
      <c r="AI74">
        <v>8000</v>
      </c>
      <c r="AJ74">
        <v>0</v>
      </c>
      <c r="AS74" t="s">
        <v>1736</v>
      </c>
      <c r="AT74" s="3">
        <v>43530</v>
      </c>
      <c r="AU74">
        <v>7840</v>
      </c>
      <c r="AV74">
        <v>0</v>
      </c>
      <c r="AW74">
        <v>160</v>
      </c>
      <c r="AX74">
        <v>0</v>
      </c>
      <c r="BQ74" t="s">
        <v>1610</v>
      </c>
      <c r="BR74" t="s">
        <v>1737</v>
      </c>
    </row>
    <row r="75" spans="1:70" x14ac:dyDescent="0.25">
      <c r="A75" s="10" t="s">
        <v>1742</v>
      </c>
      <c r="B75" s="3">
        <v>43433</v>
      </c>
      <c r="C75" t="s">
        <v>1400</v>
      </c>
      <c r="D75" t="s">
        <v>1717</v>
      </c>
      <c r="E75" t="s">
        <v>1400</v>
      </c>
      <c r="F75">
        <v>0</v>
      </c>
      <c r="G75" t="s">
        <v>1739</v>
      </c>
      <c r="H75" s="3">
        <v>43433</v>
      </c>
      <c r="I75" t="s">
        <v>344</v>
      </c>
      <c r="J75">
        <v>7000</v>
      </c>
      <c r="K75" s="1"/>
      <c r="M75" s="3">
        <v>43439</v>
      </c>
      <c r="N75" t="s">
        <v>57</v>
      </c>
      <c r="P75" t="s">
        <v>56</v>
      </c>
      <c r="Q75">
        <v>1950</v>
      </c>
      <c r="R75" s="3">
        <v>43514</v>
      </c>
      <c r="S75" t="s">
        <v>54</v>
      </c>
      <c r="T75" t="s">
        <v>632</v>
      </c>
      <c r="U75" t="s">
        <v>60</v>
      </c>
      <c r="V75">
        <v>4900</v>
      </c>
      <c r="AG75" t="s">
        <v>1740</v>
      </c>
      <c r="AH75" s="3">
        <v>43438</v>
      </c>
      <c r="AI75">
        <v>0</v>
      </c>
      <c r="AJ75">
        <v>0</v>
      </c>
      <c r="AS75" t="s">
        <v>1736</v>
      </c>
      <c r="AT75" s="3">
        <v>43530</v>
      </c>
      <c r="AU75">
        <v>7840</v>
      </c>
      <c r="AV75">
        <v>0</v>
      </c>
      <c r="AW75">
        <v>160</v>
      </c>
      <c r="AX75">
        <v>0</v>
      </c>
      <c r="BQ75" t="s">
        <v>1610</v>
      </c>
      <c r="BR75" t="s">
        <v>1737</v>
      </c>
    </row>
    <row r="76" spans="1:70" x14ac:dyDescent="0.25">
      <c r="A76" s="10" t="s">
        <v>1743</v>
      </c>
      <c r="B76" s="3">
        <v>43433</v>
      </c>
      <c r="C76" t="s">
        <v>1400</v>
      </c>
      <c r="D76" t="s">
        <v>1717</v>
      </c>
      <c r="E76" t="s">
        <v>1400</v>
      </c>
      <c r="F76">
        <v>0</v>
      </c>
      <c r="K76" s="1"/>
      <c r="AG76" t="s">
        <v>1740</v>
      </c>
      <c r="AH76" s="3">
        <v>43438</v>
      </c>
      <c r="AI76">
        <v>0</v>
      </c>
      <c r="AJ76">
        <v>0</v>
      </c>
      <c r="AS76" t="s">
        <v>1736</v>
      </c>
      <c r="AT76" s="3">
        <v>43530</v>
      </c>
      <c r="AU76">
        <v>7840</v>
      </c>
      <c r="AV76">
        <v>0</v>
      </c>
      <c r="AW76">
        <v>160</v>
      </c>
      <c r="AX76">
        <v>0</v>
      </c>
      <c r="BQ76" t="s">
        <v>1610</v>
      </c>
      <c r="BR76" t="s">
        <v>1737</v>
      </c>
    </row>
    <row r="77" spans="1:70" x14ac:dyDescent="0.25">
      <c r="A77" s="10" t="s">
        <v>1744</v>
      </c>
      <c r="B77" s="3">
        <v>43441</v>
      </c>
      <c r="C77" t="s">
        <v>1400</v>
      </c>
      <c r="D77" t="s">
        <v>1745</v>
      </c>
      <c r="E77" t="s">
        <v>1400</v>
      </c>
      <c r="F77">
        <v>7500</v>
      </c>
      <c r="G77" t="s">
        <v>1746</v>
      </c>
      <c r="H77" s="3">
        <v>43441</v>
      </c>
      <c r="I77" t="s">
        <v>601</v>
      </c>
      <c r="J77">
        <v>6300</v>
      </c>
      <c r="K77" s="1"/>
      <c r="M77" s="3">
        <v>43445</v>
      </c>
      <c r="N77" t="s">
        <v>54</v>
      </c>
      <c r="O77" t="s">
        <v>601</v>
      </c>
      <c r="P77" t="s">
        <v>56</v>
      </c>
      <c r="Q77">
        <v>5450</v>
      </c>
      <c r="R77" s="3">
        <v>43476</v>
      </c>
      <c r="S77" t="s">
        <v>54</v>
      </c>
      <c r="T77" t="s">
        <v>968</v>
      </c>
      <c r="U77" t="s">
        <v>60</v>
      </c>
      <c r="V77">
        <v>770</v>
      </c>
      <c r="AG77" t="s">
        <v>1747</v>
      </c>
      <c r="AH77" s="3">
        <v>43474</v>
      </c>
      <c r="AI77">
        <v>7500</v>
      </c>
      <c r="AJ77">
        <v>0</v>
      </c>
      <c r="AS77" t="s">
        <v>1752</v>
      </c>
      <c r="AT77" s="3">
        <v>43552</v>
      </c>
      <c r="AU77">
        <v>31850</v>
      </c>
      <c r="AV77">
        <v>0</v>
      </c>
      <c r="AW77">
        <v>650</v>
      </c>
      <c r="AX77">
        <v>0</v>
      </c>
      <c r="BQ77" t="s">
        <v>72</v>
      </c>
      <c r="BR77" t="s">
        <v>1753</v>
      </c>
    </row>
    <row r="78" spans="1:70" x14ac:dyDescent="0.25">
      <c r="A78" t="s">
        <v>1748</v>
      </c>
      <c r="B78" s="3">
        <v>43444</v>
      </c>
      <c r="C78" t="s">
        <v>1400</v>
      </c>
      <c r="D78" t="s">
        <v>1632</v>
      </c>
      <c r="E78" t="s">
        <v>1400</v>
      </c>
      <c r="F78">
        <v>0</v>
      </c>
      <c r="G78" t="s">
        <v>1749</v>
      </c>
      <c r="H78" s="3">
        <v>43444</v>
      </c>
      <c r="I78" t="s">
        <v>344</v>
      </c>
      <c r="J78">
        <v>7000</v>
      </c>
      <c r="K78" s="1"/>
      <c r="M78" s="3">
        <v>43449</v>
      </c>
      <c r="N78" t="s">
        <v>57</v>
      </c>
      <c r="P78" t="s">
        <v>56</v>
      </c>
      <c r="Q78">
        <v>1950</v>
      </c>
      <c r="R78" s="3">
        <v>43449</v>
      </c>
      <c r="S78" t="s">
        <v>54</v>
      </c>
      <c r="T78" t="s">
        <v>1615</v>
      </c>
      <c r="U78" t="s">
        <v>60</v>
      </c>
      <c r="V78">
        <v>4900</v>
      </c>
      <c r="AG78" t="s">
        <v>1750</v>
      </c>
      <c r="AH78" s="3">
        <v>43451</v>
      </c>
      <c r="AI78">
        <v>0</v>
      </c>
      <c r="AJ78">
        <v>0</v>
      </c>
      <c r="AS78" t="s">
        <v>1736</v>
      </c>
      <c r="AT78" s="3">
        <v>43530</v>
      </c>
      <c r="AU78">
        <v>7840</v>
      </c>
      <c r="AV78">
        <v>0</v>
      </c>
      <c r="AW78">
        <v>160</v>
      </c>
      <c r="AX78">
        <v>0</v>
      </c>
    </row>
    <row r="79" spans="1:70" x14ac:dyDescent="0.25">
      <c r="A79" t="s">
        <v>1751</v>
      </c>
      <c r="B79" s="3">
        <v>43444</v>
      </c>
      <c r="C79" t="s">
        <v>1400</v>
      </c>
      <c r="D79" t="s">
        <v>1632</v>
      </c>
      <c r="E79" t="s">
        <v>1400</v>
      </c>
      <c r="F79">
        <v>8000</v>
      </c>
      <c r="K79" s="1"/>
      <c r="AG79" t="s">
        <v>1750</v>
      </c>
      <c r="AH79" s="3">
        <v>43451</v>
      </c>
      <c r="AI79">
        <v>8000</v>
      </c>
      <c r="AJ79">
        <v>0</v>
      </c>
      <c r="AS79" t="s">
        <v>1736</v>
      </c>
      <c r="AT79" s="3">
        <v>43530</v>
      </c>
      <c r="AU79">
        <v>7840</v>
      </c>
      <c r="AV79">
        <v>0</v>
      </c>
      <c r="AW79">
        <v>160</v>
      </c>
      <c r="AX79">
        <v>0</v>
      </c>
    </row>
    <row r="80" spans="1:70" x14ac:dyDescent="0.25">
      <c r="A80" t="s">
        <v>1754</v>
      </c>
      <c r="B80" s="3">
        <v>43445</v>
      </c>
      <c r="C80" t="s">
        <v>1400</v>
      </c>
      <c r="D80" t="s">
        <v>1755</v>
      </c>
      <c r="E80" t="s">
        <v>1400</v>
      </c>
      <c r="F80">
        <v>0</v>
      </c>
      <c r="G80" t="s">
        <v>1756</v>
      </c>
      <c r="H80" s="3">
        <v>43445</v>
      </c>
      <c r="I80" t="s">
        <v>344</v>
      </c>
      <c r="J80">
        <v>8000</v>
      </c>
      <c r="K80" s="1"/>
      <c r="M80" s="3">
        <v>43445</v>
      </c>
      <c r="N80" t="s">
        <v>54</v>
      </c>
      <c r="O80" t="s">
        <v>632</v>
      </c>
      <c r="P80" t="s">
        <v>56</v>
      </c>
      <c r="Q80">
        <v>6900</v>
      </c>
      <c r="R80" s="3">
        <v>43537</v>
      </c>
      <c r="S80" t="s">
        <v>54</v>
      </c>
      <c r="T80" t="s">
        <v>410</v>
      </c>
      <c r="U80" t="s">
        <v>60</v>
      </c>
      <c r="V80">
        <v>970</v>
      </c>
    </row>
    <row r="81" spans="1:70" x14ac:dyDescent="0.25">
      <c r="A81" s="5" t="s">
        <v>1757</v>
      </c>
      <c r="B81" s="3">
        <v>43445</v>
      </c>
      <c r="C81" t="s">
        <v>1400</v>
      </c>
      <c r="D81" t="s">
        <v>1755</v>
      </c>
      <c r="E81" t="s">
        <v>1400</v>
      </c>
      <c r="F81">
        <v>9500</v>
      </c>
      <c r="K81" s="1" t="s">
        <v>67</v>
      </c>
      <c r="AG81" s="5" t="s">
        <v>1758</v>
      </c>
      <c r="AH81" s="3">
        <v>43502</v>
      </c>
      <c r="AI81" s="5">
        <v>9500</v>
      </c>
      <c r="AJ81">
        <v>9500</v>
      </c>
    </row>
    <row r="82" spans="1:70" x14ac:dyDescent="0.25">
      <c r="A82" t="s">
        <v>1759</v>
      </c>
      <c r="B82" s="3">
        <v>43448</v>
      </c>
      <c r="C82" t="s">
        <v>1400</v>
      </c>
      <c r="D82" t="s">
        <v>1632</v>
      </c>
      <c r="E82" t="s">
        <v>1400</v>
      </c>
      <c r="F82">
        <v>5000</v>
      </c>
      <c r="G82" t="s">
        <v>1760</v>
      </c>
      <c r="H82" s="3">
        <v>43448</v>
      </c>
      <c r="I82" t="s">
        <v>514</v>
      </c>
      <c r="J82">
        <v>4000</v>
      </c>
      <c r="K82" s="1"/>
      <c r="M82" s="3">
        <v>43449</v>
      </c>
      <c r="N82" t="s">
        <v>57</v>
      </c>
      <c r="P82" t="s">
        <v>60</v>
      </c>
      <c r="Q82">
        <v>970</v>
      </c>
      <c r="R82" s="3">
        <v>43449</v>
      </c>
      <c r="S82" t="s">
        <v>57</v>
      </c>
      <c r="U82" t="s">
        <v>56</v>
      </c>
      <c r="V82">
        <v>2900</v>
      </c>
      <c r="AG82" t="s">
        <v>1761</v>
      </c>
      <c r="AH82" s="3">
        <v>43453</v>
      </c>
      <c r="AI82">
        <v>5000</v>
      </c>
      <c r="AJ82">
        <v>0</v>
      </c>
      <c r="AS82" t="s">
        <v>1736</v>
      </c>
      <c r="AT82" s="3">
        <v>43530</v>
      </c>
      <c r="AU82">
        <v>4900</v>
      </c>
      <c r="AV82">
        <v>0</v>
      </c>
      <c r="AW82">
        <v>100</v>
      </c>
      <c r="AX82">
        <v>0</v>
      </c>
    </row>
    <row r="83" spans="1:70" x14ac:dyDescent="0.25">
      <c r="A83" t="s">
        <v>1762</v>
      </c>
      <c r="B83" s="3">
        <v>43448</v>
      </c>
      <c r="C83" t="s">
        <v>1400</v>
      </c>
      <c r="D83" t="s">
        <v>1632</v>
      </c>
      <c r="E83" t="s">
        <v>1400</v>
      </c>
      <c r="F83">
        <v>0</v>
      </c>
      <c r="K83" s="1"/>
      <c r="AG83" t="s">
        <v>1761</v>
      </c>
      <c r="AH83" s="3">
        <v>43453</v>
      </c>
      <c r="AI83">
        <v>0</v>
      </c>
      <c r="AJ83">
        <v>0</v>
      </c>
      <c r="AS83" t="s">
        <v>1736</v>
      </c>
      <c r="AT83" s="3">
        <v>43530</v>
      </c>
      <c r="AU83">
        <v>4900</v>
      </c>
      <c r="AV83">
        <v>0</v>
      </c>
      <c r="AW83">
        <v>100</v>
      </c>
      <c r="AX83">
        <v>0</v>
      </c>
    </row>
    <row r="84" spans="1:70" x14ac:dyDescent="0.25">
      <c r="A84" s="10" t="s">
        <v>1763</v>
      </c>
      <c r="B84" s="3">
        <v>43454</v>
      </c>
      <c r="C84" t="s">
        <v>1400</v>
      </c>
      <c r="D84" t="s">
        <v>1764</v>
      </c>
      <c r="E84" t="s">
        <v>1400</v>
      </c>
      <c r="F84">
        <v>20000</v>
      </c>
      <c r="G84" t="s">
        <v>1765</v>
      </c>
      <c r="H84" s="3">
        <v>43454</v>
      </c>
      <c r="I84" t="s">
        <v>1528</v>
      </c>
      <c r="J84">
        <v>17500</v>
      </c>
      <c r="K84" s="1"/>
      <c r="M84" s="3">
        <v>43455</v>
      </c>
      <c r="N84" t="s">
        <v>57</v>
      </c>
      <c r="P84" t="s">
        <v>56</v>
      </c>
      <c r="Q84">
        <v>6500</v>
      </c>
      <c r="R84" s="3">
        <v>43476</v>
      </c>
      <c r="S84" t="s">
        <v>54</v>
      </c>
      <c r="T84" t="s">
        <v>1707</v>
      </c>
      <c r="U84" t="s">
        <v>60</v>
      </c>
      <c r="V84">
        <v>10700</v>
      </c>
      <c r="AG84" t="s">
        <v>1747</v>
      </c>
      <c r="AH84" s="3">
        <v>43474</v>
      </c>
      <c r="AI84">
        <v>20000</v>
      </c>
      <c r="AJ84">
        <v>0</v>
      </c>
      <c r="AS84" s="10" t="s">
        <v>1752</v>
      </c>
      <c r="AT84" s="3">
        <v>43552</v>
      </c>
      <c r="AU84">
        <v>31850</v>
      </c>
      <c r="AV84">
        <v>0</v>
      </c>
      <c r="AW84">
        <v>650</v>
      </c>
      <c r="AX84">
        <v>0</v>
      </c>
      <c r="BQ84" t="s">
        <v>72</v>
      </c>
      <c r="BR84" t="s">
        <v>1753</v>
      </c>
    </row>
    <row r="85" spans="1:70" x14ac:dyDescent="0.25">
      <c r="A85" s="5" t="s">
        <v>1766</v>
      </c>
      <c r="B85" s="3">
        <v>43455</v>
      </c>
      <c r="C85" t="s">
        <v>1400</v>
      </c>
      <c r="D85" t="s">
        <v>1588</v>
      </c>
      <c r="E85" t="s">
        <v>1400</v>
      </c>
      <c r="F85">
        <v>6500</v>
      </c>
      <c r="G85" t="s">
        <v>1767</v>
      </c>
      <c r="H85" s="3">
        <v>43455</v>
      </c>
      <c r="I85" t="s">
        <v>1528</v>
      </c>
      <c r="J85">
        <v>5500</v>
      </c>
      <c r="K85" s="1" t="s">
        <v>67</v>
      </c>
      <c r="M85" s="3">
        <v>43514</v>
      </c>
      <c r="N85" t="s">
        <v>54</v>
      </c>
      <c r="O85" t="s">
        <v>1707</v>
      </c>
      <c r="P85" t="s">
        <v>60</v>
      </c>
      <c r="Q85">
        <v>5450</v>
      </c>
      <c r="AG85" s="5" t="s">
        <v>1768</v>
      </c>
      <c r="AH85" s="3">
        <v>43502</v>
      </c>
      <c r="AI85" s="5">
        <v>6500</v>
      </c>
      <c r="AJ85">
        <v>6500</v>
      </c>
    </row>
    <row r="86" spans="1:70" x14ac:dyDescent="0.25">
      <c r="A86" s="10" t="s">
        <v>1769</v>
      </c>
      <c r="B86" s="3">
        <v>43458</v>
      </c>
      <c r="C86" t="s">
        <v>1400</v>
      </c>
      <c r="D86" t="s">
        <v>1632</v>
      </c>
      <c r="E86" t="s">
        <v>1400</v>
      </c>
      <c r="F86">
        <v>5000</v>
      </c>
      <c r="G86" t="s">
        <v>1770</v>
      </c>
      <c r="H86" s="3">
        <v>43459</v>
      </c>
      <c r="I86" t="s">
        <v>514</v>
      </c>
      <c r="J86">
        <v>4000</v>
      </c>
      <c r="K86" s="1"/>
      <c r="M86" s="3">
        <v>43465</v>
      </c>
      <c r="N86" t="s">
        <v>57</v>
      </c>
      <c r="P86" t="s">
        <v>56</v>
      </c>
      <c r="Q86">
        <v>2900</v>
      </c>
      <c r="R86" s="3">
        <v>43512</v>
      </c>
      <c r="S86" t="s">
        <v>57</v>
      </c>
      <c r="U86" t="s">
        <v>60</v>
      </c>
      <c r="V86">
        <v>970</v>
      </c>
      <c r="AG86" t="s">
        <v>1747</v>
      </c>
      <c r="AH86" s="3">
        <v>43474</v>
      </c>
      <c r="AI86">
        <v>5000</v>
      </c>
      <c r="AJ86">
        <v>0</v>
      </c>
      <c r="AS86" t="s">
        <v>1752</v>
      </c>
      <c r="AT86" s="3">
        <v>43552</v>
      </c>
      <c r="AU86">
        <v>31850</v>
      </c>
      <c r="AV86">
        <v>0</v>
      </c>
      <c r="AW86">
        <v>650</v>
      </c>
      <c r="AX86">
        <v>0</v>
      </c>
      <c r="BQ86" t="s">
        <v>72</v>
      </c>
      <c r="BR86" t="s">
        <v>1753</v>
      </c>
    </row>
    <row r="87" spans="1:70" x14ac:dyDescent="0.25">
      <c r="A87" t="s">
        <v>1771</v>
      </c>
      <c r="B87" s="3">
        <v>43473</v>
      </c>
      <c r="C87" t="s">
        <v>1400</v>
      </c>
      <c r="D87" t="s">
        <v>1745</v>
      </c>
      <c r="E87" t="s">
        <v>1400</v>
      </c>
      <c r="F87">
        <v>20000</v>
      </c>
      <c r="G87" t="s">
        <v>1772</v>
      </c>
      <c r="H87" s="3">
        <v>43473</v>
      </c>
      <c r="I87" t="s">
        <v>230</v>
      </c>
      <c r="J87">
        <v>18000</v>
      </c>
      <c r="K87" s="1"/>
      <c r="M87" s="3">
        <v>43476</v>
      </c>
      <c r="N87" t="s">
        <v>54</v>
      </c>
      <c r="O87" t="s">
        <v>305</v>
      </c>
      <c r="P87" t="s">
        <v>56</v>
      </c>
      <c r="Q87">
        <v>15850</v>
      </c>
      <c r="AG87" t="s">
        <v>1773</v>
      </c>
      <c r="AH87" s="3">
        <v>43522</v>
      </c>
      <c r="AI87">
        <v>20000</v>
      </c>
      <c r="AJ87">
        <v>90000</v>
      </c>
    </row>
    <row r="88" spans="1:70" x14ac:dyDescent="0.25">
      <c r="A88" t="s">
        <v>1774</v>
      </c>
      <c r="B88" s="3">
        <v>43476</v>
      </c>
      <c r="C88" t="s">
        <v>1400</v>
      </c>
      <c r="D88" t="s">
        <v>1745</v>
      </c>
      <c r="E88" t="s">
        <v>1400</v>
      </c>
      <c r="F88">
        <v>50000</v>
      </c>
      <c r="G88" t="s">
        <v>1775</v>
      </c>
      <c r="H88" s="3">
        <v>43476</v>
      </c>
      <c r="I88" t="s">
        <v>1305</v>
      </c>
      <c r="J88">
        <v>40000</v>
      </c>
      <c r="K88" s="1"/>
      <c r="M88" s="3">
        <v>43512</v>
      </c>
      <c r="N88" t="s">
        <v>54</v>
      </c>
      <c r="O88" t="s">
        <v>1305</v>
      </c>
      <c r="P88" t="s">
        <v>56</v>
      </c>
      <c r="Q88">
        <v>24400</v>
      </c>
      <c r="R88" s="3">
        <v>43514</v>
      </c>
      <c r="S88" t="s">
        <v>1336</v>
      </c>
      <c r="U88" t="s">
        <v>56</v>
      </c>
      <c r="V88">
        <v>10000</v>
      </c>
      <c r="W88" s="3">
        <v>43545</v>
      </c>
      <c r="X88" t="s">
        <v>54</v>
      </c>
      <c r="Y88" t="s">
        <v>1306</v>
      </c>
      <c r="Z88" t="s">
        <v>60</v>
      </c>
      <c r="AA88">
        <v>4900</v>
      </c>
      <c r="AG88" t="s">
        <v>1773</v>
      </c>
      <c r="AH88" s="3">
        <v>43522</v>
      </c>
      <c r="AI88">
        <v>50000</v>
      </c>
      <c r="AJ88">
        <v>90000</v>
      </c>
    </row>
    <row r="89" spans="1:70" x14ac:dyDescent="0.25">
      <c r="A89" t="s">
        <v>1776</v>
      </c>
      <c r="B89" s="3">
        <v>43476</v>
      </c>
      <c r="C89" t="s">
        <v>1400</v>
      </c>
      <c r="D89" t="s">
        <v>1745</v>
      </c>
      <c r="E89" t="s">
        <v>1400</v>
      </c>
      <c r="F89">
        <v>20000</v>
      </c>
      <c r="G89" t="s">
        <v>1777</v>
      </c>
      <c r="H89" s="3">
        <v>43476</v>
      </c>
      <c r="I89" t="s">
        <v>230</v>
      </c>
      <c r="J89">
        <v>20000</v>
      </c>
      <c r="K89" s="1"/>
      <c r="M89" s="3">
        <v>43490</v>
      </c>
      <c r="N89" t="s">
        <v>54</v>
      </c>
      <c r="O89" t="s">
        <v>756</v>
      </c>
      <c r="P89" t="s">
        <v>56</v>
      </c>
      <c r="Q89">
        <v>17800</v>
      </c>
      <c r="R89" s="3">
        <v>43558</v>
      </c>
      <c r="S89" t="s">
        <v>54</v>
      </c>
      <c r="T89" t="s">
        <v>1074</v>
      </c>
      <c r="U89" t="s">
        <v>60</v>
      </c>
      <c r="V89">
        <v>1970</v>
      </c>
      <c r="AG89" t="s">
        <v>1778</v>
      </c>
      <c r="AH89" s="3">
        <v>43546</v>
      </c>
      <c r="AI89">
        <v>20000</v>
      </c>
      <c r="AJ89">
        <v>20000</v>
      </c>
    </row>
    <row r="90" spans="1:70" x14ac:dyDescent="0.25">
      <c r="A90" t="s">
        <v>1779</v>
      </c>
      <c r="B90" s="3">
        <v>43476</v>
      </c>
      <c r="C90" t="s">
        <v>1400</v>
      </c>
      <c r="D90" t="s">
        <v>1745</v>
      </c>
      <c r="E90" t="s">
        <v>1400</v>
      </c>
      <c r="F90">
        <v>20000</v>
      </c>
      <c r="G90" t="s">
        <v>1780</v>
      </c>
      <c r="H90" s="3">
        <v>43487</v>
      </c>
      <c r="I90" t="s">
        <v>290</v>
      </c>
      <c r="J90">
        <v>18000</v>
      </c>
      <c r="K90" s="1"/>
      <c r="M90" s="3">
        <v>43490</v>
      </c>
      <c r="N90" t="s">
        <v>54</v>
      </c>
      <c r="O90" t="s">
        <v>1083</v>
      </c>
      <c r="P90" t="s">
        <v>56</v>
      </c>
      <c r="Q90">
        <v>15800</v>
      </c>
      <c r="R90" s="3">
        <v>43567</v>
      </c>
      <c r="S90" t="s">
        <v>54</v>
      </c>
      <c r="T90" t="s">
        <v>1083</v>
      </c>
      <c r="U90" t="s">
        <v>60</v>
      </c>
      <c r="V90">
        <v>1970</v>
      </c>
      <c r="AG90" t="s">
        <v>1773</v>
      </c>
      <c r="AH90" s="3">
        <v>43522</v>
      </c>
      <c r="AI90">
        <v>20000</v>
      </c>
      <c r="AJ90">
        <v>90000</v>
      </c>
    </row>
    <row r="91" spans="1:70" x14ac:dyDescent="0.25">
      <c r="A91" t="s">
        <v>1781</v>
      </c>
      <c r="B91" s="3">
        <v>43489</v>
      </c>
      <c r="C91" t="s">
        <v>1400</v>
      </c>
      <c r="D91" t="s">
        <v>1782</v>
      </c>
      <c r="E91" t="s">
        <v>1400</v>
      </c>
      <c r="F91">
        <v>30000</v>
      </c>
      <c r="G91" t="s">
        <v>1783</v>
      </c>
      <c r="H91" s="3">
        <v>43489</v>
      </c>
      <c r="I91" t="s">
        <v>399</v>
      </c>
      <c r="J91">
        <v>27000</v>
      </c>
      <c r="K91" s="1"/>
      <c r="M91" s="3">
        <v>43494</v>
      </c>
      <c r="N91" t="s">
        <v>54</v>
      </c>
      <c r="O91" t="s">
        <v>1784</v>
      </c>
      <c r="P91" t="s">
        <v>56</v>
      </c>
      <c r="Q91">
        <v>23750</v>
      </c>
      <c r="AG91" t="s">
        <v>1785</v>
      </c>
      <c r="AH91" s="3">
        <v>43546</v>
      </c>
      <c r="AI91">
        <v>30000</v>
      </c>
      <c r="AJ91">
        <v>30000</v>
      </c>
    </row>
    <row r="92" spans="1:70" x14ac:dyDescent="0.25">
      <c r="A92" t="s">
        <v>1786</v>
      </c>
      <c r="B92" s="3">
        <v>43559</v>
      </c>
      <c r="C92" t="s">
        <v>1400</v>
      </c>
      <c r="D92" t="s">
        <v>1632</v>
      </c>
      <c r="E92" t="s">
        <v>1400</v>
      </c>
      <c r="F92">
        <v>0</v>
      </c>
      <c r="G92" t="s">
        <v>1787</v>
      </c>
      <c r="H92" s="3">
        <v>43559</v>
      </c>
      <c r="I92" t="s">
        <v>1106</v>
      </c>
      <c r="J92">
        <v>9000</v>
      </c>
      <c r="K92" s="1"/>
      <c r="M92" s="3">
        <v>43563</v>
      </c>
      <c r="N92" t="s">
        <v>54</v>
      </c>
      <c r="O92" t="s">
        <v>1106</v>
      </c>
      <c r="P92" t="s">
        <v>56</v>
      </c>
      <c r="Q92">
        <v>8400</v>
      </c>
      <c r="AG92" t="s">
        <v>1788</v>
      </c>
      <c r="AH92" s="3">
        <v>43564</v>
      </c>
      <c r="AI92">
        <v>0</v>
      </c>
      <c r="AJ92">
        <v>10000</v>
      </c>
    </row>
    <row r="93" spans="1:70" x14ac:dyDescent="0.25">
      <c r="A93" t="s">
        <v>1789</v>
      </c>
      <c r="B93" s="3">
        <v>43559</v>
      </c>
      <c r="C93" t="s">
        <v>1400</v>
      </c>
      <c r="D93" t="s">
        <v>1632</v>
      </c>
      <c r="E93" t="s">
        <v>1400</v>
      </c>
      <c r="F93">
        <v>10000</v>
      </c>
      <c r="K93" s="1"/>
      <c r="AG93" t="s">
        <v>1788</v>
      </c>
      <c r="AH93" s="3">
        <v>43564</v>
      </c>
      <c r="AI93">
        <v>10000</v>
      </c>
      <c r="AJ93">
        <v>10000</v>
      </c>
    </row>
    <row r="94" spans="1:70" x14ac:dyDescent="0.25">
      <c r="A94" t="s">
        <v>1790</v>
      </c>
      <c r="B94" s="3">
        <v>43564</v>
      </c>
      <c r="C94" t="s">
        <v>1400</v>
      </c>
      <c r="D94" t="s">
        <v>1632</v>
      </c>
      <c r="E94" t="s">
        <v>1400</v>
      </c>
      <c r="F94">
        <v>57000</v>
      </c>
      <c r="G94" t="s">
        <v>1791</v>
      </c>
      <c r="H94" s="3">
        <v>43564</v>
      </c>
      <c r="I94" t="s">
        <v>344</v>
      </c>
      <c r="J94">
        <v>53000</v>
      </c>
      <c r="K94" s="1"/>
      <c r="M94" s="3">
        <v>43564</v>
      </c>
      <c r="N94" t="s">
        <v>1336</v>
      </c>
      <c r="O94" t="s">
        <v>410</v>
      </c>
      <c r="P94" t="s">
        <v>56</v>
      </c>
      <c r="Q94">
        <v>10000</v>
      </c>
      <c r="R94" s="3">
        <v>43565</v>
      </c>
      <c r="S94" t="s">
        <v>54</v>
      </c>
      <c r="T94" t="s">
        <v>410</v>
      </c>
      <c r="U94" t="s">
        <v>56</v>
      </c>
      <c r="V94">
        <v>37700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1792</v>
      </c>
      <c r="B2" s="3">
        <v>43279</v>
      </c>
      <c r="C2" t="s">
        <v>50</v>
      </c>
      <c r="D2" t="s">
        <v>1793</v>
      </c>
      <c r="E2" t="s">
        <v>1793</v>
      </c>
      <c r="F2">
        <v>90000</v>
      </c>
      <c r="G2" t="s">
        <v>1794</v>
      </c>
      <c r="H2" s="3">
        <v>43280</v>
      </c>
      <c r="I2" t="s">
        <v>1328</v>
      </c>
      <c r="J2">
        <v>84000</v>
      </c>
      <c r="K2" s="1"/>
      <c r="M2" s="3">
        <v>43281</v>
      </c>
      <c r="N2" t="s">
        <v>1336</v>
      </c>
      <c r="O2" t="s">
        <v>1795</v>
      </c>
      <c r="P2" t="s">
        <v>56</v>
      </c>
      <c r="Q2">
        <v>20000</v>
      </c>
      <c r="R2" s="3">
        <v>43281</v>
      </c>
      <c r="S2" t="s">
        <v>54</v>
      </c>
      <c r="T2" t="s">
        <v>1796</v>
      </c>
      <c r="U2" t="s">
        <v>56</v>
      </c>
      <c r="V2">
        <v>53200</v>
      </c>
      <c r="W2" s="3">
        <v>43307</v>
      </c>
      <c r="X2" t="s">
        <v>54</v>
      </c>
      <c r="Y2" t="s">
        <v>1330</v>
      </c>
      <c r="Z2" t="s">
        <v>60</v>
      </c>
      <c r="AA2">
        <v>9800</v>
      </c>
      <c r="AG2" t="s">
        <v>1797</v>
      </c>
      <c r="AH2" s="3">
        <v>43285</v>
      </c>
      <c r="AI2">
        <v>17000</v>
      </c>
      <c r="AJ2">
        <v>17000</v>
      </c>
      <c r="AS2" t="s">
        <v>1798</v>
      </c>
      <c r="AT2" s="3">
        <v>43285</v>
      </c>
      <c r="AU2">
        <v>73000</v>
      </c>
      <c r="AV2">
        <v>0</v>
      </c>
      <c r="AW2">
        <v>0</v>
      </c>
      <c r="AX2">
        <v>0</v>
      </c>
      <c r="BQ2" t="s">
        <v>72</v>
      </c>
      <c r="BR2" t="s">
        <v>1799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8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2" sqref="E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1800</v>
      </c>
      <c r="B2" s="3">
        <v>42102</v>
      </c>
      <c r="C2" t="s">
        <v>1801</v>
      </c>
      <c r="D2" t="s">
        <v>1802</v>
      </c>
      <c r="E2" t="s">
        <v>1803</v>
      </c>
      <c r="F2">
        <v>22740</v>
      </c>
      <c r="G2" t="s">
        <v>1804</v>
      </c>
      <c r="H2" s="3">
        <v>42102</v>
      </c>
      <c r="I2" t="s">
        <v>107</v>
      </c>
      <c r="J2">
        <v>19000</v>
      </c>
      <c r="K2" s="1"/>
      <c r="M2" s="3">
        <v>42103</v>
      </c>
      <c r="N2" t="s">
        <v>54</v>
      </c>
      <c r="P2" t="s">
        <v>56</v>
      </c>
      <c r="Q2">
        <v>16700</v>
      </c>
      <c r="R2" s="3">
        <v>42131</v>
      </c>
      <c r="S2" t="s">
        <v>57</v>
      </c>
      <c r="U2" t="s">
        <v>60</v>
      </c>
      <c r="V2">
        <v>1950</v>
      </c>
      <c r="AG2" t="s">
        <v>1805</v>
      </c>
      <c r="AH2" s="3">
        <v>42131</v>
      </c>
      <c r="AI2">
        <v>22740</v>
      </c>
      <c r="AJ2">
        <v>0</v>
      </c>
      <c r="AS2" t="s">
        <v>1806</v>
      </c>
      <c r="AT2" s="3">
        <v>42181</v>
      </c>
      <c r="AU2">
        <v>22740</v>
      </c>
      <c r="AV2">
        <v>0</v>
      </c>
      <c r="AW2">
        <v>0</v>
      </c>
      <c r="AX2">
        <v>0</v>
      </c>
      <c r="BQ2" t="s">
        <v>1457</v>
      </c>
      <c r="BR2" t="s">
        <v>1807</v>
      </c>
    </row>
    <row r="3" spans="1:74" x14ac:dyDescent="0.25">
      <c r="A3" t="s">
        <v>1808</v>
      </c>
      <c r="B3" s="3">
        <v>42157</v>
      </c>
      <c r="C3" t="s">
        <v>1801</v>
      </c>
      <c r="D3" t="s">
        <v>1809</v>
      </c>
      <c r="E3" t="s">
        <v>1803</v>
      </c>
      <c r="F3">
        <v>29335</v>
      </c>
      <c r="G3" t="s">
        <v>1810</v>
      </c>
      <c r="H3" s="3">
        <v>42157</v>
      </c>
      <c r="I3" t="s">
        <v>1811</v>
      </c>
      <c r="J3">
        <v>40500</v>
      </c>
      <c r="K3" s="1"/>
      <c r="M3" s="3">
        <v>42158</v>
      </c>
      <c r="N3" t="s">
        <v>57</v>
      </c>
      <c r="P3" t="s">
        <v>56</v>
      </c>
      <c r="Q3">
        <v>35100</v>
      </c>
      <c r="R3" s="3">
        <v>42200</v>
      </c>
      <c r="S3" t="s">
        <v>54</v>
      </c>
      <c r="U3" t="s">
        <v>60</v>
      </c>
      <c r="V3">
        <v>4800</v>
      </c>
      <c r="AG3" t="s">
        <v>1812</v>
      </c>
      <c r="AH3" s="3">
        <v>42177</v>
      </c>
      <c r="AI3">
        <v>29335</v>
      </c>
      <c r="AJ3">
        <v>0</v>
      </c>
      <c r="AS3" t="s">
        <v>1813</v>
      </c>
      <c r="AT3" s="3">
        <v>42209</v>
      </c>
      <c r="AU3">
        <v>44050</v>
      </c>
      <c r="AV3">
        <v>0</v>
      </c>
      <c r="AW3">
        <v>0</v>
      </c>
      <c r="AX3">
        <v>0</v>
      </c>
      <c r="BQ3" t="s">
        <v>1457</v>
      </c>
      <c r="BR3" t="s">
        <v>1814</v>
      </c>
    </row>
    <row r="4" spans="1:74" x14ac:dyDescent="0.25">
      <c r="A4" t="s">
        <v>1815</v>
      </c>
      <c r="B4" s="3">
        <v>42157</v>
      </c>
      <c r="C4" t="s">
        <v>1801</v>
      </c>
      <c r="D4" t="s">
        <v>1809</v>
      </c>
      <c r="E4" t="s">
        <v>1803</v>
      </c>
      <c r="F4">
        <v>14715</v>
      </c>
      <c r="K4" s="1"/>
      <c r="AG4" t="s">
        <v>1812</v>
      </c>
      <c r="AH4" s="3">
        <v>42177</v>
      </c>
      <c r="AI4">
        <v>14715</v>
      </c>
      <c r="AJ4">
        <v>0</v>
      </c>
      <c r="AS4" t="s">
        <v>1813</v>
      </c>
      <c r="AT4" s="3">
        <v>42209</v>
      </c>
      <c r="AU4">
        <v>44050</v>
      </c>
      <c r="AV4">
        <v>0</v>
      </c>
      <c r="AW4">
        <v>0</v>
      </c>
      <c r="AX4">
        <v>0</v>
      </c>
      <c r="BQ4" t="s">
        <v>1457</v>
      </c>
      <c r="BR4" t="s">
        <v>1814</v>
      </c>
    </row>
    <row r="5" spans="1:74" x14ac:dyDescent="0.25">
      <c r="A5" t="s">
        <v>1816</v>
      </c>
      <c r="B5" s="3">
        <v>42439</v>
      </c>
      <c r="C5" t="s">
        <v>1801</v>
      </c>
      <c r="D5" t="s">
        <v>1817</v>
      </c>
      <c r="E5" t="s">
        <v>1803</v>
      </c>
      <c r="F5">
        <v>35000</v>
      </c>
      <c r="G5" t="s">
        <v>1818</v>
      </c>
      <c r="H5" s="3">
        <v>42439</v>
      </c>
      <c r="I5" t="s">
        <v>502</v>
      </c>
      <c r="J5">
        <v>32000</v>
      </c>
      <c r="K5" s="1"/>
      <c r="M5" s="3">
        <v>42439</v>
      </c>
      <c r="N5" t="s">
        <v>57</v>
      </c>
      <c r="P5" t="s">
        <v>56</v>
      </c>
      <c r="Q5">
        <v>17000</v>
      </c>
      <c r="R5" s="3">
        <v>42439</v>
      </c>
      <c r="S5" t="s">
        <v>54</v>
      </c>
      <c r="U5" t="s">
        <v>56</v>
      </c>
      <c r="V5">
        <v>9600</v>
      </c>
      <c r="W5" s="3">
        <v>42486</v>
      </c>
      <c r="X5" t="s">
        <v>54</v>
      </c>
      <c r="Z5" t="s">
        <v>60</v>
      </c>
      <c r="AA5">
        <v>4950</v>
      </c>
      <c r="AG5" t="s">
        <v>1819</v>
      </c>
      <c r="AH5" s="3">
        <v>42467</v>
      </c>
      <c r="AI5">
        <v>35000</v>
      </c>
      <c r="AJ5">
        <v>0</v>
      </c>
      <c r="AS5" t="s">
        <v>1820</v>
      </c>
      <c r="AT5" s="3">
        <v>42580</v>
      </c>
      <c r="AU5">
        <v>34300</v>
      </c>
      <c r="AV5">
        <v>0</v>
      </c>
      <c r="AW5">
        <v>700</v>
      </c>
      <c r="AX5">
        <v>0</v>
      </c>
      <c r="BQ5" t="s">
        <v>72</v>
      </c>
      <c r="BR5" t="s">
        <v>1821</v>
      </c>
    </row>
    <row r="6" spans="1:74" x14ac:dyDescent="0.25">
      <c r="A6" t="s">
        <v>1822</v>
      </c>
      <c r="B6" s="3">
        <v>42439</v>
      </c>
      <c r="C6" t="s">
        <v>1801</v>
      </c>
      <c r="D6" t="s">
        <v>1817</v>
      </c>
      <c r="E6" t="s">
        <v>1803</v>
      </c>
      <c r="F6">
        <v>0</v>
      </c>
      <c r="K6" s="1"/>
      <c r="AG6" t="s">
        <v>1819</v>
      </c>
      <c r="AH6" s="3">
        <v>42467</v>
      </c>
      <c r="AI6">
        <v>0</v>
      </c>
      <c r="AJ6">
        <v>0</v>
      </c>
      <c r="AS6" t="s">
        <v>1820</v>
      </c>
      <c r="AT6" s="3">
        <v>42580</v>
      </c>
      <c r="AU6">
        <v>34300</v>
      </c>
      <c r="AV6">
        <v>0</v>
      </c>
      <c r="AW6">
        <v>700</v>
      </c>
      <c r="AX6">
        <v>0</v>
      </c>
      <c r="BQ6" t="s">
        <v>72</v>
      </c>
      <c r="BR6" t="s">
        <v>1821</v>
      </c>
    </row>
    <row r="7" spans="1:74" x14ac:dyDescent="0.25">
      <c r="A7" t="s">
        <v>1823</v>
      </c>
      <c r="B7" s="3">
        <v>42439</v>
      </c>
      <c r="C7" t="s">
        <v>1801</v>
      </c>
      <c r="D7" t="s">
        <v>1817</v>
      </c>
      <c r="E7" t="s">
        <v>1803</v>
      </c>
      <c r="F7">
        <v>0</v>
      </c>
      <c r="G7" t="s">
        <v>1818</v>
      </c>
      <c r="H7" s="3">
        <v>42439</v>
      </c>
      <c r="I7" t="s">
        <v>502</v>
      </c>
      <c r="J7">
        <v>32000</v>
      </c>
      <c r="K7" s="1"/>
      <c r="M7" s="3">
        <v>42439</v>
      </c>
      <c r="N7" t="s">
        <v>57</v>
      </c>
      <c r="P7" t="s">
        <v>56</v>
      </c>
      <c r="Q7">
        <v>17000</v>
      </c>
      <c r="R7" s="3">
        <v>42439</v>
      </c>
      <c r="S7" t="s">
        <v>54</v>
      </c>
      <c r="U7" t="s">
        <v>56</v>
      </c>
      <c r="V7">
        <v>9600</v>
      </c>
      <c r="W7" s="3">
        <v>42486</v>
      </c>
      <c r="X7" t="s">
        <v>54</v>
      </c>
      <c r="Z7" t="s">
        <v>60</v>
      </c>
      <c r="AA7">
        <v>4950</v>
      </c>
      <c r="AG7" t="s">
        <v>1819</v>
      </c>
      <c r="AH7" s="3">
        <v>42467</v>
      </c>
      <c r="AI7">
        <v>0</v>
      </c>
      <c r="AJ7">
        <v>0</v>
      </c>
      <c r="AS7" t="s">
        <v>1820</v>
      </c>
      <c r="AT7" s="3">
        <v>42580</v>
      </c>
      <c r="AU7">
        <v>34300</v>
      </c>
      <c r="AV7">
        <v>0</v>
      </c>
      <c r="AW7">
        <v>700</v>
      </c>
      <c r="AX7">
        <v>0</v>
      </c>
      <c r="BQ7" t="s">
        <v>72</v>
      </c>
      <c r="BR7" t="s">
        <v>1821</v>
      </c>
    </row>
    <row r="8" spans="1:74" x14ac:dyDescent="0.25">
      <c r="A8" t="s">
        <v>1824</v>
      </c>
      <c r="B8" s="3">
        <v>42465</v>
      </c>
      <c r="C8" t="s">
        <v>1801</v>
      </c>
      <c r="D8" t="s">
        <v>1825</v>
      </c>
      <c r="E8" t="s">
        <v>1803</v>
      </c>
      <c r="F8">
        <v>25200</v>
      </c>
      <c r="G8" t="s">
        <v>1826</v>
      </c>
      <c r="H8" s="3">
        <v>42465</v>
      </c>
      <c r="I8" t="s">
        <v>1827</v>
      </c>
      <c r="J8">
        <v>23000</v>
      </c>
      <c r="K8" s="1"/>
      <c r="M8" s="3">
        <v>42465</v>
      </c>
      <c r="N8" t="s">
        <v>57</v>
      </c>
      <c r="P8" t="s">
        <v>56</v>
      </c>
      <c r="Q8">
        <v>19900</v>
      </c>
      <c r="R8" s="3">
        <v>42486</v>
      </c>
      <c r="S8" t="s">
        <v>54</v>
      </c>
      <c r="U8" t="s">
        <v>60</v>
      </c>
      <c r="V8">
        <v>2650</v>
      </c>
      <c r="AG8" t="s">
        <v>1828</v>
      </c>
      <c r="AH8" s="3">
        <v>42480</v>
      </c>
      <c r="AI8">
        <v>25200</v>
      </c>
      <c r="AJ8">
        <v>0</v>
      </c>
      <c r="AS8" t="s">
        <v>1820</v>
      </c>
      <c r="AT8" s="3">
        <v>42580</v>
      </c>
      <c r="AU8">
        <v>24679</v>
      </c>
      <c r="AV8">
        <v>0</v>
      </c>
      <c r="AW8">
        <v>521</v>
      </c>
      <c r="AX8">
        <v>0</v>
      </c>
      <c r="BQ8" t="s">
        <v>72</v>
      </c>
      <c r="BR8" t="s">
        <v>1821</v>
      </c>
    </row>
    <row r="9" spans="1:74" x14ac:dyDescent="0.25">
      <c r="A9" t="s">
        <v>1829</v>
      </c>
      <c r="B9" s="3">
        <v>42465</v>
      </c>
      <c r="C9" t="s">
        <v>1801</v>
      </c>
      <c r="D9" t="s">
        <v>1830</v>
      </c>
      <c r="E9" t="s">
        <v>1803</v>
      </c>
      <c r="F9">
        <v>0</v>
      </c>
      <c r="K9" s="1"/>
      <c r="AG9" t="s">
        <v>1828</v>
      </c>
      <c r="AH9" s="3">
        <v>42480</v>
      </c>
      <c r="AI9">
        <v>0</v>
      </c>
      <c r="AJ9">
        <v>0</v>
      </c>
      <c r="AS9" t="s">
        <v>1820</v>
      </c>
      <c r="AT9" s="3">
        <v>42580</v>
      </c>
      <c r="AU9">
        <v>24679</v>
      </c>
      <c r="AV9">
        <v>0</v>
      </c>
      <c r="AW9">
        <v>521</v>
      </c>
      <c r="AX9">
        <v>0</v>
      </c>
      <c r="BQ9" t="s">
        <v>72</v>
      </c>
      <c r="BR9" t="s">
        <v>1821</v>
      </c>
    </row>
    <row r="10" spans="1:74" x14ac:dyDescent="0.25">
      <c r="A10" t="s">
        <v>1831</v>
      </c>
      <c r="B10" s="3">
        <v>42475</v>
      </c>
      <c r="C10" t="s">
        <v>1801</v>
      </c>
      <c r="D10" t="s">
        <v>1832</v>
      </c>
      <c r="E10" t="s">
        <v>1803</v>
      </c>
      <c r="F10">
        <v>20000</v>
      </c>
      <c r="G10" t="s">
        <v>1833</v>
      </c>
      <c r="H10" s="3">
        <v>42475</v>
      </c>
      <c r="I10" t="s">
        <v>1834</v>
      </c>
      <c r="J10">
        <v>19000</v>
      </c>
      <c r="K10" s="1"/>
      <c r="M10" s="3">
        <v>42475</v>
      </c>
      <c r="N10" t="s">
        <v>57</v>
      </c>
      <c r="P10" t="s">
        <v>56</v>
      </c>
      <c r="Q10">
        <v>16000</v>
      </c>
      <c r="R10" s="3">
        <v>42508</v>
      </c>
      <c r="S10" t="s">
        <v>54</v>
      </c>
      <c r="U10" t="s">
        <v>60</v>
      </c>
      <c r="V10">
        <v>2550</v>
      </c>
      <c r="AG10" t="s">
        <v>1835</v>
      </c>
      <c r="AH10" s="3">
        <v>42496</v>
      </c>
      <c r="AI10">
        <v>20000</v>
      </c>
      <c r="AJ10">
        <v>0</v>
      </c>
      <c r="AS10" t="s">
        <v>1836</v>
      </c>
      <c r="AT10" s="3">
        <v>42665</v>
      </c>
      <c r="AU10">
        <v>19600</v>
      </c>
      <c r="AV10">
        <v>0</v>
      </c>
      <c r="AW10">
        <v>400</v>
      </c>
      <c r="AX10">
        <v>0</v>
      </c>
      <c r="BQ10" t="s">
        <v>72</v>
      </c>
      <c r="BR10" t="s">
        <v>1837</v>
      </c>
    </row>
    <row r="11" spans="1:74" x14ac:dyDescent="0.25">
      <c r="A11" t="s">
        <v>1838</v>
      </c>
      <c r="B11" s="3">
        <v>42481</v>
      </c>
      <c r="C11" t="s">
        <v>1801</v>
      </c>
      <c r="D11" t="s">
        <v>1839</v>
      </c>
      <c r="E11" t="s">
        <v>1803</v>
      </c>
      <c r="F11">
        <v>19200</v>
      </c>
      <c r="G11" t="s">
        <v>1840</v>
      </c>
      <c r="H11" s="3">
        <v>42481</v>
      </c>
      <c r="I11" t="s">
        <v>290</v>
      </c>
      <c r="J11">
        <v>17000</v>
      </c>
      <c r="K11" s="1"/>
      <c r="M11" s="3">
        <v>42481</v>
      </c>
      <c r="N11" t="s">
        <v>57</v>
      </c>
      <c r="P11" t="s">
        <v>56</v>
      </c>
      <c r="Q11">
        <v>12000</v>
      </c>
      <c r="R11" s="3">
        <v>42499</v>
      </c>
      <c r="S11" t="s">
        <v>54</v>
      </c>
      <c r="U11" t="s">
        <v>60</v>
      </c>
      <c r="V11">
        <v>4650</v>
      </c>
      <c r="AG11" t="s">
        <v>1841</v>
      </c>
      <c r="AH11" s="3">
        <v>42499</v>
      </c>
      <c r="AI11">
        <v>19200</v>
      </c>
      <c r="AJ11">
        <v>19200</v>
      </c>
    </row>
    <row r="12" spans="1:74" x14ac:dyDescent="0.25">
      <c r="A12" t="s">
        <v>1842</v>
      </c>
      <c r="B12" s="3">
        <v>42488</v>
      </c>
      <c r="C12" t="s">
        <v>1801</v>
      </c>
      <c r="D12" t="s">
        <v>1839</v>
      </c>
      <c r="E12" t="s">
        <v>1803</v>
      </c>
      <c r="F12">
        <v>19500</v>
      </c>
      <c r="G12" t="s">
        <v>1843</v>
      </c>
      <c r="H12" s="3">
        <v>42488</v>
      </c>
      <c r="I12" t="s">
        <v>1844</v>
      </c>
      <c r="J12">
        <v>17500</v>
      </c>
      <c r="K12" s="1"/>
      <c r="M12" s="3">
        <v>42488</v>
      </c>
      <c r="N12" t="s">
        <v>57</v>
      </c>
      <c r="P12" t="s">
        <v>56</v>
      </c>
      <c r="Q12">
        <v>12000</v>
      </c>
      <c r="R12" s="3">
        <v>42499</v>
      </c>
      <c r="S12" t="s">
        <v>54</v>
      </c>
      <c r="U12" t="s">
        <v>60</v>
      </c>
      <c r="V12">
        <v>5150</v>
      </c>
      <c r="AG12" t="s">
        <v>1845</v>
      </c>
      <c r="AH12" s="3">
        <v>42499</v>
      </c>
      <c r="AI12">
        <v>19500</v>
      </c>
      <c r="AJ12">
        <v>0</v>
      </c>
      <c r="AS12" t="s">
        <v>1846</v>
      </c>
      <c r="AT12" s="3">
        <v>42620</v>
      </c>
      <c r="AU12">
        <v>19110</v>
      </c>
      <c r="AV12">
        <v>0</v>
      </c>
      <c r="AW12">
        <v>390</v>
      </c>
      <c r="AX12">
        <v>0</v>
      </c>
      <c r="BQ12" t="s">
        <v>72</v>
      </c>
      <c r="BR12" t="s">
        <v>1847</v>
      </c>
    </row>
    <row r="13" spans="1:74" x14ac:dyDescent="0.25">
      <c r="A13" t="s">
        <v>1848</v>
      </c>
      <c r="B13" s="3">
        <v>42488</v>
      </c>
      <c r="C13" t="s">
        <v>1801</v>
      </c>
      <c r="D13" t="s">
        <v>1839</v>
      </c>
      <c r="E13" t="s">
        <v>1803</v>
      </c>
      <c r="F13">
        <v>0</v>
      </c>
      <c r="K13" s="1"/>
      <c r="AG13" t="s">
        <v>1845</v>
      </c>
      <c r="AH13" s="3">
        <v>42499</v>
      </c>
      <c r="AI13">
        <v>0</v>
      </c>
      <c r="AJ13">
        <v>0</v>
      </c>
      <c r="AS13" t="s">
        <v>1846</v>
      </c>
      <c r="AT13" s="3">
        <v>42620</v>
      </c>
      <c r="AU13">
        <v>19110</v>
      </c>
      <c r="AV13">
        <v>0</v>
      </c>
      <c r="AW13">
        <v>390</v>
      </c>
      <c r="AX13">
        <v>0</v>
      </c>
      <c r="BQ13" t="s">
        <v>72</v>
      </c>
      <c r="BR13" t="s">
        <v>1847</v>
      </c>
    </row>
    <row r="14" spans="1:74" x14ac:dyDescent="0.25">
      <c r="A14" t="s">
        <v>1849</v>
      </c>
      <c r="B14" s="3">
        <v>42509</v>
      </c>
      <c r="C14" t="s">
        <v>1801</v>
      </c>
      <c r="D14" t="s">
        <v>1850</v>
      </c>
      <c r="E14" t="s">
        <v>1803</v>
      </c>
      <c r="F14">
        <v>12000</v>
      </c>
      <c r="G14" t="s">
        <v>1851</v>
      </c>
      <c r="H14" s="3">
        <v>42509</v>
      </c>
      <c r="I14" t="s">
        <v>290</v>
      </c>
      <c r="J14">
        <v>10500</v>
      </c>
      <c r="K14" s="1"/>
      <c r="M14" s="3">
        <v>42509</v>
      </c>
      <c r="N14" t="s">
        <v>57</v>
      </c>
      <c r="P14" t="s">
        <v>56</v>
      </c>
      <c r="Q14">
        <v>9000</v>
      </c>
      <c r="R14" s="3">
        <v>42528</v>
      </c>
      <c r="S14" t="s">
        <v>54</v>
      </c>
      <c r="U14" t="s">
        <v>60</v>
      </c>
      <c r="V14">
        <v>1250</v>
      </c>
      <c r="AG14" t="s">
        <v>1852</v>
      </c>
      <c r="AH14" s="3">
        <v>42525</v>
      </c>
      <c r="AI14">
        <v>12000</v>
      </c>
      <c r="AJ14">
        <v>0</v>
      </c>
      <c r="AS14" t="s">
        <v>1846</v>
      </c>
      <c r="AT14" s="3">
        <v>42620</v>
      </c>
      <c r="AU14">
        <v>11760</v>
      </c>
      <c r="AV14">
        <v>0</v>
      </c>
      <c r="AW14">
        <v>240</v>
      </c>
      <c r="AX14">
        <v>0</v>
      </c>
      <c r="BQ14" t="s">
        <v>72</v>
      </c>
      <c r="BR14" t="s">
        <v>1847</v>
      </c>
    </row>
    <row r="15" spans="1:74" x14ac:dyDescent="0.25">
      <c r="A15" t="s">
        <v>1853</v>
      </c>
      <c r="B15" s="3">
        <v>42510</v>
      </c>
      <c r="C15" t="s">
        <v>1801</v>
      </c>
      <c r="D15" t="s">
        <v>1839</v>
      </c>
      <c r="E15" t="s">
        <v>1803</v>
      </c>
      <c r="F15">
        <v>13000</v>
      </c>
      <c r="G15" t="s">
        <v>1854</v>
      </c>
      <c r="H15" s="3">
        <v>42510</v>
      </c>
      <c r="I15" t="s">
        <v>290</v>
      </c>
      <c r="J15">
        <v>11700</v>
      </c>
      <c r="K15" s="1"/>
      <c r="M15" s="3">
        <v>42510</v>
      </c>
      <c r="N15" t="s">
        <v>57</v>
      </c>
      <c r="P15" t="s">
        <v>56</v>
      </c>
      <c r="Q15">
        <v>9500</v>
      </c>
      <c r="R15" s="3">
        <v>42528</v>
      </c>
      <c r="S15" t="s">
        <v>54</v>
      </c>
      <c r="U15" t="s">
        <v>60</v>
      </c>
      <c r="V15">
        <v>1850</v>
      </c>
      <c r="AG15" t="s">
        <v>1855</v>
      </c>
      <c r="AH15" s="3">
        <v>42525</v>
      </c>
      <c r="AI15">
        <v>13000</v>
      </c>
      <c r="AJ15">
        <v>0</v>
      </c>
      <c r="AS15" t="s">
        <v>1856</v>
      </c>
      <c r="AT15" s="3">
        <v>42669</v>
      </c>
      <c r="AU15">
        <v>12740</v>
      </c>
      <c r="AV15">
        <v>0</v>
      </c>
      <c r="AW15">
        <v>260</v>
      </c>
      <c r="AX15">
        <v>0</v>
      </c>
      <c r="BQ15" t="s">
        <v>1457</v>
      </c>
      <c r="BR15" t="s">
        <v>1857</v>
      </c>
    </row>
    <row r="16" spans="1:74" x14ac:dyDescent="0.25">
      <c r="A16" t="s">
        <v>1858</v>
      </c>
      <c r="B16" s="3">
        <v>42513</v>
      </c>
      <c r="C16" t="s">
        <v>1801</v>
      </c>
      <c r="D16" t="s">
        <v>1832</v>
      </c>
      <c r="E16" t="s">
        <v>1803</v>
      </c>
      <c r="F16">
        <v>22000</v>
      </c>
      <c r="G16" t="s">
        <v>1859</v>
      </c>
      <c r="H16" s="3">
        <v>42513</v>
      </c>
      <c r="I16" t="s">
        <v>290</v>
      </c>
      <c r="J16">
        <v>20000</v>
      </c>
      <c r="K16" s="1"/>
      <c r="M16" s="3">
        <v>42513</v>
      </c>
      <c r="N16" t="s">
        <v>57</v>
      </c>
      <c r="P16" t="s">
        <v>56</v>
      </c>
      <c r="Q16">
        <v>15500</v>
      </c>
      <c r="R16" s="3">
        <v>42538</v>
      </c>
      <c r="S16" t="s">
        <v>54</v>
      </c>
      <c r="U16" t="s">
        <v>60</v>
      </c>
      <c r="V16">
        <v>4100</v>
      </c>
      <c r="AG16" t="s">
        <v>1860</v>
      </c>
      <c r="AH16" s="3">
        <v>42537</v>
      </c>
      <c r="AI16">
        <v>22000</v>
      </c>
      <c r="AJ16">
        <v>0</v>
      </c>
      <c r="AS16" t="s">
        <v>1846</v>
      </c>
      <c r="AT16" s="3">
        <v>42620</v>
      </c>
      <c r="AU16">
        <v>20976</v>
      </c>
      <c r="AV16">
        <v>584</v>
      </c>
      <c r="AW16">
        <v>440</v>
      </c>
      <c r="AX16">
        <v>0</v>
      </c>
      <c r="BQ16" t="s">
        <v>72</v>
      </c>
      <c r="BR16" t="s">
        <v>1847</v>
      </c>
    </row>
    <row r="17" spans="1:70" x14ac:dyDescent="0.25">
      <c r="A17" t="s">
        <v>1861</v>
      </c>
      <c r="B17" s="3">
        <v>42513</v>
      </c>
      <c r="C17" t="s">
        <v>1801</v>
      </c>
      <c r="D17" t="s">
        <v>1832</v>
      </c>
      <c r="E17" t="s">
        <v>1803</v>
      </c>
      <c r="F17">
        <v>0</v>
      </c>
      <c r="K17" s="1"/>
      <c r="AG17" t="s">
        <v>1860</v>
      </c>
      <c r="AH17" s="3">
        <v>42537</v>
      </c>
      <c r="AI17">
        <v>0</v>
      </c>
      <c r="AJ17">
        <v>0</v>
      </c>
      <c r="AS17" t="s">
        <v>1846</v>
      </c>
      <c r="AT17" s="3">
        <v>42620</v>
      </c>
      <c r="AU17">
        <v>20976</v>
      </c>
      <c r="AV17">
        <v>584</v>
      </c>
      <c r="AW17">
        <v>440</v>
      </c>
      <c r="AX17">
        <v>0</v>
      </c>
      <c r="BQ17" t="s">
        <v>72</v>
      </c>
      <c r="BR17" t="s">
        <v>1847</v>
      </c>
    </row>
    <row r="18" spans="1:70" x14ac:dyDescent="0.25">
      <c r="A18" t="s">
        <v>1862</v>
      </c>
      <c r="B18" s="3">
        <v>42545</v>
      </c>
      <c r="C18" t="s">
        <v>1801</v>
      </c>
      <c r="D18" t="s">
        <v>1832</v>
      </c>
      <c r="E18" t="s">
        <v>1803</v>
      </c>
      <c r="F18">
        <v>14875</v>
      </c>
      <c r="G18" t="s">
        <v>1863</v>
      </c>
      <c r="H18" s="3">
        <v>42545</v>
      </c>
      <c r="I18" t="s">
        <v>91</v>
      </c>
      <c r="J18">
        <v>12500</v>
      </c>
      <c r="K18" s="1"/>
      <c r="M18" s="3">
        <v>42545</v>
      </c>
      <c r="N18" t="s">
        <v>57</v>
      </c>
      <c r="P18" t="s">
        <v>56</v>
      </c>
      <c r="Q18">
        <v>10750</v>
      </c>
      <c r="R18" s="3">
        <v>42566</v>
      </c>
      <c r="S18" t="s">
        <v>57</v>
      </c>
      <c r="U18" t="s">
        <v>60</v>
      </c>
      <c r="V18">
        <v>1450</v>
      </c>
      <c r="AG18" t="s">
        <v>1864</v>
      </c>
      <c r="AH18" s="3">
        <v>42558</v>
      </c>
      <c r="AI18">
        <v>14875</v>
      </c>
      <c r="AJ18">
        <v>0</v>
      </c>
      <c r="AS18" t="s">
        <v>1846</v>
      </c>
      <c r="AT18" s="3">
        <v>42620</v>
      </c>
      <c r="AU18">
        <v>14578</v>
      </c>
      <c r="AV18">
        <v>0</v>
      </c>
      <c r="AW18">
        <v>297</v>
      </c>
      <c r="AX18">
        <v>0</v>
      </c>
      <c r="BQ18" t="s">
        <v>72</v>
      </c>
      <c r="BR18" t="s">
        <v>1847</v>
      </c>
    </row>
    <row r="19" spans="1:70" x14ac:dyDescent="0.25">
      <c r="A19" t="s">
        <v>1865</v>
      </c>
      <c r="B19" s="3">
        <v>42570</v>
      </c>
      <c r="C19" t="s">
        <v>1801</v>
      </c>
      <c r="D19" t="s">
        <v>1850</v>
      </c>
      <c r="E19" t="s">
        <v>1803</v>
      </c>
      <c r="F19">
        <v>12500</v>
      </c>
      <c r="G19" t="s">
        <v>1866</v>
      </c>
      <c r="H19" s="3">
        <v>42570</v>
      </c>
      <c r="I19" t="s">
        <v>107</v>
      </c>
      <c r="J19">
        <v>10500</v>
      </c>
      <c r="K19" s="1"/>
      <c r="M19" s="3">
        <v>42570</v>
      </c>
      <c r="N19" t="s">
        <v>57</v>
      </c>
      <c r="P19" t="s">
        <v>56</v>
      </c>
      <c r="Q19">
        <v>8700</v>
      </c>
      <c r="R19" s="3">
        <v>42665</v>
      </c>
      <c r="S19" t="s">
        <v>57</v>
      </c>
      <c r="U19" t="s">
        <v>60</v>
      </c>
      <c r="V19">
        <v>1450</v>
      </c>
      <c r="AG19" t="s">
        <v>1867</v>
      </c>
      <c r="AH19" s="3">
        <v>42623</v>
      </c>
      <c r="AI19">
        <v>12500</v>
      </c>
      <c r="AJ19">
        <v>0</v>
      </c>
      <c r="AS19" t="s">
        <v>1868</v>
      </c>
      <c r="AT19" s="3">
        <v>42829</v>
      </c>
      <c r="AU19">
        <v>12500</v>
      </c>
      <c r="AV19">
        <v>0</v>
      </c>
      <c r="AW19">
        <v>0</v>
      </c>
      <c r="AX19">
        <v>0</v>
      </c>
      <c r="BQ19" t="s">
        <v>72</v>
      </c>
      <c r="BR19" t="s">
        <v>1869</v>
      </c>
    </row>
    <row r="20" spans="1:70" x14ac:dyDescent="0.25">
      <c r="A20" t="s">
        <v>1870</v>
      </c>
      <c r="B20" s="3">
        <v>42581</v>
      </c>
      <c r="C20" t="s">
        <v>1801</v>
      </c>
      <c r="D20" t="s">
        <v>1871</v>
      </c>
      <c r="E20" t="s">
        <v>1803</v>
      </c>
      <c r="F20">
        <v>27840</v>
      </c>
      <c r="G20" t="s">
        <v>1872</v>
      </c>
      <c r="H20" s="3">
        <v>42581</v>
      </c>
      <c r="I20" t="s">
        <v>107</v>
      </c>
      <c r="J20">
        <v>23500</v>
      </c>
      <c r="K20" s="1"/>
      <c r="M20" s="3">
        <v>42581</v>
      </c>
      <c r="N20" t="s">
        <v>57</v>
      </c>
      <c r="P20" t="s">
        <v>56</v>
      </c>
      <c r="Q20">
        <v>18500</v>
      </c>
      <c r="R20" s="3">
        <v>42601</v>
      </c>
      <c r="S20" t="s">
        <v>54</v>
      </c>
      <c r="U20" t="s">
        <v>60</v>
      </c>
      <c r="V20">
        <v>4400</v>
      </c>
      <c r="AG20" t="s">
        <v>1873</v>
      </c>
      <c r="AH20" s="3">
        <v>42599</v>
      </c>
      <c r="AI20">
        <v>27840</v>
      </c>
      <c r="AJ20">
        <v>0</v>
      </c>
      <c r="AS20" t="s">
        <v>1836</v>
      </c>
      <c r="AT20" s="3">
        <v>42665</v>
      </c>
      <c r="AU20">
        <v>27283</v>
      </c>
      <c r="AV20">
        <v>0</v>
      </c>
      <c r="AW20">
        <v>557</v>
      </c>
      <c r="AX20">
        <v>0</v>
      </c>
      <c r="BQ20" t="s">
        <v>72</v>
      </c>
      <c r="BR20" t="s">
        <v>1837</v>
      </c>
    </row>
    <row r="21" spans="1:70" x14ac:dyDescent="0.25">
      <c r="A21" t="s">
        <v>1874</v>
      </c>
      <c r="B21" s="3">
        <v>42585</v>
      </c>
      <c r="C21" t="s">
        <v>1801</v>
      </c>
      <c r="D21" t="s">
        <v>1871</v>
      </c>
      <c r="E21" t="s">
        <v>1803</v>
      </c>
      <c r="F21">
        <v>27900</v>
      </c>
      <c r="G21" t="s">
        <v>1875</v>
      </c>
      <c r="H21" s="3">
        <v>42585</v>
      </c>
      <c r="I21" t="s">
        <v>1827</v>
      </c>
      <c r="J21">
        <v>24000</v>
      </c>
      <c r="K21" s="1"/>
      <c r="M21" s="3">
        <v>42585</v>
      </c>
      <c r="N21" t="s">
        <v>57</v>
      </c>
      <c r="P21" t="s">
        <v>56</v>
      </c>
      <c r="Q21">
        <v>20000</v>
      </c>
      <c r="R21" s="3">
        <v>42601</v>
      </c>
      <c r="S21" t="s">
        <v>54</v>
      </c>
      <c r="U21" t="s">
        <v>60</v>
      </c>
      <c r="V21">
        <v>3400</v>
      </c>
      <c r="AG21" t="s">
        <v>1876</v>
      </c>
      <c r="AH21" s="3">
        <v>42600</v>
      </c>
      <c r="AI21">
        <v>27900</v>
      </c>
      <c r="AJ21">
        <v>0</v>
      </c>
      <c r="AS21" t="s">
        <v>1836</v>
      </c>
      <c r="AT21" s="3">
        <v>42665</v>
      </c>
      <c r="AU21">
        <v>27342</v>
      </c>
      <c r="AV21">
        <v>0</v>
      </c>
      <c r="AW21">
        <v>558</v>
      </c>
      <c r="AX21">
        <v>0</v>
      </c>
      <c r="BQ21" t="s">
        <v>72</v>
      </c>
      <c r="BR21" t="s">
        <v>1837</v>
      </c>
    </row>
    <row r="22" spans="1:70" x14ac:dyDescent="0.25">
      <c r="A22" t="s">
        <v>1877</v>
      </c>
      <c r="B22" s="3">
        <v>42590</v>
      </c>
      <c r="C22" t="s">
        <v>1801</v>
      </c>
      <c r="D22" t="s">
        <v>1871</v>
      </c>
      <c r="E22" t="s">
        <v>1803</v>
      </c>
      <c r="F22">
        <v>27000</v>
      </c>
      <c r="G22" t="s">
        <v>1878</v>
      </c>
      <c r="H22" s="3">
        <v>42590</v>
      </c>
      <c r="I22" t="s">
        <v>1827</v>
      </c>
      <c r="J22">
        <v>23500</v>
      </c>
      <c r="K22" s="1"/>
      <c r="M22" s="3">
        <v>42590</v>
      </c>
      <c r="N22" t="s">
        <v>57</v>
      </c>
      <c r="P22" t="s">
        <v>56</v>
      </c>
      <c r="Q22">
        <v>20000</v>
      </c>
      <c r="R22" s="3">
        <v>42601</v>
      </c>
      <c r="S22" t="s">
        <v>54</v>
      </c>
      <c r="U22" t="s">
        <v>60</v>
      </c>
      <c r="V22">
        <v>2950</v>
      </c>
      <c r="AG22" t="s">
        <v>1879</v>
      </c>
      <c r="AH22" s="3">
        <v>42600</v>
      </c>
      <c r="AI22">
        <v>27000</v>
      </c>
      <c r="AJ22">
        <v>0</v>
      </c>
      <c r="AS22" t="s">
        <v>1836</v>
      </c>
      <c r="AT22" s="3">
        <v>42665</v>
      </c>
      <c r="AU22">
        <v>26460</v>
      </c>
      <c r="AV22">
        <v>0</v>
      </c>
      <c r="AW22">
        <v>540</v>
      </c>
      <c r="AX22">
        <v>0</v>
      </c>
      <c r="BQ22" t="s">
        <v>72</v>
      </c>
      <c r="BR22" t="s">
        <v>1837</v>
      </c>
    </row>
    <row r="23" spans="1:70" x14ac:dyDescent="0.25">
      <c r="A23" t="s">
        <v>1880</v>
      </c>
      <c r="B23" s="3">
        <v>42590</v>
      </c>
      <c r="C23" t="s">
        <v>1801</v>
      </c>
      <c r="D23" t="s">
        <v>1871</v>
      </c>
      <c r="E23" t="s">
        <v>1803</v>
      </c>
      <c r="F23">
        <v>0</v>
      </c>
      <c r="K23" s="1"/>
      <c r="AG23" t="s">
        <v>1879</v>
      </c>
      <c r="AH23" s="3">
        <v>42600</v>
      </c>
      <c r="AI23">
        <v>0</v>
      </c>
      <c r="AJ23">
        <v>0</v>
      </c>
      <c r="AS23" t="s">
        <v>1836</v>
      </c>
      <c r="AT23" s="3">
        <v>42665</v>
      </c>
      <c r="AU23">
        <v>26460</v>
      </c>
      <c r="AV23">
        <v>0</v>
      </c>
      <c r="AW23">
        <v>540</v>
      </c>
      <c r="AX23">
        <v>0</v>
      </c>
      <c r="BQ23" t="s">
        <v>72</v>
      </c>
      <c r="BR23" t="s">
        <v>1837</v>
      </c>
    </row>
    <row r="24" spans="1:70" x14ac:dyDescent="0.25">
      <c r="A24" t="s">
        <v>1881</v>
      </c>
      <c r="B24" s="3">
        <v>42609</v>
      </c>
      <c r="C24" t="s">
        <v>1801</v>
      </c>
      <c r="D24" t="s">
        <v>1871</v>
      </c>
      <c r="E24" t="s">
        <v>1803</v>
      </c>
      <c r="F24">
        <v>21520</v>
      </c>
      <c r="G24" t="s">
        <v>1882</v>
      </c>
      <c r="H24" s="3">
        <v>42609</v>
      </c>
      <c r="I24" t="s">
        <v>290</v>
      </c>
      <c r="J24">
        <v>19500</v>
      </c>
      <c r="K24" s="1"/>
      <c r="M24" s="3">
        <v>42609</v>
      </c>
      <c r="N24" t="s">
        <v>57</v>
      </c>
      <c r="P24" t="s">
        <v>56</v>
      </c>
      <c r="Q24">
        <v>17000</v>
      </c>
      <c r="R24" s="3">
        <v>42650</v>
      </c>
      <c r="S24" t="s">
        <v>54</v>
      </c>
      <c r="U24" t="s">
        <v>60</v>
      </c>
      <c r="V24">
        <v>2150</v>
      </c>
      <c r="AG24" t="s">
        <v>1883</v>
      </c>
      <c r="AH24" s="3">
        <v>42655</v>
      </c>
      <c r="AI24">
        <v>21520</v>
      </c>
      <c r="AJ24">
        <v>0</v>
      </c>
      <c r="AS24" t="s">
        <v>1884</v>
      </c>
      <c r="AT24" s="3">
        <v>42693</v>
      </c>
      <c r="AU24">
        <v>21064</v>
      </c>
      <c r="AV24">
        <v>26</v>
      </c>
      <c r="AW24">
        <v>430</v>
      </c>
      <c r="AX24">
        <v>0</v>
      </c>
      <c r="BQ24" t="s">
        <v>72</v>
      </c>
      <c r="BR24" t="s">
        <v>1885</v>
      </c>
    </row>
    <row r="25" spans="1:70" x14ac:dyDescent="0.25">
      <c r="A25" t="s">
        <v>1886</v>
      </c>
      <c r="B25" s="3">
        <v>42609</v>
      </c>
      <c r="C25" t="s">
        <v>1801</v>
      </c>
      <c r="D25" t="s">
        <v>1871</v>
      </c>
      <c r="E25" t="s">
        <v>1803</v>
      </c>
      <c r="F25">
        <v>0</v>
      </c>
      <c r="K25" s="1"/>
      <c r="AG25" t="s">
        <v>1883</v>
      </c>
      <c r="AH25" s="3">
        <v>42655</v>
      </c>
      <c r="AI25">
        <v>0</v>
      </c>
      <c r="AJ25">
        <v>0</v>
      </c>
      <c r="AS25" t="s">
        <v>1884</v>
      </c>
      <c r="AT25" s="3">
        <v>42693</v>
      </c>
      <c r="AU25">
        <v>21064</v>
      </c>
      <c r="AV25">
        <v>26</v>
      </c>
      <c r="AW25">
        <v>430</v>
      </c>
      <c r="AX25">
        <v>0</v>
      </c>
      <c r="BQ25" t="s">
        <v>72</v>
      </c>
      <c r="BR25" t="s">
        <v>1885</v>
      </c>
    </row>
    <row r="26" spans="1:70" x14ac:dyDescent="0.25">
      <c r="A26" t="s">
        <v>1887</v>
      </c>
      <c r="B26" s="3">
        <v>42611</v>
      </c>
      <c r="C26" t="s">
        <v>1801</v>
      </c>
      <c r="D26" t="s">
        <v>1871</v>
      </c>
      <c r="E26" t="s">
        <v>1803</v>
      </c>
      <c r="F26">
        <v>21640</v>
      </c>
      <c r="G26" t="s">
        <v>1888</v>
      </c>
      <c r="H26" s="3">
        <v>42611</v>
      </c>
      <c r="I26" t="s">
        <v>1889</v>
      </c>
      <c r="J26">
        <v>19500</v>
      </c>
      <c r="K26" s="1"/>
      <c r="M26" s="3">
        <v>42611</v>
      </c>
      <c r="N26" t="s">
        <v>57</v>
      </c>
      <c r="P26" t="s">
        <v>56</v>
      </c>
      <c r="Q26">
        <v>17000</v>
      </c>
      <c r="R26" s="3">
        <v>42641</v>
      </c>
      <c r="S26" t="s">
        <v>57</v>
      </c>
      <c r="U26" t="s">
        <v>60</v>
      </c>
      <c r="V26">
        <v>2100</v>
      </c>
      <c r="AG26" t="s">
        <v>1890</v>
      </c>
      <c r="AH26" s="3">
        <v>42639</v>
      </c>
      <c r="AI26">
        <v>21640</v>
      </c>
      <c r="AJ26">
        <v>0</v>
      </c>
      <c r="AS26" t="s">
        <v>1884</v>
      </c>
      <c r="AT26" s="3">
        <v>42693</v>
      </c>
      <c r="AU26">
        <v>21207</v>
      </c>
      <c r="AV26">
        <v>0</v>
      </c>
      <c r="AW26">
        <v>433</v>
      </c>
      <c r="AX26">
        <v>0</v>
      </c>
      <c r="BQ26" t="s">
        <v>72</v>
      </c>
      <c r="BR26" t="s">
        <v>1885</v>
      </c>
    </row>
    <row r="27" spans="1:70" x14ac:dyDescent="0.25">
      <c r="A27" t="s">
        <v>1891</v>
      </c>
      <c r="B27" s="3">
        <v>42612</v>
      </c>
      <c r="C27" t="s">
        <v>1801</v>
      </c>
      <c r="D27" t="s">
        <v>1871</v>
      </c>
      <c r="E27" t="s">
        <v>1803</v>
      </c>
      <c r="F27">
        <v>21640</v>
      </c>
      <c r="G27" t="s">
        <v>1892</v>
      </c>
      <c r="H27" s="3">
        <v>42612</v>
      </c>
      <c r="I27" t="s">
        <v>290</v>
      </c>
      <c r="J27">
        <v>19500</v>
      </c>
      <c r="K27" s="1"/>
      <c r="M27" s="3">
        <v>42612</v>
      </c>
      <c r="N27" t="s">
        <v>57</v>
      </c>
      <c r="P27" t="s">
        <v>56</v>
      </c>
      <c r="Q27">
        <v>16000</v>
      </c>
      <c r="R27" s="3">
        <v>42650</v>
      </c>
      <c r="S27" t="s">
        <v>54</v>
      </c>
      <c r="U27" t="s">
        <v>60</v>
      </c>
      <c r="V27">
        <v>3100</v>
      </c>
      <c r="AG27" t="s">
        <v>1893</v>
      </c>
      <c r="AH27" s="3">
        <v>42655</v>
      </c>
      <c r="AI27">
        <v>21640</v>
      </c>
      <c r="AJ27">
        <v>0</v>
      </c>
      <c r="AS27" t="s">
        <v>1884</v>
      </c>
      <c r="AT27" s="3">
        <v>42693</v>
      </c>
      <c r="AU27">
        <v>21207</v>
      </c>
      <c r="AV27">
        <v>0</v>
      </c>
      <c r="AW27">
        <v>433</v>
      </c>
      <c r="AX27">
        <v>0</v>
      </c>
      <c r="BQ27" t="s">
        <v>72</v>
      </c>
      <c r="BR27" t="s">
        <v>1885</v>
      </c>
    </row>
    <row r="28" spans="1:70" x14ac:dyDescent="0.25">
      <c r="A28" t="s">
        <v>1894</v>
      </c>
      <c r="B28" s="3">
        <v>42636</v>
      </c>
      <c r="C28" t="s">
        <v>1801</v>
      </c>
      <c r="D28" t="s">
        <v>1830</v>
      </c>
      <c r="E28" t="s">
        <v>1803</v>
      </c>
      <c r="F28">
        <v>12000</v>
      </c>
      <c r="G28" t="s">
        <v>1895</v>
      </c>
      <c r="H28" s="3">
        <v>42636</v>
      </c>
      <c r="I28" t="s">
        <v>91</v>
      </c>
      <c r="J28">
        <v>10500</v>
      </c>
      <c r="K28" s="1"/>
      <c r="M28" s="3">
        <v>42636</v>
      </c>
      <c r="N28" t="s">
        <v>57</v>
      </c>
      <c r="P28" t="s">
        <v>56</v>
      </c>
      <c r="Q28">
        <v>8200</v>
      </c>
      <c r="AG28" t="s">
        <v>1896</v>
      </c>
      <c r="AH28" s="3">
        <v>42667</v>
      </c>
      <c r="AI28">
        <v>12000</v>
      </c>
      <c r="AJ28">
        <v>0</v>
      </c>
      <c r="AS28" t="s">
        <v>1897</v>
      </c>
      <c r="AT28" s="3">
        <v>42810</v>
      </c>
      <c r="AU28">
        <v>12000</v>
      </c>
      <c r="AV28">
        <v>0</v>
      </c>
      <c r="AW28">
        <v>0</v>
      </c>
      <c r="AX28">
        <v>0</v>
      </c>
      <c r="BQ28" t="s">
        <v>72</v>
      </c>
      <c r="BR28" t="s">
        <v>1898</v>
      </c>
    </row>
    <row r="29" spans="1:70" x14ac:dyDescent="0.25">
      <c r="A29" t="s">
        <v>1899</v>
      </c>
      <c r="B29" s="3">
        <v>42642</v>
      </c>
      <c r="C29" t="s">
        <v>1801</v>
      </c>
      <c r="D29" t="s">
        <v>1871</v>
      </c>
      <c r="E29" t="s">
        <v>1803</v>
      </c>
      <c r="F29">
        <v>21000</v>
      </c>
      <c r="G29" t="s">
        <v>1900</v>
      </c>
      <c r="H29" s="3">
        <v>42642</v>
      </c>
      <c r="I29" t="s">
        <v>91</v>
      </c>
      <c r="J29">
        <v>19000</v>
      </c>
      <c r="K29" s="1"/>
      <c r="M29" s="3">
        <v>42642</v>
      </c>
      <c r="N29" t="s">
        <v>57</v>
      </c>
      <c r="P29" t="s">
        <v>56</v>
      </c>
      <c r="Q29">
        <v>16500</v>
      </c>
      <c r="R29" s="3">
        <v>42707</v>
      </c>
      <c r="S29" t="s">
        <v>57</v>
      </c>
      <c r="U29" t="s">
        <v>60</v>
      </c>
      <c r="V29">
        <v>1950</v>
      </c>
      <c r="AG29" t="s">
        <v>1901</v>
      </c>
      <c r="AH29" s="3">
        <v>42712</v>
      </c>
      <c r="AI29">
        <v>21000</v>
      </c>
      <c r="AJ29">
        <v>0</v>
      </c>
      <c r="AS29" t="s">
        <v>1868</v>
      </c>
      <c r="AT29" s="3">
        <v>42829</v>
      </c>
      <c r="AU29">
        <v>21000</v>
      </c>
      <c r="AV29">
        <v>0</v>
      </c>
      <c r="AW29">
        <v>0</v>
      </c>
      <c r="AX29">
        <v>0</v>
      </c>
      <c r="BQ29" t="s">
        <v>72</v>
      </c>
      <c r="BR29" t="s">
        <v>1869</v>
      </c>
    </row>
    <row r="30" spans="1:70" x14ac:dyDescent="0.25">
      <c r="A30" t="s">
        <v>1902</v>
      </c>
      <c r="B30" s="3">
        <v>42647</v>
      </c>
      <c r="C30" t="s">
        <v>1801</v>
      </c>
      <c r="D30" t="s">
        <v>1871</v>
      </c>
      <c r="E30" t="s">
        <v>1803</v>
      </c>
      <c r="F30">
        <v>21640</v>
      </c>
      <c r="G30" t="s">
        <v>1903</v>
      </c>
      <c r="H30" s="3">
        <v>42647</v>
      </c>
      <c r="I30" t="s">
        <v>290</v>
      </c>
      <c r="J30">
        <v>19000</v>
      </c>
      <c r="K30" s="1"/>
      <c r="M30" s="3">
        <v>42647</v>
      </c>
      <c r="N30" t="s">
        <v>57</v>
      </c>
      <c r="P30" t="s">
        <v>56</v>
      </c>
      <c r="Q30">
        <v>15700</v>
      </c>
      <c r="R30" s="3">
        <v>42678</v>
      </c>
      <c r="S30" t="s">
        <v>54</v>
      </c>
      <c r="U30" t="s">
        <v>60</v>
      </c>
      <c r="V30">
        <v>2900</v>
      </c>
      <c r="AG30" t="s">
        <v>1904</v>
      </c>
      <c r="AH30" s="3">
        <v>42681</v>
      </c>
      <c r="AI30">
        <v>21640</v>
      </c>
      <c r="AJ30">
        <v>0</v>
      </c>
      <c r="AS30" t="s">
        <v>1905</v>
      </c>
      <c r="AT30" s="3">
        <v>42779</v>
      </c>
      <c r="AU30">
        <v>21207</v>
      </c>
      <c r="AV30">
        <v>0</v>
      </c>
      <c r="AW30">
        <v>433</v>
      </c>
      <c r="AX30">
        <v>0</v>
      </c>
      <c r="BQ30" t="s">
        <v>72</v>
      </c>
      <c r="BR30" t="s">
        <v>1906</v>
      </c>
    </row>
    <row r="31" spans="1:70" x14ac:dyDescent="0.25">
      <c r="A31" t="s">
        <v>1907</v>
      </c>
      <c r="B31" s="3">
        <v>42739</v>
      </c>
      <c r="C31" t="s">
        <v>1801</v>
      </c>
      <c r="D31" t="s">
        <v>1871</v>
      </c>
      <c r="E31" t="s">
        <v>1803</v>
      </c>
      <c r="F31">
        <v>22140</v>
      </c>
      <c r="G31" t="s">
        <v>1908</v>
      </c>
      <c r="H31" s="3">
        <v>42739</v>
      </c>
      <c r="I31" t="s">
        <v>1909</v>
      </c>
      <c r="J31">
        <v>19500</v>
      </c>
      <c r="K31" s="1"/>
      <c r="M31" s="3">
        <v>42739</v>
      </c>
      <c r="N31" t="s">
        <v>54</v>
      </c>
      <c r="P31" t="s">
        <v>56</v>
      </c>
      <c r="Q31">
        <v>16000</v>
      </c>
      <c r="R31" s="3">
        <v>42762</v>
      </c>
      <c r="S31" t="s">
        <v>54</v>
      </c>
      <c r="U31" t="s">
        <v>60</v>
      </c>
      <c r="V31">
        <v>2950</v>
      </c>
      <c r="AG31" t="s">
        <v>1910</v>
      </c>
      <c r="AH31" s="3">
        <v>42796</v>
      </c>
      <c r="AI31">
        <v>22140</v>
      </c>
      <c r="AJ31">
        <v>0</v>
      </c>
      <c r="AS31" t="s">
        <v>1911</v>
      </c>
      <c r="AT31" s="3">
        <v>42878</v>
      </c>
      <c r="AU31">
        <v>21697</v>
      </c>
      <c r="AV31">
        <v>0</v>
      </c>
      <c r="AW31">
        <v>443</v>
      </c>
      <c r="AX31">
        <v>0</v>
      </c>
      <c r="BQ31" t="s">
        <v>72</v>
      </c>
      <c r="BR31" t="s">
        <v>1912</v>
      </c>
    </row>
    <row r="32" spans="1:70" x14ac:dyDescent="0.25">
      <c r="A32" t="s">
        <v>1913</v>
      </c>
      <c r="B32" s="3">
        <v>42741</v>
      </c>
      <c r="C32" t="s">
        <v>1801</v>
      </c>
      <c r="D32" t="s">
        <v>1871</v>
      </c>
      <c r="E32" t="s">
        <v>1803</v>
      </c>
      <c r="F32">
        <v>27340</v>
      </c>
      <c r="G32" t="s">
        <v>1914</v>
      </c>
      <c r="H32" s="3">
        <v>42741</v>
      </c>
      <c r="I32" t="s">
        <v>1909</v>
      </c>
      <c r="J32">
        <v>24000</v>
      </c>
      <c r="K32" s="1"/>
      <c r="M32" s="3">
        <v>42741</v>
      </c>
      <c r="N32" t="s">
        <v>54</v>
      </c>
      <c r="P32" t="s">
        <v>56</v>
      </c>
      <c r="Q32">
        <v>21600</v>
      </c>
      <c r="R32" s="3">
        <v>42762</v>
      </c>
      <c r="S32" t="s">
        <v>54</v>
      </c>
      <c r="U32" t="s">
        <v>60</v>
      </c>
      <c r="V32">
        <v>1950</v>
      </c>
      <c r="AG32" t="s">
        <v>1915</v>
      </c>
      <c r="AH32" s="3">
        <v>42796</v>
      </c>
      <c r="AI32">
        <v>27340</v>
      </c>
      <c r="AJ32">
        <v>0</v>
      </c>
      <c r="AS32" t="s">
        <v>1911</v>
      </c>
      <c r="AT32" s="3">
        <v>42878</v>
      </c>
      <c r="AU32">
        <v>26793</v>
      </c>
      <c r="AV32">
        <v>0</v>
      </c>
      <c r="AW32">
        <v>547</v>
      </c>
      <c r="AX32">
        <v>0</v>
      </c>
      <c r="BQ32" t="s">
        <v>72</v>
      </c>
      <c r="BR32" t="s">
        <v>1912</v>
      </c>
    </row>
    <row r="33" spans="1:70" x14ac:dyDescent="0.25">
      <c r="A33" t="s">
        <v>1916</v>
      </c>
      <c r="B33" s="3">
        <v>42741</v>
      </c>
      <c r="C33" t="s">
        <v>1801</v>
      </c>
      <c r="D33" t="s">
        <v>1871</v>
      </c>
      <c r="E33" t="s">
        <v>1803</v>
      </c>
      <c r="F33">
        <v>27340</v>
      </c>
      <c r="G33" t="s">
        <v>1917</v>
      </c>
      <c r="H33" s="3">
        <v>42741</v>
      </c>
      <c r="I33" t="s">
        <v>1909</v>
      </c>
      <c r="J33">
        <v>24000</v>
      </c>
      <c r="K33" s="1"/>
      <c r="M33" s="3">
        <v>42741</v>
      </c>
      <c r="N33" t="s">
        <v>54</v>
      </c>
      <c r="P33" t="s">
        <v>56</v>
      </c>
      <c r="Q33">
        <v>20600</v>
      </c>
      <c r="R33" s="3">
        <v>42762</v>
      </c>
      <c r="S33" t="s">
        <v>54</v>
      </c>
      <c r="U33" t="s">
        <v>60</v>
      </c>
      <c r="V33">
        <v>2950</v>
      </c>
      <c r="AG33" t="s">
        <v>1918</v>
      </c>
      <c r="AH33" s="3">
        <v>42796</v>
      </c>
      <c r="AI33">
        <v>27340</v>
      </c>
      <c r="AJ33">
        <v>0</v>
      </c>
      <c r="AS33" t="s">
        <v>1911</v>
      </c>
      <c r="AT33" s="3">
        <v>42878</v>
      </c>
      <c r="AU33">
        <v>26773</v>
      </c>
      <c r="AV33">
        <v>20</v>
      </c>
      <c r="AW33">
        <v>547</v>
      </c>
      <c r="AX33">
        <v>0</v>
      </c>
      <c r="BQ33" t="s">
        <v>72</v>
      </c>
      <c r="BR33" t="s">
        <v>1912</v>
      </c>
    </row>
    <row r="34" spans="1:70" x14ac:dyDescent="0.25">
      <c r="A34" s="5" t="s">
        <v>1919</v>
      </c>
      <c r="B34" s="3">
        <v>42825</v>
      </c>
      <c r="C34" t="s">
        <v>1801</v>
      </c>
      <c r="D34" t="s">
        <v>1871</v>
      </c>
      <c r="E34" t="s">
        <v>1803</v>
      </c>
      <c r="F34">
        <v>26500</v>
      </c>
      <c r="G34" t="s">
        <v>1920</v>
      </c>
      <c r="H34" s="3">
        <v>42825</v>
      </c>
      <c r="I34" t="s">
        <v>107</v>
      </c>
      <c r="J34">
        <v>24000</v>
      </c>
      <c r="K34" s="1" t="s">
        <v>67</v>
      </c>
      <c r="M34" s="3">
        <v>42825</v>
      </c>
      <c r="N34" t="s">
        <v>54</v>
      </c>
      <c r="P34" t="s">
        <v>56</v>
      </c>
      <c r="Q34">
        <v>20000</v>
      </c>
      <c r="R34" s="3">
        <v>42885</v>
      </c>
      <c r="S34" t="s">
        <v>54</v>
      </c>
      <c r="T34" t="s">
        <v>68</v>
      </c>
      <c r="U34" t="s">
        <v>60</v>
      </c>
      <c r="V34">
        <v>3400</v>
      </c>
      <c r="AG34" s="5" t="s">
        <v>1921</v>
      </c>
      <c r="AH34" s="3">
        <v>42881</v>
      </c>
      <c r="AI34" s="5">
        <v>26500</v>
      </c>
      <c r="AJ34">
        <v>0</v>
      </c>
      <c r="AS34" t="s">
        <v>1922</v>
      </c>
      <c r="AT34" s="3">
        <v>42978</v>
      </c>
      <c r="AU34">
        <v>26500</v>
      </c>
      <c r="AV34">
        <v>0</v>
      </c>
      <c r="AW34">
        <v>0</v>
      </c>
      <c r="AX34">
        <v>0</v>
      </c>
      <c r="BQ34" t="s">
        <v>72</v>
      </c>
      <c r="BR34" t="s">
        <v>1923</v>
      </c>
    </row>
    <row r="35" spans="1:70" x14ac:dyDescent="0.25">
      <c r="A35" s="5" t="s">
        <v>1924</v>
      </c>
      <c r="B35" s="3">
        <v>42825</v>
      </c>
      <c r="C35" t="s">
        <v>1801</v>
      </c>
      <c r="D35" t="s">
        <v>1871</v>
      </c>
      <c r="E35" t="s">
        <v>1803</v>
      </c>
      <c r="F35">
        <v>26500</v>
      </c>
      <c r="G35" t="s">
        <v>1925</v>
      </c>
      <c r="H35" s="3">
        <v>42825</v>
      </c>
      <c r="I35" t="s">
        <v>107</v>
      </c>
      <c r="J35">
        <v>24000</v>
      </c>
      <c r="K35" s="1" t="s">
        <v>67</v>
      </c>
      <c r="M35" s="3">
        <v>42825</v>
      </c>
      <c r="N35" t="s">
        <v>54</v>
      </c>
      <c r="P35" t="s">
        <v>56</v>
      </c>
      <c r="Q35">
        <v>20000</v>
      </c>
      <c r="R35" s="3">
        <v>42885</v>
      </c>
      <c r="S35" t="s">
        <v>54</v>
      </c>
      <c r="T35" t="s">
        <v>68</v>
      </c>
      <c r="U35" t="s">
        <v>60</v>
      </c>
      <c r="V35">
        <v>3400</v>
      </c>
      <c r="AG35" s="5" t="s">
        <v>1926</v>
      </c>
      <c r="AH35" s="3">
        <v>42881</v>
      </c>
      <c r="AI35" s="5">
        <v>26500</v>
      </c>
      <c r="AJ35">
        <v>0</v>
      </c>
      <c r="AS35" t="s">
        <v>1922</v>
      </c>
      <c r="AT35" s="3">
        <v>42978</v>
      </c>
      <c r="AU35">
        <v>26500</v>
      </c>
      <c r="AV35">
        <v>0</v>
      </c>
      <c r="AW35">
        <v>0</v>
      </c>
      <c r="AX35">
        <v>0</v>
      </c>
      <c r="BQ35" t="s">
        <v>72</v>
      </c>
      <c r="BR35" t="s">
        <v>1923</v>
      </c>
    </row>
    <row r="36" spans="1:70" x14ac:dyDescent="0.25">
      <c r="A36" t="s">
        <v>1927</v>
      </c>
      <c r="B36" s="3">
        <v>42952</v>
      </c>
      <c r="C36" t="s">
        <v>1801</v>
      </c>
      <c r="D36" t="s">
        <v>1928</v>
      </c>
      <c r="E36" t="s">
        <v>1803</v>
      </c>
      <c r="F36">
        <v>22000</v>
      </c>
      <c r="G36" t="s">
        <v>1929</v>
      </c>
      <c r="H36" s="3">
        <v>42952</v>
      </c>
      <c r="I36" t="s">
        <v>214</v>
      </c>
      <c r="J36">
        <v>20000</v>
      </c>
      <c r="K36" s="1"/>
      <c r="M36" s="3">
        <v>42952</v>
      </c>
      <c r="N36" t="s">
        <v>54</v>
      </c>
      <c r="O36" t="s">
        <v>1930</v>
      </c>
      <c r="P36" t="s">
        <v>56</v>
      </c>
      <c r="Q36">
        <v>17500</v>
      </c>
      <c r="R36" s="3">
        <v>42966</v>
      </c>
      <c r="S36" t="s">
        <v>54</v>
      </c>
      <c r="T36" t="s">
        <v>1931</v>
      </c>
      <c r="U36" t="s">
        <v>60</v>
      </c>
      <c r="V36">
        <v>1950</v>
      </c>
      <c r="AG36" t="s">
        <v>1932</v>
      </c>
      <c r="AH36" s="3">
        <v>42979</v>
      </c>
      <c r="AI36">
        <v>22000</v>
      </c>
      <c r="AJ36">
        <v>0</v>
      </c>
      <c r="AS36" t="s">
        <v>1933</v>
      </c>
      <c r="AT36" s="3">
        <v>43052</v>
      </c>
      <c r="AU36">
        <v>21560</v>
      </c>
      <c r="AV36">
        <v>0</v>
      </c>
      <c r="AW36">
        <v>440</v>
      </c>
      <c r="AX36">
        <v>0</v>
      </c>
      <c r="BQ36" t="s">
        <v>72</v>
      </c>
      <c r="BR36" t="s">
        <v>1934</v>
      </c>
    </row>
    <row r="37" spans="1:70" x14ac:dyDescent="0.25">
      <c r="A37" s="5" t="s">
        <v>1935</v>
      </c>
      <c r="B37" s="3">
        <v>42996</v>
      </c>
      <c r="C37" t="s">
        <v>1801</v>
      </c>
      <c r="D37" t="s">
        <v>1928</v>
      </c>
      <c r="E37" t="s">
        <v>1803</v>
      </c>
      <c r="F37">
        <v>24000</v>
      </c>
      <c r="G37" t="s">
        <v>1936</v>
      </c>
      <c r="H37" s="3">
        <v>42996</v>
      </c>
      <c r="I37" t="s">
        <v>66</v>
      </c>
      <c r="J37">
        <v>22000</v>
      </c>
      <c r="K37" s="1" t="s">
        <v>67</v>
      </c>
      <c r="M37" s="3">
        <v>42997</v>
      </c>
      <c r="N37" t="s">
        <v>54</v>
      </c>
      <c r="O37" t="s">
        <v>1191</v>
      </c>
      <c r="P37" t="s">
        <v>56</v>
      </c>
      <c r="Q37">
        <v>19500</v>
      </c>
      <c r="R37" s="3">
        <v>43049</v>
      </c>
      <c r="S37" t="s">
        <v>54</v>
      </c>
      <c r="T37" t="s">
        <v>77</v>
      </c>
      <c r="U37" t="s">
        <v>60</v>
      </c>
      <c r="V37">
        <v>1950</v>
      </c>
      <c r="AG37" s="5" t="s">
        <v>1937</v>
      </c>
      <c r="AH37" s="3">
        <v>43042</v>
      </c>
      <c r="AI37" s="5">
        <v>24000</v>
      </c>
      <c r="AJ37">
        <v>0</v>
      </c>
      <c r="AS37" t="s">
        <v>1938</v>
      </c>
      <c r="AT37" s="3">
        <v>43159</v>
      </c>
      <c r="AU37">
        <v>24000</v>
      </c>
      <c r="AV37">
        <v>0</v>
      </c>
      <c r="AW37">
        <v>0</v>
      </c>
      <c r="AX37">
        <v>0</v>
      </c>
      <c r="BQ37" t="s">
        <v>72</v>
      </c>
      <c r="BR37" t="s">
        <v>1923</v>
      </c>
    </row>
    <row r="38" spans="1:70" x14ac:dyDescent="0.25">
      <c r="A38" s="5" t="s">
        <v>1939</v>
      </c>
      <c r="B38" s="3">
        <v>42996</v>
      </c>
      <c r="C38" t="s">
        <v>1801</v>
      </c>
      <c r="D38" t="s">
        <v>1928</v>
      </c>
      <c r="E38" t="s">
        <v>1803</v>
      </c>
      <c r="F38">
        <v>24000</v>
      </c>
      <c r="G38" t="s">
        <v>1940</v>
      </c>
      <c r="H38" s="3">
        <v>42996</v>
      </c>
      <c r="I38" t="s">
        <v>66</v>
      </c>
      <c r="J38">
        <v>22000</v>
      </c>
      <c r="K38" s="1" t="s">
        <v>67</v>
      </c>
      <c r="M38" s="3">
        <v>42997</v>
      </c>
      <c r="N38" t="s">
        <v>54</v>
      </c>
      <c r="O38" t="s">
        <v>1191</v>
      </c>
      <c r="P38" t="s">
        <v>56</v>
      </c>
      <c r="Q38">
        <v>19500</v>
      </c>
      <c r="R38" s="3">
        <v>43049</v>
      </c>
      <c r="S38" t="s">
        <v>54</v>
      </c>
      <c r="T38" t="s">
        <v>77</v>
      </c>
      <c r="U38" t="s">
        <v>60</v>
      </c>
      <c r="V38">
        <v>1950</v>
      </c>
      <c r="AG38" s="5" t="s">
        <v>1941</v>
      </c>
      <c r="AH38" s="3">
        <v>43042</v>
      </c>
      <c r="AI38" s="5">
        <v>24000</v>
      </c>
      <c r="AJ38">
        <v>0</v>
      </c>
      <c r="AS38" t="s">
        <v>1942</v>
      </c>
      <c r="AT38" s="3">
        <v>43181</v>
      </c>
      <c r="AU38">
        <v>24000</v>
      </c>
      <c r="AV38">
        <v>0</v>
      </c>
      <c r="AW38">
        <v>0</v>
      </c>
      <c r="AX38">
        <v>0</v>
      </c>
      <c r="BQ38" t="s">
        <v>72</v>
      </c>
      <c r="BR38" t="s">
        <v>1923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23" sqref="A23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1943</v>
      </c>
      <c r="B2" s="3">
        <v>43209</v>
      </c>
      <c r="C2" t="s">
        <v>1944</v>
      </c>
      <c r="D2" t="s">
        <v>1945</v>
      </c>
      <c r="E2" t="s">
        <v>1946</v>
      </c>
      <c r="F2">
        <v>29500</v>
      </c>
      <c r="G2" t="s">
        <v>1947</v>
      </c>
      <c r="H2" s="3">
        <v>43209</v>
      </c>
      <c r="I2" t="s">
        <v>1244</v>
      </c>
      <c r="J2">
        <v>26000</v>
      </c>
      <c r="K2" s="1"/>
      <c r="M2" s="3">
        <v>43215</v>
      </c>
      <c r="N2" t="s">
        <v>57</v>
      </c>
      <c r="P2" t="s">
        <v>56</v>
      </c>
      <c r="Q2">
        <v>2000</v>
      </c>
      <c r="R2" s="3">
        <v>43215</v>
      </c>
      <c r="S2" t="s">
        <v>54</v>
      </c>
      <c r="T2" t="s">
        <v>1245</v>
      </c>
      <c r="U2" t="s">
        <v>56</v>
      </c>
      <c r="V2">
        <v>21500</v>
      </c>
      <c r="W2" s="3">
        <v>43263</v>
      </c>
      <c r="X2" t="s">
        <v>54</v>
      </c>
      <c r="Y2" t="s">
        <v>1948</v>
      </c>
      <c r="Z2" t="s">
        <v>60</v>
      </c>
      <c r="AA2">
        <v>1950</v>
      </c>
      <c r="AG2" t="s">
        <v>1949</v>
      </c>
      <c r="AH2" s="3">
        <v>43231</v>
      </c>
      <c r="AI2">
        <v>29500</v>
      </c>
      <c r="AJ2">
        <v>0</v>
      </c>
      <c r="AS2" t="s">
        <v>1950</v>
      </c>
      <c r="AT2" s="3">
        <v>43235</v>
      </c>
      <c r="AU2">
        <v>29500</v>
      </c>
      <c r="AV2">
        <v>0</v>
      </c>
      <c r="AW2">
        <v>0</v>
      </c>
      <c r="AX2">
        <v>0</v>
      </c>
      <c r="BQ2" t="s">
        <v>72</v>
      </c>
      <c r="BR2" t="s">
        <v>1951</v>
      </c>
    </row>
    <row r="3" spans="1:74" x14ac:dyDescent="0.25">
      <c r="A3" t="s">
        <v>1952</v>
      </c>
      <c r="B3" s="3">
        <v>43267</v>
      </c>
      <c r="C3" t="s">
        <v>1944</v>
      </c>
      <c r="D3" t="s">
        <v>1953</v>
      </c>
      <c r="E3" t="s">
        <v>1946</v>
      </c>
      <c r="F3">
        <v>11000</v>
      </c>
      <c r="K3" s="1"/>
      <c r="AG3" t="s">
        <v>1954</v>
      </c>
      <c r="AH3" s="3">
        <v>43299</v>
      </c>
      <c r="AI3">
        <v>11000</v>
      </c>
      <c r="AJ3">
        <v>0</v>
      </c>
      <c r="AS3" t="s">
        <v>1955</v>
      </c>
      <c r="AT3" s="3">
        <v>43316</v>
      </c>
      <c r="AU3">
        <v>11000</v>
      </c>
      <c r="AV3">
        <v>0</v>
      </c>
      <c r="AW3">
        <v>0</v>
      </c>
      <c r="AX3">
        <v>0</v>
      </c>
      <c r="BQ3" t="s">
        <v>72</v>
      </c>
      <c r="BR3" t="s">
        <v>1956</v>
      </c>
    </row>
    <row r="4" spans="1:74" x14ac:dyDescent="0.25">
      <c r="A4" t="s">
        <v>1957</v>
      </c>
      <c r="B4" s="3">
        <v>43311</v>
      </c>
      <c r="C4" t="s">
        <v>1944</v>
      </c>
      <c r="D4" t="s">
        <v>1953</v>
      </c>
      <c r="E4" t="s">
        <v>1946</v>
      </c>
      <c r="F4">
        <v>13000</v>
      </c>
      <c r="G4" t="s">
        <v>1958</v>
      </c>
      <c r="H4" s="3">
        <v>43311</v>
      </c>
      <c r="I4" t="s">
        <v>344</v>
      </c>
      <c r="J4">
        <v>12000</v>
      </c>
      <c r="K4" s="1"/>
      <c r="M4" s="3">
        <v>43312</v>
      </c>
      <c r="N4" t="s">
        <v>54</v>
      </c>
      <c r="O4" t="s">
        <v>707</v>
      </c>
      <c r="P4" t="s">
        <v>56</v>
      </c>
      <c r="Q4">
        <v>9800</v>
      </c>
      <c r="R4" s="3">
        <v>43383</v>
      </c>
      <c r="S4" t="s">
        <v>54</v>
      </c>
      <c r="T4" t="s">
        <v>410</v>
      </c>
      <c r="U4" t="s">
        <v>60</v>
      </c>
      <c r="V4">
        <v>1950</v>
      </c>
      <c r="AG4" t="s">
        <v>1959</v>
      </c>
      <c r="AH4" s="3">
        <v>43322</v>
      </c>
      <c r="AI4">
        <v>13000</v>
      </c>
      <c r="AJ4">
        <v>1000</v>
      </c>
      <c r="AS4" t="s">
        <v>1960</v>
      </c>
      <c r="AT4" s="3">
        <v>43385</v>
      </c>
      <c r="AU4">
        <v>12000</v>
      </c>
      <c r="AV4">
        <v>0</v>
      </c>
      <c r="AW4">
        <v>0</v>
      </c>
      <c r="AX4">
        <v>1000</v>
      </c>
      <c r="BQ4" t="s">
        <v>72</v>
      </c>
      <c r="BR4" t="s">
        <v>1961</v>
      </c>
    </row>
    <row r="5" spans="1:74" x14ac:dyDescent="0.25">
      <c r="A5" t="s">
        <v>1962</v>
      </c>
      <c r="B5" s="3">
        <v>43342</v>
      </c>
      <c r="C5" t="s">
        <v>1944</v>
      </c>
      <c r="D5" t="s">
        <v>1963</v>
      </c>
      <c r="E5" t="s">
        <v>1946</v>
      </c>
      <c r="F5">
        <v>21000</v>
      </c>
      <c r="G5" t="s">
        <v>1964</v>
      </c>
      <c r="H5" s="3">
        <v>43342</v>
      </c>
      <c r="I5" t="s">
        <v>344</v>
      </c>
      <c r="J5">
        <v>19000</v>
      </c>
      <c r="K5" s="1"/>
      <c r="M5" s="3">
        <v>43343</v>
      </c>
      <c r="N5" t="s">
        <v>54</v>
      </c>
      <c r="O5" t="s">
        <v>579</v>
      </c>
      <c r="P5" t="s">
        <v>56</v>
      </c>
      <c r="Q5">
        <v>16900</v>
      </c>
      <c r="R5" s="3">
        <v>43383</v>
      </c>
      <c r="S5" t="s">
        <v>54</v>
      </c>
      <c r="T5" t="s">
        <v>410</v>
      </c>
      <c r="U5" t="s">
        <v>60</v>
      </c>
      <c r="V5">
        <v>1950</v>
      </c>
      <c r="AG5" t="s">
        <v>1965</v>
      </c>
      <c r="AH5" s="3">
        <v>43351</v>
      </c>
      <c r="AI5">
        <v>21000</v>
      </c>
      <c r="AJ5">
        <v>0</v>
      </c>
      <c r="AS5" t="s">
        <v>1966</v>
      </c>
      <c r="AT5" s="3">
        <v>43365</v>
      </c>
      <c r="AU5">
        <v>33500</v>
      </c>
      <c r="AV5">
        <v>0</v>
      </c>
      <c r="AW5">
        <v>0</v>
      </c>
      <c r="AX5">
        <v>0</v>
      </c>
      <c r="BQ5" t="s">
        <v>72</v>
      </c>
      <c r="BR5" t="s">
        <v>1967</v>
      </c>
    </row>
    <row r="6" spans="1:74" x14ac:dyDescent="0.25">
      <c r="A6" t="s">
        <v>1968</v>
      </c>
      <c r="B6" s="3">
        <v>43343</v>
      </c>
      <c r="C6" t="s">
        <v>1944</v>
      </c>
      <c r="D6" t="s">
        <v>1953</v>
      </c>
      <c r="E6" t="s">
        <v>1946</v>
      </c>
      <c r="F6">
        <v>12500</v>
      </c>
      <c r="G6" t="s">
        <v>1969</v>
      </c>
      <c r="H6" s="3">
        <v>43343</v>
      </c>
      <c r="I6" t="s">
        <v>344</v>
      </c>
      <c r="J6">
        <v>11000</v>
      </c>
      <c r="K6" s="1"/>
      <c r="M6" s="3">
        <v>43343</v>
      </c>
      <c r="N6" t="s">
        <v>54</v>
      </c>
      <c r="O6" t="s">
        <v>538</v>
      </c>
      <c r="P6" t="s">
        <v>56</v>
      </c>
      <c r="Q6">
        <v>9800</v>
      </c>
      <c r="R6" s="3">
        <v>43512</v>
      </c>
      <c r="S6" t="s">
        <v>54</v>
      </c>
      <c r="T6" t="s">
        <v>410</v>
      </c>
      <c r="U6" t="s">
        <v>60</v>
      </c>
      <c r="V6">
        <v>970</v>
      </c>
      <c r="AG6" t="s">
        <v>1965</v>
      </c>
      <c r="AH6" s="3">
        <v>43351</v>
      </c>
      <c r="AI6">
        <v>12500</v>
      </c>
      <c r="AJ6">
        <v>0</v>
      </c>
      <c r="AS6" t="s">
        <v>1966</v>
      </c>
      <c r="AT6" s="3">
        <v>43365</v>
      </c>
      <c r="AU6">
        <v>33500</v>
      </c>
      <c r="AV6">
        <v>0</v>
      </c>
      <c r="AW6">
        <v>0</v>
      </c>
      <c r="AX6">
        <v>0</v>
      </c>
      <c r="BQ6" t="s">
        <v>72</v>
      </c>
      <c r="BR6" t="s">
        <v>1967</v>
      </c>
    </row>
    <row r="7" spans="1:74" x14ac:dyDescent="0.25">
      <c r="A7" t="s">
        <v>1970</v>
      </c>
      <c r="B7" s="3">
        <v>43425</v>
      </c>
      <c r="C7" t="s">
        <v>1944</v>
      </c>
      <c r="D7" t="s">
        <v>1953</v>
      </c>
      <c r="E7" t="s">
        <v>1946</v>
      </c>
      <c r="F7">
        <v>10000</v>
      </c>
      <c r="K7" s="1"/>
      <c r="AG7" t="s">
        <v>1971</v>
      </c>
      <c r="AH7" s="3">
        <v>43453</v>
      </c>
      <c r="AI7">
        <v>10000</v>
      </c>
      <c r="AJ7">
        <v>0</v>
      </c>
      <c r="AS7" t="s">
        <v>1972</v>
      </c>
      <c r="AT7" s="3">
        <v>43467</v>
      </c>
      <c r="AU7">
        <v>9800</v>
      </c>
      <c r="AV7">
        <v>0</v>
      </c>
      <c r="AW7">
        <v>200</v>
      </c>
      <c r="AX7">
        <v>0</v>
      </c>
      <c r="BQ7" t="s">
        <v>72</v>
      </c>
      <c r="BR7" t="s">
        <v>1973</v>
      </c>
    </row>
    <row r="8" spans="1:74" x14ac:dyDescent="0.25">
      <c r="A8" t="s">
        <v>1974</v>
      </c>
      <c r="B8" s="3">
        <v>43494</v>
      </c>
      <c r="C8" t="s">
        <v>1944</v>
      </c>
      <c r="D8" t="s">
        <v>1953</v>
      </c>
      <c r="E8" t="s">
        <v>1946</v>
      </c>
      <c r="F8">
        <v>11000</v>
      </c>
      <c r="G8" t="s">
        <v>1975</v>
      </c>
      <c r="H8" s="3">
        <v>43496</v>
      </c>
      <c r="I8" t="s">
        <v>339</v>
      </c>
      <c r="J8">
        <v>9000</v>
      </c>
      <c r="K8" s="1"/>
      <c r="M8" s="3">
        <v>43496</v>
      </c>
      <c r="N8" t="s">
        <v>54</v>
      </c>
      <c r="O8" t="s">
        <v>1784</v>
      </c>
      <c r="P8" t="s">
        <v>56</v>
      </c>
      <c r="Q8">
        <v>7900</v>
      </c>
      <c r="R8" s="3">
        <v>43564</v>
      </c>
      <c r="S8" t="s">
        <v>54</v>
      </c>
      <c r="T8" t="s">
        <v>399</v>
      </c>
      <c r="U8" t="s">
        <v>60</v>
      </c>
      <c r="V8">
        <v>970</v>
      </c>
      <c r="AG8" t="s">
        <v>1976</v>
      </c>
      <c r="AH8" s="3">
        <v>43522</v>
      </c>
      <c r="AI8">
        <v>11000</v>
      </c>
      <c r="AJ8">
        <v>11000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>
      <pane xSplit="6" ySplit="1" topLeftCell="I2" activePane="bottomRight" state="frozen"/>
      <selection pane="topRight" activeCell="G1" sqref="G1"/>
      <selection pane="bottomLeft" activeCell="A2" sqref="A2"/>
      <selection pane="bottomRight" activeCell="Q3" activeCellId="3" sqref="Q2 V2 V3 Q3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4" t="s">
        <v>2130</v>
      </c>
      <c r="B2" s="3">
        <v>43335</v>
      </c>
      <c r="C2" t="s">
        <v>50</v>
      </c>
      <c r="D2" t="s">
        <v>1353</v>
      </c>
      <c r="E2" t="s">
        <v>2131</v>
      </c>
      <c r="F2">
        <v>80000</v>
      </c>
      <c r="G2" t="s">
        <v>2132</v>
      </c>
      <c r="H2" s="3">
        <v>43335</v>
      </c>
      <c r="I2" t="s">
        <v>66</v>
      </c>
      <c r="J2">
        <v>72000</v>
      </c>
      <c r="K2" s="1" t="s">
        <v>67</v>
      </c>
      <c r="M2" s="3">
        <v>43343</v>
      </c>
      <c r="N2" t="s">
        <v>54</v>
      </c>
      <c r="O2" t="s">
        <v>69</v>
      </c>
      <c r="P2" t="s">
        <v>56</v>
      </c>
      <c r="Q2">
        <v>66200</v>
      </c>
      <c r="R2" s="3">
        <v>43383</v>
      </c>
      <c r="S2" t="s">
        <v>54</v>
      </c>
      <c r="T2" t="s">
        <v>1313</v>
      </c>
      <c r="U2" t="s">
        <v>60</v>
      </c>
      <c r="V2">
        <v>4900</v>
      </c>
      <c r="AG2" s="5" t="s">
        <v>2133</v>
      </c>
      <c r="AH2" s="3">
        <v>43374</v>
      </c>
      <c r="AI2" s="7">
        <v>80000</v>
      </c>
      <c r="AJ2">
        <v>80000</v>
      </c>
    </row>
    <row r="3" spans="1:74" x14ac:dyDescent="0.25">
      <c r="A3" s="4" t="s">
        <v>2134</v>
      </c>
      <c r="B3" s="3">
        <v>43335</v>
      </c>
      <c r="C3" t="s">
        <v>50</v>
      </c>
      <c r="D3" t="s">
        <v>1353</v>
      </c>
      <c r="E3" t="s">
        <v>2131</v>
      </c>
      <c r="F3">
        <v>80000</v>
      </c>
      <c r="G3" t="s">
        <v>2135</v>
      </c>
      <c r="H3" s="3">
        <v>43335</v>
      </c>
      <c r="I3" t="s">
        <v>66</v>
      </c>
      <c r="J3">
        <v>72000</v>
      </c>
      <c r="K3" s="1" t="s">
        <v>67</v>
      </c>
      <c r="M3" s="3">
        <v>43343</v>
      </c>
      <c r="N3" t="s">
        <v>54</v>
      </c>
      <c r="O3" t="s">
        <v>69</v>
      </c>
      <c r="P3" t="s">
        <v>56</v>
      </c>
      <c r="Q3">
        <v>66200</v>
      </c>
      <c r="R3" s="3">
        <v>43383</v>
      </c>
      <c r="S3" t="s">
        <v>54</v>
      </c>
      <c r="T3" t="s">
        <v>1313</v>
      </c>
      <c r="U3" t="s">
        <v>60</v>
      </c>
      <c r="V3">
        <v>4900</v>
      </c>
      <c r="AG3" s="5" t="s">
        <v>2136</v>
      </c>
      <c r="AH3" s="3">
        <v>43374</v>
      </c>
      <c r="AI3" s="7">
        <v>80000</v>
      </c>
      <c r="AJ3">
        <v>80000</v>
      </c>
    </row>
  </sheetData>
  <autoFilter ref="A1:BV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V126"/>
  <sheetViews>
    <sheetView workbookViewId="0">
      <pane xSplit="6" ySplit="1" topLeftCell="AR70" activePane="bottomRight" state="frozen"/>
      <selection pane="topRight" activeCell="G1" sqref="G1"/>
      <selection pane="bottomLeft" activeCell="A2" sqref="A2"/>
      <selection pane="bottomRight" activeCell="AT126" sqref="AT126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hidden="1" x14ac:dyDescent="0.25">
      <c r="A2" t="s">
        <v>2137</v>
      </c>
      <c r="B2" s="3">
        <v>42227</v>
      </c>
      <c r="C2" t="s">
        <v>2138</v>
      </c>
      <c r="D2" t="s">
        <v>2139</v>
      </c>
      <c r="E2" t="s">
        <v>2139</v>
      </c>
      <c r="F2">
        <v>30500</v>
      </c>
      <c r="G2" t="s">
        <v>2140</v>
      </c>
      <c r="H2" s="3">
        <v>42227</v>
      </c>
      <c r="I2" t="s">
        <v>2141</v>
      </c>
      <c r="J2">
        <v>26500</v>
      </c>
      <c r="K2" s="1"/>
      <c r="M2" s="3">
        <v>42227</v>
      </c>
      <c r="N2" t="s">
        <v>57</v>
      </c>
      <c r="P2" t="s">
        <v>56</v>
      </c>
      <c r="Q2">
        <v>21300</v>
      </c>
      <c r="R2" s="3">
        <v>42256</v>
      </c>
      <c r="S2" t="s">
        <v>54</v>
      </c>
      <c r="U2" t="s">
        <v>60</v>
      </c>
      <c r="V2">
        <v>4400</v>
      </c>
      <c r="AG2" t="s">
        <v>2142</v>
      </c>
      <c r="AH2" s="3">
        <v>42251</v>
      </c>
      <c r="AI2">
        <v>30500</v>
      </c>
      <c r="AJ2">
        <v>0</v>
      </c>
      <c r="AS2" t="s">
        <v>2143</v>
      </c>
      <c r="AT2" s="3">
        <v>42328</v>
      </c>
      <c r="AU2">
        <v>29890</v>
      </c>
      <c r="AV2">
        <v>0</v>
      </c>
      <c r="AW2">
        <v>610</v>
      </c>
      <c r="AX2">
        <v>0</v>
      </c>
    </row>
    <row r="3" spans="1:74" hidden="1" x14ac:dyDescent="0.25">
      <c r="A3" t="s">
        <v>2144</v>
      </c>
      <c r="B3" s="3">
        <v>42242</v>
      </c>
      <c r="C3" t="s">
        <v>2138</v>
      </c>
      <c r="D3" t="s">
        <v>2139</v>
      </c>
      <c r="E3" t="s">
        <v>2139</v>
      </c>
      <c r="F3">
        <v>16000</v>
      </c>
      <c r="G3" t="s">
        <v>2145</v>
      </c>
      <c r="H3" s="3">
        <v>42242</v>
      </c>
      <c r="I3" t="s">
        <v>107</v>
      </c>
      <c r="J3">
        <v>13500</v>
      </c>
      <c r="K3" s="1"/>
      <c r="M3" s="3">
        <v>42242</v>
      </c>
      <c r="N3" t="s">
        <v>57</v>
      </c>
      <c r="P3" t="s">
        <v>56</v>
      </c>
      <c r="Q3">
        <v>11200</v>
      </c>
      <c r="R3" s="3">
        <v>42257</v>
      </c>
      <c r="S3" t="s">
        <v>57</v>
      </c>
      <c r="U3" t="s">
        <v>60</v>
      </c>
      <c r="V3">
        <v>1950</v>
      </c>
      <c r="AG3" t="s">
        <v>2146</v>
      </c>
      <c r="AH3" s="3">
        <v>42261</v>
      </c>
      <c r="AI3">
        <v>16000</v>
      </c>
      <c r="AJ3">
        <v>0</v>
      </c>
      <c r="AS3" t="s">
        <v>2147</v>
      </c>
      <c r="AT3" s="3">
        <v>42396</v>
      </c>
      <c r="AU3">
        <v>15680</v>
      </c>
      <c r="AV3">
        <v>0</v>
      </c>
      <c r="AW3">
        <v>320</v>
      </c>
      <c r="AX3">
        <v>0</v>
      </c>
    </row>
    <row r="4" spans="1:74" hidden="1" x14ac:dyDescent="0.25">
      <c r="A4" t="s">
        <v>2148</v>
      </c>
      <c r="B4" s="3">
        <v>42297</v>
      </c>
      <c r="C4" t="s">
        <v>2138</v>
      </c>
      <c r="D4" t="s">
        <v>2139</v>
      </c>
      <c r="E4" t="s">
        <v>2139</v>
      </c>
      <c r="F4">
        <v>147500</v>
      </c>
      <c r="G4" t="s">
        <v>2149</v>
      </c>
      <c r="H4" s="3">
        <v>42297</v>
      </c>
      <c r="I4" t="s">
        <v>2150</v>
      </c>
      <c r="J4">
        <v>120000</v>
      </c>
      <c r="K4" s="1"/>
      <c r="M4" s="3">
        <v>42297</v>
      </c>
      <c r="N4" t="s">
        <v>54</v>
      </c>
      <c r="P4" t="s">
        <v>56</v>
      </c>
      <c r="Q4">
        <v>74800</v>
      </c>
      <c r="R4" s="3">
        <v>42297</v>
      </c>
      <c r="S4" t="s">
        <v>57</v>
      </c>
      <c r="U4" t="s">
        <v>56</v>
      </c>
      <c r="V4">
        <v>20000</v>
      </c>
      <c r="W4" s="3">
        <v>42332</v>
      </c>
      <c r="X4" t="s">
        <v>54</v>
      </c>
      <c r="Z4" t="s">
        <v>60</v>
      </c>
      <c r="AA4">
        <v>23700</v>
      </c>
      <c r="AG4" t="s">
        <v>2151</v>
      </c>
      <c r="AH4" s="3">
        <v>42332</v>
      </c>
      <c r="AI4">
        <v>147500</v>
      </c>
      <c r="AJ4">
        <v>0</v>
      </c>
      <c r="AS4" t="s">
        <v>2152</v>
      </c>
      <c r="AT4" s="3">
        <v>42444</v>
      </c>
      <c r="AU4">
        <v>147131</v>
      </c>
      <c r="AV4">
        <v>0</v>
      </c>
      <c r="AW4">
        <v>369</v>
      </c>
      <c r="AX4">
        <v>0</v>
      </c>
    </row>
    <row r="5" spans="1:74" hidden="1" x14ac:dyDescent="0.25">
      <c r="A5" t="s">
        <v>2153</v>
      </c>
      <c r="B5" s="3">
        <v>42326</v>
      </c>
      <c r="C5" t="s">
        <v>2138</v>
      </c>
      <c r="D5" t="s">
        <v>2139</v>
      </c>
      <c r="E5" t="s">
        <v>2139</v>
      </c>
      <c r="F5">
        <v>58500</v>
      </c>
      <c r="G5" t="s">
        <v>2154</v>
      </c>
      <c r="H5" s="3">
        <v>42326</v>
      </c>
      <c r="I5" t="s">
        <v>2009</v>
      </c>
      <c r="J5">
        <v>51500</v>
      </c>
      <c r="K5" s="1"/>
      <c r="M5" s="3">
        <v>42326</v>
      </c>
      <c r="N5" t="s">
        <v>57</v>
      </c>
      <c r="P5" t="s">
        <v>56</v>
      </c>
      <c r="Q5">
        <v>34500</v>
      </c>
      <c r="R5" s="3">
        <v>42327</v>
      </c>
      <c r="S5" t="s">
        <v>57</v>
      </c>
      <c r="U5" t="s">
        <v>56</v>
      </c>
      <c r="V5">
        <v>12500</v>
      </c>
      <c r="W5" s="3">
        <v>42361</v>
      </c>
      <c r="X5" t="s">
        <v>54</v>
      </c>
      <c r="Z5" t="s">
        <v>60</v>
      </c>
      <c r="AA5">
        <v>3900</v>
      </c>
      <c r="AG5" t="s">
        <v>2155</v>
      </c>
      <c r="AH5" s="3">
        <v>42361</v>
      </c>
      <c r="AI5">
        <v>58500</v>
      </c>
      <c r="AJ5">
        <v>0</v>
      </c>
      <c r="AS5" t="s">
        <v>2156</v>
      </c>
      <c r="AT5" s="3">
        <v>42444</v>
      </c>
      <c r="AU5">
        <v>58354</v>
      </c>
      <c r="AV5">
        <v>0</v>
      </c>
      <c r="AW5">
        <v>146</v>
      </c>
      <c r="AX5">
        <v>0</v>
      </c>
    </row>
    <row r="6" spans="1:74" hidden="1" x14ac:dyDescent="0.25">
      <c r="A6" t="s">
        <v>2157</v>
      </c>
      <c r="B6" s="3">
        <v>42332</v>
      </c>
      <c r="C6" t="s">
        <v>2158</v>
      </c>
      <c r="D6" t="s">
        <v>2139</v>
      </c>
      <c r="E6" t="s">
        <v>2139</v>
      </c>
      <c r="F6">
        <v>74250</v>
      </c>
      <c r="G6" t="s">
        <v>2159</v>
      </c>
      <c r="H6" s="3">
        <v>42332</v>
      </c>
      <c r="I6" t="s">
        <v>2160</v>
      </c>
      <c r="J6">
        <v>64000</v>
      </c>
      <c r="K6" s="1"/>
      <c r="M6" s="3">
        <v>42333</v>
      </c>
      <c r="N6" t="s">
        <v>54</v>
      </c>
      <c r="P6" t="s">
        <v>56</v>
      </c>
      <c r="Q6">
        <v>52400</v>
      </c>
      <c r="R6" s="3">
        <v>42333</v>
      </c>
      <c r="S6" t="s">
        <v>57</v>
      </c>
      <c r="U6" t="s">
        <v>56</v>
      </c>
      <c r="V6">
        <v>2000</v>
      </c>
      <c r="W6" s="3">
        <v>42354</v>
      </c>
      <c r="X6" t="s">
        <v>54</v>
      </c>
      <c r="Z6" t="s">
        <v>60</v>
      </c>
      <c r="AA6">
        <v>8800</v>
      </c>
      <c r="AG6" t="s">
        <v>2161</v>
      </c>
      <c r="AH6" s="3">
        <v>42359</v>
      </c>
      <c r="AI6">
        <v>74250</v>
      </c>
      <c r="AJ6">
        <v>0</v>
      </c>
      <c r="AS6" t="s">
        <v>2162</v>
      </c>
      <c r="AT6" s="3">
        <v>42467</v>
      </c>
      <c r="AU6">
        <v>74064</v>
      </c>
      <c r="AV6">
        <v>0</v>
      </c>
      <c r="AW6">
        <v>186</v>
      </c>
      <c r="AX6">
        <v>0</v>
      </c>
    </row>
    <row r="7" spans="1:74" hidden="1" x14ac:dyDescent="0.25">
      <c r="A7" t="s">
        <v>2163</v>
      </c>
      <c r="B7" s="3">
        <v>42333</v>
      </c>
      <c r="C7" t="s">
        <v>2158</v>
      </c>
      <c r="D7" t="s">
        <v>2139</v>
      </c>
      <c r="E7" t="s">
        <v>2139</v>
      </c>
      <c r="F7">
        <v>74250</v>
      </c>
      <c r="G7" t="s">
        <v>2164</v>
      </c>
      <c r="H7" s="3">
        <v>42333</v>
      </c>
      <c r="I7" t="s">
        <v>2160</v>
      </c>
      <c r="J7">
        <v>64000</v>
      </c>
      <c r="K7" s="1"/>
      <c r="M7" s="3">
        <v>42333</v>
      </c>
      <c r="N7" t="s">
        <v>54</v>
      </c>
      <c r="P7" t="s">
        <v>56</v>
      </c>
      <c r="Q7">
        <v>54400</v>
      </c>
      <c r="R7" s="3">
        <v>42354</v>
      </c>
      <c r="S7" t="s">
        <v>54</v>
      </c>
      <c r="U7" t="s">
        <v>60</v>
      </c>
      <c r="V7">
        <v>8800</v>
      </c>
      <c r="AG7" t="s">
        <v>2165</v>
      </c>
      <c r="AH7" s="3">
        <v>42359</v>
      </c>
      <c r="AI7">
        <v>74250</v>
      </c>
      <c r="AJ7">
        <v>0</v>
      </c>
      <c r="AS7" s="13" t="s">
        <v>2162</v>
      </c>
      <c r="AT7" s="3">
        <v>42467</v>
      </c>
      <c r="AU7">
        <v>74065</v>
      </c>
      <c r="AV7">
        <v>0</v>
      </c>
      <c r="AW7">
        <v>185</v>
      </c>
      <c r="AX7">
        <v>0</v>
      </c>
    </row>
    <row r="8" spans="1:74" hidden="1" x14ac:dyDescent="0.25">
      <c r="A8" t="s">
        <v>2166</v>
      </c>
      <c r="B8" s="3">
        <v>42369</v>
      </c>
      <c r="C8" t="s">
        <v>2138</v>
      </c>
      <c r="D8" t="s">
        <v>2139</v>
      </c>
      <c r="E8" t="s">
        <v>2139</v>
      </c>
      <c r="F8">
        <v>33800</v>
      </c>
      <c r="G8" t="s">
        <v>2167</v>
      </c>
      <c r="H8" s="3">
        <v>42369</v>
      </c>
      <c r="I8" t="s">
        <v>278</v>
      </c>
      <c r="J8">
        <v>30000</v>
      </c>
      <c r="K8" s="1"/>
      <c r="M8" s="3">
        <v>42369</v>
      </c>
      <c r="N8" t="s">
        <v>57</v>
      </c>
      <c r="P8" t="s">
        <v>56</v>
      </c>
      <c r="Q8">
        <v>26700</v>
      </c>
      <c r="R8" s="3">
        <v>42403</v>
      </c>
      <c r="S8" t="s">
        <v>54</v>
      </c>
      <c r="U8" t="s">
        <v>60</v>
      </c>
      <c r="V8">
        <v>2950</v>
      </c>
      <c r="AG8" t="s">
        <v>2168</v>
      </c>
      <c r="AH8" s="3">
        <v>42398</v>
      </c>
      <c r="AI8">
        <v>33800</v>
      </c>
      <c r="AJ8">
        <v>0</v>
      </c>
      <c r="AS8" t="s">
        <v>2169</v>
      </c>
      <c r="AT8" s="3">
        <v>43151</v>
      </c>
      <c r="AU8">
        <v>47778</v>
      </c>
      <c r="AV8">
        <v>0</v>
      </c>
      <c r="AW8">
        <v>1352</v>
      </c>
      <c r="AX8">
        <v>0</v>
      </c>
      <c r="AY8" t="s">
        <v>2170</v>
      </c>
      <c r="AZ8" s="3">
        <v>43151</v>
      </c>
      <c r="BA8">
        <v>17500</v>
      </c>
      <c r="BB8">
        <v>0</v>
      </c>
      <c r="BC8">
        <v>0</v>
      </c>
      <c r="BD8">
        <v>0</v>
      </c>
      <c r="BE8" t="s">
        <v>2171</v>
      </c>
      <c r="BF8" s="3">
        <v>43151</v>
      </c>
      <c r="BG8">
        <v>970</v>
      </c>
      <c r="BH8">
        <v>0</v>
      </c>
      <c r="BI8">
        <v>0</v>
      </c>
      <c r="BJ8">
        <v>0</v>
      </c>
    </row>
    <row r="9" spans="1:74" hidden="1" x14ac:dyDescent="0.25">
      <c r="A9" t="s">
        <v>2172</v>
      </c>
      <c r="B9" s="3">
        <v>42369</v>
      </c>
      <c r="C9" t="s">
        <v>2138</v>
      </c>
      <c r="D9" t="s">
        <v>2139</v>
      </c>
      <c r="E9" t="s">
        <v>2139</v>
      </c>
      <c r="F9">
        <v>33800</v>
      </c>
      <c r="G9" t="s">
        <v>2173</v>
      </c>
      <c r="H9" s="3">
        <v>42369</v>
      </c>
      <c r="I9" t="s">
        <v>278</v>
      </c>
      <c r="J9">
        <v>30000</v>
      </c>
      <c r="K9" s="1"/>
      <c r="M9" s="3">
        <v>42369</v>
      </c>
      <c r="N9" t="s">
        <v>57</v>
      </c>
      <c r="P9" t="s">
        <v>56</v>
      </c>
      <c r="Q9">
        <v>26700</v>
      </c>
      <c r="R9" s="3">
        <v>42403</v>
      </c>
      <c r="S9" t="s">
        <v>54</v>
      </c>
      <c r="U9" t="s">
        <v>60</v>
      </c>
      <c r="V9">
        <v>2950</v>
      </c>
      <c r="AG9" t="s">
        <v>2168</v>
      </c>
      <c r="AH9" s="3">
        <v>42398</v>
      </c>
      <c r="AI9">
        <v>33800</v>
      </c>
      <c r="AJ9">
        <v>0</v>
      </c>
      <c r="AS9" s="13" t="s">
        <v>2169</v>
      </c>
      <c r="AT9" s="3">
        <v>43151</v>
      </c>
      <c r="AU9">
        <v>47778</v>
      </c>
      <c r="AV9">
        <v>0</v>
      </c>
      <c r="AW9">
        <v>1352</v>
      </c>
      <c r="AX9">
        <v>0</v>
      </c>
      <c r="AY9" s="13" t="s">
        <v>2170</v>
      </c>
      <c r="AZ9" s="3">
        <v>43151</v>
      </c>
      <c r="BA9">
        <v>17500</v>
      </c>
      <c r="BB9">
        <v>0</v>
      </c>
      <c r="BC9">
        <v>0</v>
      </c>
      <c r="BD9">
        <v>0</v>
      </c>
      <c r="BE9" s="13" t="s">
        <v>2171</v>
      </c>
      <c r="BF9" s="3">
        <v>43151</v>
      </c>
      <c r="BG9">
        <v>970</v>
      </c>
      <c r="BH9">
        <v>0</v>
      </c>
      <c r="BI9">
        <v>0</v>
      </c>
      <c r="BJ9">
        <v>0</v>
      </c>
    </row>
    <row r="10" spans="1:74" hidden="1" x14ac:dyDescent="0.25">
      <c r="A10" t="s">
        <v>2174</v>
      </c>
      <c r="B10" s="3">
        <v>42374</v>
      </c>
      <c r="C10" t="s">
        <v>2138</v>
      </c>
      <c r="D10" t="s">
        <v>2139</v>
      </c>
      <c r="E10" t="s">
        <v>2139</v>
      </c>
      <c r="F10">
        <v>13500</v>
      </c>
      <c r="G10" t="s">
        <v>2175</v>
      </c>
      <c r="H10" s="3">
        <v>42374</v>
      </c>
      <c r="I10" t="s">
        <v>2009</v>
      </c>
      <c r="J10">
        <v>11500</v>
      </c>
      <c r="K10" s="1"/>
      <c r="M10" s="3">
        <v>42374</v>
      </c>
      <c r="N10" t="s">
        <v>57</v>
      </c>
      <c r="P10" t="s">
        <v>56</v>
      </c>
      <c r="Q10">
        <v>9700</v>
      </c>
      <c r="R10" s="3">
        <v>42409</v>
      </c>
      <c r="S10" t="s">
        <v>54</v>
      </c>
      <c r="U10" t="s">
        <v>60</v>
      </c>
      <c r="V10">
        <v>1450</v>
      </c>
      <c r="AG10" t="s">
        <v>2176</v>
      </c>
      <c r="AH10" s="3">
        <v>42417</v>
      </c>
      <c r="AI10">
        <v>13500</v>
      </c>
      <c r="AJ10">
        <v>0</v>
      </c>
      <c r="AS10" t="s">
        <v>2177</v>
      </c>
      <c r="AT10" s="3">
        <v>42490</v>
      </c>
      <c r="AU10">
        <v>124189</v>
      </c>
      <c r="AV10">
        <v>0</v>
      </c>
      <c r="AW10">
        <v>311</v>
      </c>
      <c r="AX10">
        <v>0</v>
      </c>
    </row>
    <row r="11" spans="1:74" hidden="1" x14ac:dyDescent="0.25">
      <c r="A11" t="s">
        <v>2178</v>
      </c>
      <c r="B11" s="3">
        <v>42375</v>
      </c>
      <c r="C11" t="s">
        <v>2138</v>
      </c>
      <c r="D11" t="s">
        <v>2139</v>
      </c>
      <c r="E11" t="s">
        <v>2139</v>
      </c>
      <c r="F11">
        <v>13500</v>
      </c>
      <c r="G11" t="s">
        <v>2179</v>
      </c>
      <c r="H11" s="3">
        <v>42375</v>
      </c>
      <c r="I11" t="s">
        <v>2009</v>
      </c>
      <c r="J11">
        <v>12000</v>
      </c>
      <c r="K11" s="1"/>
      <c r="M11" s="3">
        <v>42375</v>
      </c>
      <c r="N11" t="s">
        <v>57</v>
      </c>
      <c r="P11" t="s">
        <v>56</v>
      </c>
      <c r="Q11">
        <v>10700</v>
      </c>
      <c r="R11" s="3">
        <v>42417</v>
      </c>
      <c r="S11" t="s">
        <v>54</v>
      </c>
      <c r="U11" t="s">
        <v>60</v>
      </c>
      <c r="V11">
        <v>970</v>
      </c>
      <c r="AG11" t="s">
        <v>2176</v>
      </c>
      <c r="AH11" s="3">
        <v>42417</v>
      </c>
      <c r="AI11">
        <v>13500</v>
      </c>
      <c r="AJ11">
        <v>0</v>
      </c>
      <c r="AS11" s="13" t="s">
        <v>2177</v>
      </c>
      <c r="AT11" s="3">
        <v>42490</v>
      </c>
      <c r="AU11">
        <v>124189</v>
      </c>
      <c r="AV11">
        <v>0</v>
      </c>
      <c r="AW11">
        <v>311</v>
      </c>
      <c r="AX11">
        <v>0</v>
      </c>
    </row>
    <row r="12" spans="1:74" hidden="1" x14ac:dyDescent="0.25">
      <c r="A12" t="s">
        <v>2180</v>
      </c>
      <c r="B12" s="3">
        <v>42375</v>
      </c>
      <c r="C12" t="s">
        <v>2138</v>
      </c>
      <c r="D12" t="s">
        <v>2139</v>
      </c>
      <c r="E12" t="s">
        <v>2139</v>
      </c>
      <c r="F12">
        <v>13500</v>
      </c>
      <c r="G12" t="s">
        <v>2181</v>
      </c>
      <c r="H12" s="3">
        <v>42375</v>
      </c>
      <c r="I12" t="s">
        <v>2009</v>
      </c>
      <c r="J12">
        <v>12000</v>
      </c>
      <c r="K12" s="1"/>
      <c r="M12" s="3">
        <v>42375</v>
      </c>
      <c r="N12" t="s">
        <v>57</v>
      </c>
      <c r="P12" t="s">
        <v>56</v>
      </c>
      <c r="Q12">
        <v>10700</v>
      </c>
      <c r="R12" s="3">
        <v>42387</v>
      </c>
      <c r="S12" t="s">
        <v>54</v>
      </c>
      <c r="U12" t="s">
        <v>60</v>
      </c>
      <c r="V12">
        <v>970</v>
      </c>
      <c r="AG12" t="s">
        <v>2182</v>
      </c>
      <c r="AH12" s="3">
        <v>42399</v>
      </c>
      <c r="AI12">
        <v>13500</v>
      </c>
      <c r="AJ12">
        <v>0</v>
      </c>
      <c r="AS12" t="s">
        <v>2183</v>
      </c>
      <c r="AT12" s="3">
        <v>42452</v>
      </c>
      <c r="AU12">
        <v>13466</v>
      </c>
      <c r="AV12">
        <v>0</v>
      </c>
      <c r="AW12">
        <v>34</v>
      </c>
      <c r="AX12">
        <v>0</v>
      </c>
    </row>
    <row r="13" spans="1:74" hidden="1" x14ac:dyDescent="0.25">
      <c r="A13" t="s">
        <v>2184</v>
      </c>
      <c r="B13" s="3">
        <v>42376</v>
      </c>
      <c r="C13" t="s">
        <v>2185</v>
      </c>
      <c r="D13" t="s">
        <v>2139</v>
      </c>
      <c r="E13" t="s">
        <v>2139</v>
      </c>
      <c r="F13">
        <v>67320</v>
      </c>
      <c r="G13" t="s">
        <v>2186</v>
      </c>
      <c r="H13" s="3">
        <v>42376</v>
      </c>
      <c r="I13" t="s">
        <v>107</v>
      </c>
      <c r="J13">
        <v>55000</v>
      </c>
      <c r="K13" s="1"/>
      <c r="M13" s="3">
        <v>42376</v>
      </c>
      <c r="N13" t="s">
        <v>54</v>
      </c>
      <c r="P13" t="s">
        <v>56</v>
      </c>
      <c r="Q13">
        <v>24300</v>
      </c>
      <c r="R13" s="3">
        <v>42376</v>
      </c>
      <c r="S13" t="s">
        <v>57</v>
      </c>
      <c r="U13" t="s">
        <v>56</v>
      </c>
      <c r="V13">
        <v>21000</v>
      </c>
      <c r="W13" s="3">
        <v>42413</v>
      </c>
      <c r="X13" t="s">
        <v>54</v>
      </c>
      <c r="Z13" t="s">
        <v>60</v>
      </c>
      <c r="AA13">
        <v>8900</v>
      </c>
      <c r="AG13" t="s">
        <v>2187</v>
      </c>
      <c r="AH13" s="3">
        <v>42415</v>
      </c>
      <c r="AI13">
        <v>67320</v>
      </c>
      <c r="AJ13">
        <v>0</v>
      </c>
      <c r="AS13" t="s">
        <v>2188</v>
      </c>
      <c r="AT13" s="3">
        <v>42488</v>
      </c>
      <c r="AU13">
        <v>65974</v>
      </c>
      <c r="AV13">
        <v>0</v>
      </c>
      <c r="AW13">
        <v>1346</v>
      </c>
      <c r="AX13">
        <v>0</v>
      </c>
    </row>
    <row r="14" spans="1:74" hidden="1" x14ac:dyDescent="0.25">
      <c r="A14" t="s">
        <v>2189</v>
      </c>
      <c r="B14" s="3">
        <v>42377</v>
      </c>
      <c r="C14" t="s">
        <v>2185</v>
      </c>
      <c r="D14" t="s">
        <v>2139</v>
      </c>
      <c r="E14" t="s">
        <v>2139</v>
      </c>
      <c r="F14">
        <v>67320</v>
      </c>
      <c r="G14" t="s">
        <v>2190</v>
      </c>
      <c r="H14" s="3">
        <v>42377</v>
      </c>
      <c r="I14" t="s">
        <v>107</v>
      </c>
      <c r="J14">
        <v>56000</v>
      </c>
      <c r="K14" s="1"/>
      <c r="M14" s="3">
        <v>42377</v>
      </c>
      <c r="N14" t="s">
        <v>54</v>
      </c>
      <c r="P14" t="s">
        <v>56</v>
      </c>
      <c r="Q14">
        <v>23300</v>
      </c>
      <c r="R14" s="3">
        <v>42377</v>
      </c>
      <c r="S14" t="s">
        <v>57</v>
      </c>
      <c r="U14" t="s">
        <v>56</v>
      </c>
      <c r="V14">
        <v>22000</v>
      </c>
      <c r="W14" s="3">
        <v>42409</v>
      </c>
      <c r="X14" t="s">
        <v>54</v>
      </c>
      <c r="Z14" t="s">
        <v>60</v>
      </c>
      <c r="AA14">
        <v>9900</v>
      </c>
      <c r="AG14" t="s">
        <v>2191</v>
      </c>
      <c r="AH14" s="3">
        <v>42415</v>
      </c>
      <c r="AI14">
        <v>67320</v>
      </c>
      <c r="AJ14">
        <v>0</v>
      </c>
      <c r="AS14" s="13" t="s">
        <v>2188</v>
      </c>
      <c r="AT14" s="3">
        <v>42488</v>
      </c>
      <c r="AU14">
        <v>65974</v>
      </c>
      <c r="AV14">
        <v>0</v>
      </c>
      <c r="AW14">
        <v>1346</v>
      </c>
      <c r="AX14">
        <v>0</v>
      </c>
    </row>
    <row r="15" spans="1:74" hidden="1" x14ac:dyDescent="0.25">
      <c r="A15" t="s">
        <v>2192</v>
      </c>
      <c r="B15" s="3">
        <v>42378</v>
      </c>
      <c r="C15" t="s">
        <v>2185</v>
      </c>
      <c r="D15" t="s">
        <v>2139</v>
      </c>
      <c r="E15" t="s">
        <v>2139</v>
      </c>
      <c r="F15">
        <v>67320</v>
      </c>
      <c r="G15" t="s">
        <v>2193</v>
      </c>
      <c r="H15" s="3">
        <v>42378</v>
      </c>
      <c r="I15" t="s">
        <v>107</v>
      </c>
      <c r="J15">
        <v>56000</v>
      </c>
      <c r="K15" s="1"/>
      <c r="M15" s="3">
        <v>42378</v>
      </c>
      <c r="N15" t="s">
        <v>54</v>
      </c>
      <c r="P15" t="s">
        <v>56</v>
      </c>
      <c r="Q15">
        <v>23300</v>
      </c>
      <c r="R15" s="3">
        <v>42378</v>
      </c>
      <c r="S15" t="s">
        <v>57</v>
      </c>
      <c r="U15" t="s">
        <v>56</v>
      </c>
      <c r="V15">
        <v>22000</v>
      </c>
      <c r="W15" s="3">
        <v>42411</v>
      </c>
      <c r="X15" t="s">
        <v>54</v>
      </c>
      <c r="Z15" t="s">
        <v>60</v>
      </c>
      <c r="AA15">
        <v>9900</v>
      </c>
      <c r="AG15" t="s">
        <v>2194</v>
      </c>
      <c r="AH15" s="3">
        <v>42415</v>
      </c>
      <c r="AI15">
        <v>67320</v>
      </c>
      <c r="AJ15">
        <v>0</v>
      </c>
      <c r="AS15" s="13" t="s">
        <v>2188</v>
      </c>
      <c r="AT15" s="3">
        <v>42488</v>
      </c>
      <c r="AU15">
        <v>65974</v>
      </c>
      <c r="AV15">
        <v>0</v>
      </c>
      <c r="AW15">
        <v>1346</v>
      </c>
      <c r="AX15">
        <v>0</v>
      </c>
    </row>
    <row r="16" spans="1:74" hidden="1" x14ac:dyDescent="0.25">
      <c r="A16" t="s">
        <v>2195</v>
      </c>
      <c r="B16" s="3">
        <v>42378</v>
      </c>
      <c r="C16" t="s">
        <v>2185</v>
      </c>
      <c r="D16" t="s">
        <v>2139</v>
      </c>
      <c r="E16" t="s">
        <v>2139</v>
      </c>
      <c r="F16">
        <v>67320</v>
      </c>
      <c r="G16" t="s">
        <v>2196</v>
      </c>
      <c r="H16" s="3">
        <v>42378</v>
      </c>
      <c r="I16" t="s">
        <v>107</v>
      </c>
      <c r="J16">
        <v>56000</v>
      </c>
      <c r="K16" s="1"/>
      <c r="M16" s="3">
        <v>42378</v>
      </c>
      <c r="N16" t="s">
        <v>54</v>
      </c>
      <c r="P16" t="s">
        <v>56</v>
      </c>
      <c r="Q16">
        <v>23300</v>
      </c>
      <c r="R16" s="3">
        <v>42378</v>
      </c>
      <c r="S16" t="s">
        <v>57</v>
      </c>
      <c r="U16" t="s">
        <v>56</v>
      </c>
      <c r="V16">
        <v>22000</v>
      </c>
      <c r="W16" s="3">
        <v>42409</v>
      </c>
      <c r="X16" t="s">
        <v>54</v>
      </c>
      <c r="Z16" t="s">
        <v>60</v>
      </c>
      <c r="AA16">
        <v>9900</v>
      </c>
      <c r="AG16" t="s">
        <v>2197</v>
      </c>
      <c r="AH16" s="3">
        <v>42415</v>
      </c>
      <c r="AI16">
        <v>67320</v>
      </c>
      <c r="AJ16">
        <v>0</v>
      </c>
      <c r="AS16" s="13" t="s">
        <v>2188</v>
      </c>
      <c r="AT16" s="3">
        <v>42488</v>
      </c>
      <c r="AU16">
        <v>65974</v>
      </c>
      <c r="AV16">
        <v>0</v>
      </c>
      <c r="AW16">
        <v>1346</v>
      </c>
      <c r="AX16">
        <v>0</v>
      </c>
    </row>
    <row r="17" spans="1:50" hidden="1" x14ac:dyDescent="0.25">
      <c r="A17" t="s">
        <v>2198</v>
      </c>
      <c r="B17" s="3">
        <v>42380</v>
      </c>
      <c r="C17" t="s">
        <v>2138</v>
      </c>
      <c r="D17" t="s">
        <v>2139</v>
      </c>
      <c r="E17" t="s">
        <v>2139</v>
      </c>
      <c r="F17">
        <v>67320</v>
      </c>
      <c r="G17" t="s">
        <v>2199</v>
      </c>
      <c r="H17" s="3">
        <v>42380</v>
      </c>
      <c r="I17" t="s">
        <v>2200</v>
      </c>
      <c r="J17">
        <v>55000</v>
      </c>
      <c r="K17" s="1"/>
      <c r="M17" s="3">
        <v>42380</v>
      </c>
      <c r="N17" t="s">
        <v>57</v>
      </c>
      <c r="P17" t="s">
        <v>56</v>
      </c>
      <c r="Q17">
        <v>22000</v>
      </c>
      <c r="R17" s="3">
        <v>42381</v>
      </c>
      <c r="S17" t="s">
        <v>54</v>
      </c>
      <c r="U17" t="s">
        <v>56</v>
      </c>
      <c r="V17">
        <v>22300</v>
      </c>
      <c r="W17" s="3">
        <v>42411</v>
      </c>
      <c r="X17" t="s">
        <v>54</v>
      </c>
      <c r="Z17" t="s">
        <v>60</v>
      </c>
      <c r="AA17">
        <v>9900</v>
      </c>
      <c r="AG17" t="s">
        <v>2201</v>
      </c>
      <c r="AH17" s="3">
        <v>42415</v>
      </c>
      <c r="AI17">
        <v>67320</v>
      </c>
      <c r="AJ17">
        <v>0</v>
      </c>
      <c r="AS17" s="13" t="s">
        <v>2188</v>
      </c>
      <c r="AT17" s="3">
        <v>42488</v>
      </c>
      <c r="AU17">
        <v>65974</v>
      </c>
      <c r="AV17">
        <v>0</v>
      </c>
      <c r="AW17">
        <v>1346</v>
      </c>
      <c r="AX17">
        <v>0</v>
      </c>
    </row>
    <row r="18" spans="1:50" hidden="1" x14ac:dyDescent="0.25">
      <c r="A18" t="s">
        <v>2202</v>
      </c>
      <c r="B18" s="3">
        <v>42380</v>
      </c>
      <c r="C18" t="s">
        <v>2138</v>
      </c>
      <c r="D18" t="s">
        <v>2139</v>
      </c>
      <c r="E18" t="s">
        <v>2139</v>
      </c>
      <c r="F18">
        <v>13500</v>
      </c>
      <c r="G18" t="s">
        <v>2203</v>
      </c>
      <c r="H18" s="3">
        <v>42380</v>
      </c>
      <c r="I18" t="s">
        <v>2204</v>
      </c>
      <c r="J18">
        <v>12000</v>
      </c>
      <c r="K18" s="1"/>
      <c r="M18" s="3">
        <v>42380</v>
      </c>
      <c r="N18" t="s">
        <v>57</v>
      </c>
      <c r="P18" t="s">
        <v>56</v>
      </c>
      <c r="Q18">
        <v>9700</v>
      </c>
      <c r="R18" s="3">
        <v>42439</v>
      </c>
      <c r="S18" t="s">
        <v>57</v>
      </c>
      <c r="U18" t="s">
        <v>60</v>
      </c>
      <c r="V18">
        <v>1700</v>
      </c>
      <c r="AG18" t="s">
        <v>2205</v>
      </c>
      <c r="AH18" s="3">
        <v>42434</v>
      </c>
      <c r="AI18">
        <v>13500</v>
      </c>
      <c r="AJ18">
        <v>0</v>
      </c>
      <c r="AS18" t="s">
        <v>2206</v>
      </c>
      <c r="AT18" s="3">
        <v>42490</v>
      </c>
      <c r="AU18">
        <v>13466</v>
      </c>
      <c r="AV18">
        <v>0</v>
      </c>
      <c r="AW18">
        <v>34</v>
      </c>
      <c r="AX18">
        <v>0</v>
      </c>
    </row>
    <row r="19" spans="1:50" hidden="1" x14ac:dyDescent="0.25">
      <c r="A19" t="s">
        <v>2207</v>
      </c>
      <c r="B19" s="3">
        <v>42381</v>
      </c>
      <c r="C19" t="s">
        <v>2138</v>
      </c>
      <c r="D19" t="s">
        <v>2139</v>
      </c>
      <c r="E19" t="s">
        <v>2139</v>
      </c>
      <c r="F19">
        <v>67320</v>
      </c>
      <c r="G19" t="s">
        <v>2208</v>
      </c>
      <c r="H19" s="3">
        <v>42381</v>
      </c>
      <c r="I19" t="s">
        <v>2209</v>
      </c>
      <c r="J19">
        <v>55000</v>
      </c>
      <c r="K19" s="1"/>
      <c r="M19" s="3">
        <v>42381</v>
      </c>
      <c r="N19" t="s">
        <v>54</v>
      </c>
      <c r="P19" t="s">
        <v>56</v>
      </c>
      <c r="Q19">
        <v>22300</v>
      </c>
      <c r="R19" s="3">
        <v>42381</v>
      </c>
      <c r="S19" t="s">
        <v>57</v>
      </c>
      <c r="U19" t="s">
        <v>56</v>
      </c>
      <c r="V19">
        <v>22000</v>
      </c>
      <c r="W19" s="3">
        <v>42411</v>
      </c>
      <c r="X19" t="s">
        <v>54</v>
      </c>
      <c r="Z19" t="s">
        <v>60</v>
      </c>
      <c r="AA19">
        <v>9900</v>
      </c>
      <c r="AG19" t="s">
        <v>2210</v>
      </c>
      <c r="AH19" s="3">
        <v>42415</v>
      </c>
      <c r="AI19">
        <v>67320</v>
      </c>
      <c r="AJ19">
        <v>0</v>
      </c>
      <c r="AS19" t="s">
        <v>2211</v>
      </c>
      <c r="AT19" s="3">
        <v>42493</v>
      </c>
      <c r="AU19">
        <v>65974</v>
      </c>
      <c r="AV19">
        <v>0</v>
      </c>
      <c r="AW19">
        <v>1346</v>
      </c>
      <c r="AX19">
        <v>0</v>
      </c>
    </row>
    <row r="20" spans="1:50" hidden="1" x14ac:dyDescent="0.25">
      <c r="A20" t="s">
        <v>2212</v>
      </c>
      <c r="B20" s="3">
        <v>42381</v>
      </c>
      <c r="C20" t="s">
        <v>2138</v>
      </c>
      <c r="D20" t="s">
        <v>2139</v>
      </c>
      <c r="E20" t="s">
        <v>2139</v>
      </c>
      <c r="F20">
        <v>67320</v>
      </c>
      <c r="G20" t="s">
        <v>2213</v>
      </c>
      <c r="H20" s="3">
        <v>42381</v>
      </c>
      <c r="I20" t="s">
        <v>2209</v>
      </c>
      <c r="J20">
        <v>55000</v>
      </c>
      <c r="K20" s="1"/>
      <c r="M20" s="3">
        <v>42381</v>
      </c>
      <c r="N20" t="s">
        <v>54</v>
      </c>
      <c r="P20" t="s">
        <v>56</v>
      </c>
      <c r="Q20">
        <v>22300</v>
      </c>
      <c r="R20" s="3">
        <v>42381</v>
      </c>
      <c r="S20" t="s">
        <v>57</v>
      </c>
      <c r="U20" t="s">
        <v>56</v>
      </c>
      <c r="V20">
        <v>22000</v>
      </c>
      <c r="W20" s="3">
        <v>42409</v>
      </c>
      <c r="X20" t="s">
        <v>54</v>
      </c>
      <c r="Z20" t="s">
        <v>60</v>
      </c>
      <c r="AA20">
        <v>9900</v>
      </c>
      <c r="AG20" t="s">
        <v>2214</v>
      </c>
      <c r="AH20" s="3">
        <v>42415</v>
      </c>
      <c r="AI20">
        <v>67320</v>
      </c>
      <c r="AJ20">
        <v>0</v>
      </c>
      <c r="AS20" s="13" t="s">
        <v>2211</v>
      </c>
      <c r="AT20" s="3">
        <v>42493</v>
      </c>
      <c r="AU20">
        <v>65974</v>
      </c>
      <c r="AV20">
        <v>0</v>
      </c>
      <c r="AW20">
        <v>1346</v>
      </c>
      <c r="AX20">
        <v>0</v>
      </c>
    </row>
    <row r="21" spans="1:50" hidden="1" x14ac:dyDescent="0.25">
      <c r="A21" t="s">
        <v>2215</v>
      </c>
      <c r="B21" s="3">
        <v>42388</v>
      </c>
      <c r="C21" t="s">
        <v>2138</v>
      </c>
      <c r="D21" t="s">
        <v>2139</v>
      </c>
      <c r="E21" t="s">
        <v>2139</v>
      </c>
      <c r="F21">
        <v>13500</v>
      </c>
      <c r="G21" t="s">
        <v>2216</v>
      </c>
      <c r="H21" s="3">
        <v>42388</v>
      </c>
      <c r="I21" t="s">
        <v>2009</v>
      </c>
      <c r="J21">
        <v>12000</v>
      </c>
      <c r="K21" s="1"/>
      <c r="M21" s="3">
        <v>42388</v>
      </c>
      <c r="N21" t="s">
        <v>57</v>
      </c>
      <c r="P21" t="s">
        <v>56</v>
      </c>
      <c r="Q21">
        <v>9700</v>
      </c>
      <c r="R21" s="3">
        <v>42399</v>
      </c>
      <c r="S21" t="s">
        <v>57</v>
      </c>
      <c r="U21" t="s">
        <v>60</v>
      </c>
      <c r="V21">
        <v>1950</v>
      </c>
      <c r="AG21" t="s">
        <v>2217</v>
      </c>
      <c r="AH21" s="3">
        <v>42411</v>
      </c>
      <c r="AI21">
        <v>13500</v>
      </c>
      <c r="AJ21">
        <v>0</v>
      </c>
      <c r="AS21" t="s">
        <v>2183</v>
      </c>
      <c r="AT21" s="3">
        <v>42452</v>
      </c>
      <c r="AU21">
        <v>67331</v>
      </c>
      <c r="AV21">
        <v>0</v>
      </c>
      <c r="AW21">
        <v>169</v>
      </c>
      <c r="AX21">
        <v>0</v>
      </c>
    </row>
    <row r="22" spans="1:50" hidden="1" x14ac:dyDescent="0.25">
      <c r="A22" t="s">
        <v>2218</v>
      </c>
      <c r="B22" s="3">
        <v>42392</v>
      </c>
      <c r="C22" t="s">
        <v>2138</v>
      </c>
      <c r="D22" t="s">
        <v>2139</v>
      </c>
      <c r="E22" t="s">
        <v>2139</v>
      </c>
      <c r="F22">
        <v>13500</v>
      </c>
      <c r="G22" t="s">
        <v>2219</v>
      </c>
      <c r="H22" s="3">
        <v>42392</v>
      </c>
      <c r="I22" t="s">
        <v>2009</v>
      </c>
      <c r="J22">
        <v>12000</v>
      </c>
      <c r="K22" s="1"/>
      <c r="M22" s="3">
        <v>42392</v>
      </c>
      <c r="N22" t="s">
        <v>57</v>
      </c>
      <c r="P22" t="s">
        <v>56</v>
      </c>
      <c r="Q22">
        <v>9700</v>
      </c>
      <c r="R22" s="3">
        <v>42432</v>
      </c>
      <c r="S22" t="s">
        <v>57</v>
      </c>
      <c r="U22" t="s">
        <v>60</v>
      </c>
      <c r="V22">
        <v>1950</v>
      </c>
      <c r="AG22" t="s">
        <v>2217</v>
      </c>
      <c r="AH22" s="3">
        <v>42411</v>
      </c>
      <c r="AI22">
        <v>13500</v>
      </c>
      <c r="AJ22">
        <v>0</v>
      </c>
      <c r="AS22" s="13" t="s">
        <v>2183</v>
      </c>
      <c r="AT22" s="3">
        <v>42452</v>
      </c>
      <c r="AU22">
        <v>67331</v>
      </c>
      <c r="AV22">
        <v>0</v>
      </c>
      <c r="AW22">
        <v>169</v>
      </c>
      <c r="AX22">
        <v>0</v>
      </c>
    </row>
    <row r="23" spans="1:50" hidden="1" x14ac:dyDescent="0.25">
      <c r="A23" t="s">
        <v>2220</v>
      </c>
      <c r="B23" s="3">
        <v>42397</v>
      </c>
      <c r="C23" t="s">
        <v>2138</v>
      </c>
      <c r="D23" t="s">
        <v>2139</v>
      </c>
      <c r="E23" t="s">
        <v>2139</v>
      </c>
      <c r="F23">
        <v>13500</v>
      </c>
      <c r="G23" t="s">
        <v>2221</v>
      </c>
      <c r="H23" s="3">
        <v>42397</v>
      </c>
      <c r="I23" t="s">
        <v>2009</v>
      </c>
      <c r="J23">
        <v>12000</v>
      </c>
      <c r="K23" s="1"/>
      <c r="M23" s="3">
        <v>42397</v>
      </c>
      <c r="N23" t="s">
        <v>57</v>
      </c>
      <c r="P23" t="s">
        <v>56</v>
      </c>
      <c r="Q23">
        <v>9700</v>
      </c>
      <c r="R23" s="3">
        <v>42417</v>
      </c>
      <c r="S23" t="s">
        <v>54</v>
      </c>
      <c r="U23" t="s">
        <v>60</v>
      </c>
      <c r="V23">
        <v>1950</v>
      </c>
      <c r="AG23" t="s">
        <v>2176</v>
      </c>
      <c r="AH23" s="3">
        <v>42417</v>
      </c>
      <c r="AI23">
        <v>13500</v>
      </c>
      <c r="AJ23">
        <v>0</v>
      </c>
      <c r="AS23" s="13" t="s">
        <v>2177</v>
      </c>
      <c r="AT23" s="3">
        <v>42490</v>
      </c>
      <c r="AU23">
        <v>124189</v>
      </c>
      <c r="AV23">
        <v>0</v>
      </c>
      <c r="AW23">
        <v>311</v>
      </c>
      <c r="AX23">
        <v>0</v>
      </c>
    </row>
    <row r="24" spans="1:50" hidden="1" x14ac:dyDescent="0.25">
      <c r="A24" t="s">
        <v>2222</v>
      </c>
      <c r="B24" s="3">
        <v>42401</v>
      </c>
      <c r="C24" t="s">
        <v>2138</v>
      </c>
      <c r="D24" t="s">
        <v>2139</v>
      </c>
      <c r="E24" t="s">
        <v>2139</v>
      </c>
      <c r="F24">
        <v>13500</v>
      </c>
      <c r="G24" t="s">
        <v>2223</v>
      </c>
      <c r="H24" s="3">
        <v>42401</v>
      </c>
      <c r="I24" t="s">
        <v>2009</v>
      </c>
      <c r="J24">
        <v>12000</v>
      </c>
      <c r="K24" s="1"/>
      <c r="M24" s="3">
        <v>42401</v>
      </c>
      <c r="N24" t="s">
        <v>57</v>
      </c>
      <c r="P24" t="s">
        <v>56</v>
      </c>
      <c r="Q24">
        <v>9700</v>
      </c>
      <c r="R24" s="3">
        <v>42408</v>
      </c>
      <c r="S24" t="s">
        <v>57</v>
      </c>
      <c r="U24" t="s">
        <v>60</v>
      </c>
      <c r="V24">
        <v>1950</v>
      </c>
      <c r="AG24" t="s">
        <v>2217</v>
      </c>
      <c r="AH24" s="3">
        <v>42411</v>
      </c>
      <c r="AI24">
        <v>13500</v>
      </c>
      <c r="AJ24">
        <v>0</v>
      </c>
      <c r="AS24" s="13" t="s">
        <v>2183</v>
      </c>
      <c r="AT24" s="3">
        <v>42452</v>
      </c>
      <c r="AU24">
        <v>67331</v>
      </c>
      <c r="AV24">
        <v>0</v>
      </c>
      <c r="AW24">
        <v>169</v>
      </c>
      <c r="AX24">
        <v>0</v>
      </c>
    </row>
    <row r="25" spans="1:50" hidden="1" x14ac:dyDescent="0.25">
      <c r="A25" t="s">
        <v>2224</v>
      </c>
      <c r="B25" s="3">
        <v>42401</v>
      </c>
      <c r="C25" t="s">
        <v>2138</v>
      </c>
      <c r="D25" t="s">
        <v>2139</v>
      </c>
      <c r="E25" t="s">
        <v>2139</v>
      </c>
      <c r="F25">
        <v>13500</v>
      </c>
      <c r="G25" t="s">
        <v>2225</v>
      </c>
      <c r="H25" s="3">
        <v>42401</v>
      </c>
      <c r="I25" t="s">
        <v>2009</v>
      </c>
      <c r="J25">
        <v>12000</v>
      </c>
      <c r="K25" s="1"/>
      <c r="M25" s="3">
        <v>42401</v>
      </c>
      <c r="N25" t="s">
        <v>57</v>
      </c>
      <c r="P25" t="s">
        <v>56</v>
      </c>
      <c r="Q25">
        <v>9700</v>
      </c>
      <c r="R25" s="3">
        <v>42416</v>
      </c>
      <c r="S25" t="s">
        <v>57</v>
      </c>
      <c r="U25" t="s">
        <v>60</v>
      </c>
      <c r="V25">
        <v>1950</v>
      </c>
      <c r="AG25" t="s">
        <v>2226</v>
      </c>
      <c r="AH25" s="3">
        <v>42422</v>
      </c>
      <c r="AI25">
        <v>13500</v>
      </c>
      <c r="AJ25">
        <v>0</v>
      </c>
      <c r="AS25" t="s">
        <v>2227</v>
      </c>
      <c r="AT25" s="3">
        <v>42490</v>
      </c>
      <c r="AU25">
        <v>188527</v>
      </c>
      <c r="AV25">
        <v>0</v>
      </c>
      <c r="AW25">
        <v>473</v>
      </c>
      <c r="AX25">
        <v>0</v>
      </c>
    </row>
    <row r="26" spans="1:50" hidden="1" x14ac:dyDescent="0.25">
      <c r="A26" t="s">
        <v>2228</v>
      </c>
      <c r="B26" s="3">
        <v>42402</v>
      </c>
      <c r="C26" t="s">
        <v>2138</v>
      </c>
      <c r="D26" t="s">
        <v>2139</v>
      </c>
      <c r="E26" t="s">
        <v>2139</v>
      </c>
      <c r="F26">
        <v>13500</v>
      </c>
      <c r="G26" t="s">
        <v>2229</v>
      </c>
      <c r="H26" s="3">
        <v>42402</v>
      </c>
      <c r="I26" t="s">
        <v>2009</v>
      </c>
      <c r="J26">
        <v>12000</v>
      </c>
      <c r="K26" s="1"/>
      <c r="M26" s="3">
        <v>42402</v>
      </c>
      <c r="N26" t="s">
        <v>54</v>
      </c>
      <c r="P26" t="s">
        <v>56</v>
      </c>
      <c r="Q26">
        <v>9700</v>
      </c>
      <c r="R26" s="3">
        <v>42408</v>
      </c>
      <c r="S26" t="s">
        <v>57</v>
      </c>
      <c r="U26" t="s">
        <v>60</v>
      </c>
      <c r="V26">
        <v>1950</v>
      </c>
      <c r="AG26" t="s">
        <v>2217</v>
      </c>
      <c r="AH26" s="3">
        <v>42411</v>
      </c>
      <c r="AI26">
        <v>13500</v>
      </c>
      <c r="AJ26">
        <v>0</v>
      </c>
      <c r="AS26" s="13" t="s">
        <v>2183</v>
      </c>
      <c r="AT26" s="3">
        <v>42452</v>
      </c>
      <c r="AU26">
        <v>67331</v>
      </c>
      <c r="AV26">
        <v>0</v>
      </c>
      <c r="AW26">
        <v>169</v>
      </c>
      <c r="AX26">
        <v>0</v>
      </c>
    </row>
    <row r="27" spans="1:50" hidden="1" x14ac:dyDescent="0.25">
      <c r="A27" t="s">
        <v>2230</v>
      </c>
      <c r="B27" s="3">
        <v>42402</v>
      </c>
      <c r="C27" t="s">
        <v>2138</v>
      </c>
      <c r="D27" t="s">
        <v>2139</v>
      </c>
      <c r="E27" t="s">
        <v>2139</v>
      </c>
      <c r="F27">
        <v>13500</v>
      </c>
      <c r="G27" t="s">
        <v>2231</v>
      </c>
      <c r="H27" s="3">
        <v>42402</v>
      </c>
      <c r="I27" t="s">
        <v>2009</v>
      </c>
      <c r="J27">
        <v>12000</v>
      </c>
      <c r="K27" s="1"/>
      <c r="M27" s="3">
        <v>42403</v>
      </c>
      <c r="N27" t="s">
        <v>54</v>
      </c>
      <c r="P27" t="s">
        <v>56</v>
      </c>
      <c r="Q27">
        <v>9800</v>
      </c>
      <c r="R27" s="3">
        <v>42417</v>
      </c>
      <c r="S27" t="s">
        <v>54</v>
      </c>
      <c r="U27" t="s">
        <v>60</v>
      </c>
      <c r="V27">
        <v>1950</v>
      </c>
      <c r="AG27" t="s">
        <v>2176</v>
      </c>
      <c r="AH27" s="3">
        <v>42417</v>
      </c>
      <c r="AI27">
        <v>13500</v>
      </c>
      <c r="AJ27">
        <v>0</v>
      </c>
      <c r="AS27" s="13" t="s">
        <v>2177</v>
      </c>
      <c r="AT27" s="3">
        <v>42490</v>
      </c>
      <c r="AU27">
        <v>124189</v>
      </c>
      <c r="AV27">
        <v>0</v>
      </c>
      <c r="AW27">
        <v>311</v>
      </c>
      <c r="AX27">
        <v>0</v>
      </c>
    </row>
    <row r="28" spans="1:50" hidden="1" x14ac:dyDescent="0.25">
      <c r="A28" t="s">
        <v>2232</v>
      </c>
      <c r="B28" s="3">
        <v>42402</v>
      </c>
      <c r="C28" t="s">
        <v>2138</v>
      </c>
      <c r="D28" t="s">
        <v>2139</v>
      </c>
      <c r="E28" t="s">
        <v>2139</v>
      </c>
      <c r="F28">
        <v>13500</v>
      </c>
      <c r="G28" t="s">
        <v>2233</v>
      </c>
      <c r="H28" s="3">
        <v>42402</v>
      </c>
      <c r="I28" t="s">
        <v>2009</v>
      </c>
      <c r="J28">
        <v>12000</v>
      </c>
      <c r="K28" s="1"/>
      <c r="M28" s="3">
        <v>42402</v>
      </c>
      <c r="N28" t="s">
        <v>54</v>
      </c>
      <c r="P28" t="s">
        <v>56</v>
      </c>
      <c r="Q28">
        <v>9700</v>
      </c>
      <c r="R28" s="3">
        <v>42408</v>
      </c>
      <c r="S28" t="s">
        <v>57</v>
      </c>
      <c r="U28" t="s">
        <v>60</v>
      </c>
      <c r="V28">
        <v>1950</v>
      </c>
      <c r="AG28" t="s">
        <v>2176</v>
      </c>
      <c r="AH28" s="3">
        <v>42417</v>
      </c>
      <c r="AI28">
        <v>13500</v>
      </c>
      <c r="AJ28">
        <v>0</v>
      </c>
      <c r="AS28" s="13" t="s">
        <v>2177</v>
      </c>
      <c r="AT28" s="3">
        <v>42490</v>
      </c>
      <c r="AU28">
        <v>124189</v>
      </c>
      <c r="AV28">
        <v>0</v>
      </c>
      <c r="AW28">
        <v>311</v>
      </c>
      <c r="AX28">
        <v>0</v>
      </c>
    </row>
    <row r="29" spans="1:50" x14ac:dyDescent="0.25">
      <c r="A29" t="s">
        <v>2234</v>
      </c>
      <c r="B29" s="3">
        <v>42403</v>
      </c>
      <c r="C29" t="s">
        <v>2138</v>
      </c>
      <c r="D29" t="s">
        <v>2139</v>
      </c>
      <c r="E29" t="s">
        <v>2139</v>
      </c>
      <c r="F29">
        <v>13500</v>
      </c>
      <c r="G29" t="s">
        <v>2235</v>
      </c>
      <c r="H29" s="3">
        <v>42403</v>
      </c>
      <c r="I29" t="s">
        <v>2009</v>
      </c>
      <c r="J29">
        <v>12500</v>
      </c>
      <c r="K29" s="1"/>
      <c r="M29" s="3">
        <v>42403</v>
      </c>
      <c r="N29" t="s">
        <v>54</v>
      </c>
      <c r="P29" t="s">
        <v>56</v>
      </c>
      <c r="Q29">
        <v>9800</v>
      </c>
      <c r="R29" s="3">
        <v>42444</v>
      </c>
      <c r="S29" t="s">
        <v>54</v>
      </c>
      <c r="U29" t="s">
        <v>60</v>
      </c>
      <c r="V29">
        <v>1950</v>
      </c>
      <c r="AG29" t="s">
        <v>2236</v>
      </c>
      <c r="AH29" s="3">
        <v>42441</v>
      </c>
      <c r="AI29">
        <v>13500</v>
      </c>
      <c r="AJ29">
        <v>25655</v>
      </c>
      <c r="AS29" t="s">
        <v>2237</v>
      </c>
      <c r="AT29" s="3">
        <v>42692</v>
      </c>
      <c r="AU29">
        <v>150345</v>
      </c>
      <c r="AV29">
        <v>0</v>
      </c>
      <c r="AW29">
        <v>0</v>
      </c>
      <c r="AX29">
        <v>0</v>
      </c>
    </row>
    <row r="30" spans="1:50" hidden="1" x14ac:dyDescent="0.25">
      <c r="A30" t="s">
        <v>2238</v>
      </c>
      <c r="B30" s="3">
        <v>42403</v>
      </c>
      <c r="C30" t="s">
        <v>2138</v>
      </c>
      <c r="D30" t="s">
        <v>2139</v>
      </c>
      <c r="E30" t="s">
        <v>2139</v>
      </c>
      <c r="F30">
        <v>13500</v>
      </c>
      <c r="G30" t="s">
        <v>2239</v>
      </c>
      <c r="H30" s="3">
        <v>42403</v>
      </c>
      <c r="I30" t="s">
        <v>2009</v>
      </c>
      <c r="J30">
        <v>12500</v>
      </c>
      <c r="K30" s="1"/>
      <c r="M30" s="3">
        <v>42403</v>
      </c>
      <c r="N30" t="s">
        <v>54</v>
      </c>
      <c r="P30" t="s">
        <v>56</v>
      </c>
      <c r="Q30">
        <v>9800</v>
      </c>
      <c r="R30" s="3">
        <v>42417</v>
      </c>
      <c r="S30" t="s">
        <v>54</v>
      </c>
      <c r="U30" t="s">
        <v>60</v>
      </c>
      <c r="V30">
        <v>2450</v>
      </c>
      <c r="AG30" t="s">
        <v>2176</v>
      </c>
      <c r="AH30" s="3">
        <v>42417</v>
      </c>
      <c r="AI30">
        <v>13500</v>
      </c>
      <c r="AJ30">
        <v>0</v>
      </c>
      <c r="AS30" s="13" t="s">
        <v>2177</v>
      </c>
      <c r="AT30" s="3">
        <v>42490</v>
      </c>
      <c r="AU30">
        <v>124189</v>
      </c>
      <c r="AV30">
        <v>0</v>
      </c>
      <c r="AW30">
        <v>311</v>
      </c>
      <c r="AX30">
        <v>0</v>
      </c>
    </row>
    <row r="31" spans="1:50" hidden="1" x14ac:dyDescent="0.25">
      <c r="A31" t="s">
        <v>2240</v>
      </c>
      <c r="B31" s="3">
        <v>42403</v>
      </c>
      <c r="C31" t="s">
        <v>2138</v>
      </c>
      <c r="D31" t="s">
        <v>2139</v>
      </c>
      <c r="E31" t="s">
        <v>2139</v>
      </c>
      <c r="F31">
        <v>13500</v>
      </c>
      <c r="G31" t="s">
        <v>2241</v>
      </c>
      <c r="H31" s="3">
        <v>42403</v>
      </c>
      <c r="I31" t="s">
        <v>2009</v>
      </c>
      <c r="J31">
        <v>12000</v>
      </c>
      <c r="K31" s="1"/>
      <c r="M31" s="3">
        <v>42403</v>
      </c>
      <c r="N31" t="s">
        <v>54</v>
      </c>
      <c r="P31" t="s">
        <v>56</v>
      </c>
      <c r="Q31">
        <v>9800</v>
      </c>
      <c r="R31" s="3">
        <v>42415</v>
      </c>
      <c r="S31" t="s">
        <v>57</v>
      </c>
      <c r="U31" t="s">
        <v>60</v>
      </c>
      <c r="V31">
        <v>1950</v>
      </c>
      <c r="AG31" t="s">
        <v>2226</v>
      </c>
      <c r="AH31" s="3">
        <v>42422</v>
      </c>
      <c r="AI31">
        <v>13500</v>
      </c>
      <c r="AJ31">
        <v>0</v>
      </c>
      <c r="AS31" s="13" t="s">
        <v>2227</v>
      </c>
      <c r="AT31" s="3">
        <v>42490</v>
      </c>
      <c r="AU31">
        <v>188527</v>
      </c>
      <c r="AV31">
        <v>0</v>
      </c>
      <c r="AW31">
        <v>473</v>
      </c>
      <c r="AX31">
        <v>0</v>
      </c>
    </row>
    <row r="32" spans="1:50" hidden="1" x14ac:dyDescent="0.25">
      <c r="A32" t="s">
        <v>2242</v>
      </c>
      <c r="B32" s="3">
        <v>42404</v>
      </c>
      <c r="C32" t="s">
        <v>2138</v>
      </c>
      <c r="D32" t="s">
        <v>2139</v>
      </c>
      <c r="E32" t="s">
        <v>2139</v>
      </c>
      <c r="F32">
        <v>13500</v>
      </c>
      <c r="G32" t="s">
        <v>2243</v>
      </c>
      <c r="H32" s="3">
        <v>42404</v>
      </c>
      <c r="I32" t="s">
        <v>2009</v>
      </c>
      <c r="J32">
        <v>12000</v>
      </c>
      <c r="K32" s="1"/>
      <c r="M32" s="3">
        <v>42404</v>
      </c>
      <c r="N32" t="s">
        <v>54</v>
      </c>
      <c r="P32" t="s">
        <v>56</v>
      </c>
      <c r="Q32">
        <v>9800</v>
      </c>
      <c r="R32" s="3">
        <v>42415</v>
      </c>
      <c r="S32" t="s">
        <v>57</v>
      </c>
      <c r="U32" t="s">
        <v>60</v>
      </c>
      <c r="V32">
        <v>1950</v>
      </c>
      <c r="AG32" t="s">
        <v>2217</v>
      </c>
      <c r="AH32" s="3">
        <v>42411</v>
      </c>
      <c r="AI32">
        <v>13500</v>
      </c>
      <c r="AJ32">
        <v>0</v>
      </c>
      <c r="AS32" s="13" t="s">
        <v>2183</v>
      </c>
      <c r="AT32" s="3">
        <v>42452</v>
      </c>
      <c r="AU32">
        <v>67331</v>
      </c>
      <c r="AV32">
        <v>0</v>
      </c>
      <c r="AW32">
        <v>169</v>
      </c>
      <c r="AX32">
        <v>0</v>
      </c>
    </row>
    <row r="33" spans="1:50" hidden="1" x14ac:dyDescent="0.25">
      <c r="A33" t="s">
        <v>2244</v>
      </c>
      <c r="B33" s="3">
        <v>42405</v>
      </c>
      <c r="C33" t="s">
        <v>2138</v>
      </c>
      <c r="D33" t="s">
        <v>2139</v>
      </c>
      <c r="E33" t="s">
        <v>2139</v>
      </c>
      <c r="F33">
        <v>15000</v>
      </c>
      <c r="G33" t="s">
        <v>2245</v>
      </c>
      <c r="H33" s="3">
        <v>42405</v>
      </c>
      <c r="I33" t="s">
        <v>2009</v>
      </c>
      <c r="J33">
        <v>12000</v>
      </c>
      <c r="K33" s="1"/>
      <c r="M33" s="3">
        <v>42405</v>
      </c>
      <c r="N33" t="s">
        <v>54</v>
      </c>
      <c r="P33" t="s">
        <v>56</v>
      </c>
      <c r="Q33">
        <v>9800</v>
      </c>
      <c r="R33" s="3">
        <v>42420</v>
      </c>
      <c r="S33" t="s">
        <v>54</v>
      </c>
      <c r="U33" t="s">
        <v>60</v>
      </c>
      <c r="V33">
        <v>1950</v>
      </c>
      <c r="AG33" t="s">
        <v>2176</v>
      </c>
      <c r="AH33" s="3">
        <v>42417</v>
      </c>
      <c r="AI33">
        <v>15000</v>
      </c>
      <c r="AJ33">
        <v>0</v>
      </c>
      <c r="AS33" s="13" t="s">
        <v>2177</v>
      </c>
      <c r="AT33" s="3">
        <v>42490</v>
      </c>
      <c r="AU33">
        <v>124189</v>
      </c>
      <c r="AV33">
        <v>0</v>
      </c>
      <c r="AW33">
        <v>311</v>
      </c>
      <c r="AX33">
        <v>0</v>
      </c>
    </row>
    <row r="34" spans="1:50" x14ac:dyDescent="0.25">
      <c r="A34" t="s">
        <v>2246</v>
      </c>
      <c r="B34" s="3">
        <v>42405</v>
      </c>
      <c r="C34" t="s">
        <v>2138</v>
      </c>
      <c r="D34" t="s">
        <v>2139</v>
      </c>
      <c r="E34" t="s">
        <v>2139</v>
      </c>
      <c r="F34">
        <v>14250</v>
      </c>
      <c r="G34" t="s">
        <v>2247</v>
      </c>
      <c r="H34" s="3">
        <v>42405</v>
      </c>
      <c r="I34" t="s">
        <v>2009</v>
      </c>
      <c r="J34">
        <v>12000</v>
      </c>
      <c r="K34" s="1"/>
      <c r="M34" s="3">
        <v>42405</v>
      </c>
      <c r="N34" t="s">
        <v>54</v>
      </c>
      <c r="P34" t="s">
        <v>56</v>
      </c>
      <c r="Q34">
        <v>9800</v>
      </c>
      <c r="AG34" t="s">
        <v>2248</v>
      </c>
      <c r="AH34" s="3">
        <v>42447</v>
      </c>
      <c r="AI34">
        <v>14250</v>
      </c>
      <c r="AJ34">
        <v>14250</v>
      </c>
      <c r="AS34" s="13"/>
    </row>
    <row r="35" spans="1:50" hidden="1" x14ac:dyDescent="0.25">
      <c r="A35" t="s">
        <v>2249</v>
      </c>
      <c r="B35" s="3">
        <v>42405</v>
      </c>
      <c r="C35" t="s">
        <v>2138</v>
      </c>
      <c r="D35" t="s">
        <v>2139</v>
      </c>
      <c r="E35" t="s">
        <v>2139</v>
      </c>
      <c r="F35">
        <v>15000</v>
      </c>
      <c r="G35" t="s">
        <v>2250</v>
      </c>
      <c r="H35" s="3">
        <v>42405</v>
      </c>
      <c r="I35" t="s">
        <v>2009</v>
      </c>
      <c r="J35">
        <v>12000</v>
      </c>
      <c r="K35" s="1"/>
      <c r="M35" s="3">
        <v>42405</v>
      </c>
      <c r="N35" t="s">
        <v>54</v>
      </c>
      <c r="P35" t="s">
        <v>56</v>
      </c>
      <c r="Q35">
        <v>9800</v>
      </c>
      <c r="R35" s="3">
        <v>42420</v>
      </c>
      <c r="S35" t="s">
        <v>54</v>
      </c>
      <c r="U35" t="s">
        <v>60</v>
      </c>
      <c r="V35">
        <v>1950</v>
      </c>
      <c r="AG35" t="s">
        <v>2176</v>
      </c>
      <c r="AH35" s="3">
        <v>42417</v>
      </c>
      <c r="AI35">
        <v>15000</v>
      </c>
      <c r="AJ35">
        <v>0</v>
      </c>
      <c r="AS35" s="13" t="s">
        <v>2177</v>
      </c>
      <c r="AT35" s="3">
        <v>42490</v>
      </c>
      <c r="AU35">
        <v>124189</v>
      </c>
      <c r="AV35">
        <v>0</v>
      </c>
      <c r="AW35">
        <v>311</v>
      </c>
      <c r="AX35">
        <v>0</v>
      </c>
    </row>
    <row r="36" spans="1:50" hidden="1" x14ac:dyDescent="0.25">
      <c r="A36" t="s">
        <v>2251</v>
      </c>
      <c r="B36" s="3">
        <v>42409</v>
      </c>
      <c r="C36" t="s">
        <v>2138</v>
      </c>
      <c r="D36" t="s">
        <v>2139</v>
      </c>
      <c r="E36" t="s">
        <v>2139</v>
      </c>
      <c r="F36">
        <v>13500</v>
      </c>
      <c r="G36" t="s">
        <v>2252</v>
      </c>
      <c r="H36" s="3">
        <v>42409</v>
      </c>
      <c r="I36" t="s">
        <v>2009</v>
      </c>
      <c r="J36">
        <v>12000</v>
      </c>
      <c r="K36" s="1"/>
      <c r="M36" s="3">
        <v>42409</v>
      </c>
      <c r="N36" t="s">
        <v>54</v>
      </c>
      <c r="P36" t="s">
        <v>56</v>
      </c>
      <c r="Q36">
        <v>9700</v>
      </c>
      <c r="AG36" t="s">
        <v>2226</v>
      </c>
      <c r="AH36" s="3">
        <v>42422</v>
      </c>
      <c r="AI36">
        <v>13500</v>
      </c>
      <c r="AJ36">
        <v>0</v>
      </c>
      <c r="AS36" s="13" t="s">
        <v>2227</v>
      </c>
      <c r="AT36" s="3">
        <v>42490</v>
      </c>
      <c r="AU36">
        <v>188527</v>
      </c>
      <c r="AV36">
        <v>0</v>
      </c>
      <c r="AW36">
        <v>473</v>
      </c>
      <c r="AX36">
        <v>0</v>
      </c>
    </row>
    <row r="37" spans="1:50" hidden="1" x14ac:dyDescent="0.25">
      <c r="A37" t="s">
        <v>2253</v>
      </c>
      <c r="B37" s="3">
        <v>42409</v>
      </c>
      <c r="C37" t="s">
        <v>2138</v>
      </c>
      <c r="D37" t="s">
        <v>2139</v>
      </c>
      <c r="E37" t="s">
        <v>2139</v>
      </c>
      <c r="F37">
        <v>13500</v>
      </c>
      <c r="G37" t="s">
        <v>2254</v>
      </c>
      <c r="H37" s="3">
        <v>42409</v>
      </c>
      <c r="I37" t="s">
        <v>2009</v>
      </c>
      <c r="J37">
        <v>12000</v>
      </c>
      <c r="K37" s="1"/>
      <c r="M37" s="3">
        <v>42409</v>
      </c>
      <c r="N37" t="s">
        <v>54</v>
      </c>
      <c r="P37" t="s">
        <v>56</v>
      </c>
      <c r="Q37">
        <v>9700</v>
      </c>
      <c r="R37" s="3">
        <v>42413</v>
      </c>
      <c r="S37" t="s">
        <v>57</v>
      </c>
      <c r="U37" t="s">
        <v>60</v>
      </c>
      <c r="V37">
        <v>1950</v>
      </c>
      <c r="AG37" t="s">
        <v>2226</v>
      </c>
      <c r="AH37" s="3">
        <v>42422</v>
      </c>
      <c r="AI37">
        <v>13500</v>
      </c>
      <c r="AJ37">
        <v>0</v>
      </c>
      <c r="AS37" s="13" t="s">
        <v>2227</v>
      </c>
      <c r="AT37" s="3">
        <v>42490</v>
      </c>
      <c r="AU37">
        <v>188527</v>
      </c>
      <c r="AV37">
        <v>0</v>
      </c>
      <c r="AW37">
        <v>473</v>
      </c>
      <c r="AX37">
        <v>0</v>
      </c>
    </row>
    <row r="38" spans="1:50" hidden="1" x14ac:dyDescent="0.25">
      <c r="A38" t="s">
        <v>2255</v>
      </c>
      <c r="B38" s="3">
        <v>42409</v>
      </c>
      <c r="C38" t="s">
        <v>2138</v>
      </c>
      <c r="D38" t="s">
        <v>2139</v>
      </c>
      <c r="E38" t="s">
        <v>2139</v>
      </c>
      <c r="F38">
        <v>13500</v>
      </c>
      <c r="G38" t="s">
        <v>2256</v>
      </c>
      <c r="H38" s="3">
        <v>42409</v>
      </c>
      <c r="I38" t="s">
        <v>2009</v>
      </c>
      <c r="J38">
        <v>12000</v>
      </c>
      <c r="K38" s="1"/>
      <c r="M38" s="3">
        <v>42409</v>
      </c>
      <c r="N38" t="s">
        <v>54</v>
      </c>
      <c r="P38" t="s">
        <v>56</v>
      </c>
      <c r="Q38">
        <v>9700</v>
      </c>
      <c r="R38" s="3">
        <v>42417</v>
      </c>
      <c r="S38" t="s">
        <v>54</v>
      </c>
      <c r="U38" t="s">
        <v>60</v>
      </c>
      <c r="V38">
        <v>1950</v>
      </c>
      <c r="AG38" t="s">
        <v>2176</v>
      </c>
      <c r="AH38" s="3">
        <v>42417</v>
      </c>
      <c r="AI38">
        <v>13500</v>
      </c>
      <c r="AJ38">
        <v>0</v>
      </c>
      <c r="AS38" s="13" t="s">
        <v>2177</v>
      </c>
      <c r="AT38" s="3">
        <v>42490</v>
      </c>
      <c r="AU38">
        <v>124189</v>
      </c>
      <c r="AV38">
        <v>0</v>
      </c>
      <c r="AW38">
        <v>311</v>
      </c>
      <c r="AX38">
        <v>0</v>
      </c>
    </row>
    <row r="39" spans="1:50" hidden="1" x14ac:dyDescent="0.25">
      <c r="A39" t="s">
        <v>2257</v>
      </c>
      <c r="B39" s="3">
        <v>42409</v>
      </c>
      <c r="C39" t="s">
        <v>2185</v>
      </c>
      <c r="D39" t="s">
        <v>1424</v>
      </c>
      <c r="E39" t="s">
        <v>2139</v>
      </c>
      <c r="F39">
        <v>0</v>
      </c>
      <c r="G39" t="s">
        <v>2258</v>
      </c>
      <c r="H39" s="3">
        <v>42409</v>
      </c>
      <c r="I39" t="s">
        <v>107</v>
      </c>
      <c r="J39">
        <v>55000</v>
      </c>
      <c r="K39" s="1"/>
      <c r="M39" s="3">
        <v>42409</v>
      </c>
      <c r="N39" t="s">
        <v>54</v>
      </c>
      <c r="P39" t="s">
        <v>56</v>
      </c>
      <c r="Q39">
        <v>27300</v>
      </c>
      <c r="R39" s="3">
        <v>42409</v>
      </c>
      <c r="S39" t="s">
        <v>57</v>
      </c>
      <c r="U39" t="s">
        <v>56</v>
      </c>
      <c r="V39">
        <v>17000</v>
      </c>
      <c r="W39" s="3">
        <v>42439</v>
      </c>
      <c r="X39" t="s">
        <v>54</v>
      </c>
      <c r="Z39" t="s">
        <v>60</v>
      </c>
      <c r="AA39">
        <v>9900</v>
      </c>
      <c r="AG39" t="s">
        <v>2259</v>
      </c>
      <c r="AH39" s="3">
        <v>42444</v>
      </c>
      <c r="AI39">
        <v>0</v>
      </c>
      <c r="AJ39">
        <v>0</v>
      </c>
      <c r="AS39" s="10" t="s">
        <v>2260</v>
      </c>
      <c r="AT39" s="3">
        <v>42518</v>
      </c>
      <c r="AU39">
        <v>65974</v>
      </c>
      <c r="AV39">
        <v>0</v>
      </c>
      <c r="AW39">
        <v>1346</v>
      </c>
      <c r="AX39">
        <v>0</v>
      </c>
    </row>
    <row r="40" spans="1:50" hidden="1" x14ac:dyDescent="0.25">
      <c r="A40" t="s">
        <v>2261</v>
      </c>
      <c r="B40" s="3">
        <v>42409</v>
      </c>
      <c r="C40" t="s">
        <v>2185</v>
      </c>
      <c r="D40" t="s">
        <v>2262</v>
      </c>
      <c r="E40" t="s">
        <v>2139</v>
      </c>
      <c r="F40">
        <v>0</v>
      </c>
      <c r="K40" s="1"/>
      <c r="AG40" t="s">
        <v>2259</v>
      </c>
      <c r="AH40" s="3">
        <v>42444</v>
      </c>
      <c r="AI40">
        <v>0</v>
      </c>
      <c r="AJ40">
        <v>0</v>
      </c>
      <c r="AS40" s="13" t="s">
        <v>2260</v>
      </c>
      <c r="AT40" s="3">
        <v>42518</v>
      </c>
      <c r="AU40">
        <v>65974</v>
      </c>
      <c r="AV40">
        <v>0</v>
      </c>
      <c r="AW40">
        <v>1346</v>
      </c>
      <c r="AX40">
        <v>0</v>
      </c>
    </row>
    <row r="41" spans="1:50" hidden="1" x14ac:dyDescent="0.25">
      <c r="A41" t="s">
        <v>2263</v>
      </c>
      <c r="B41" s="3">
        <v>42409</v>
      </c>
      <c r="C41" t="s">
        <v>2185</v>
      </c>
      <c r="D41" t="s">
        <v>2262</v>
      </c>
      <c r="E41" t="s">
        <v>2139</v>
      </c>
      <c r="F41">
        <v>67320</v>
      </c>
      <c r="G41" t="s">
        <v>2258</v>
      </c>
      <c r="H41" s="3">
        <v>42409</v>
      </c>
      <c r="I41" t="s">
        <v>107</v>
      </c>
      <c r="J41">
        <v>55000</v>
      </c>
      <c r="K41" s="1"/>
      <c r="M41" s="3">
        <v>42409</v>
      </c>
      <c r="N41" t="s">
        <v>54</v>
      </c>
      <c r="P41" t="s">
        <v>56</v>
      </c>
      <c r="Q41">
        <v>27300</v>
      </c>
      <c r="R41" s="3">
        <v>42409</v>
      </c>
      <c r="S41" t="s">
        <v>57</v>
      </c>
      <c r="U41" t="s">
        <v>56</v>
      </c>
      <c r="V41">
        <v>17000</v>
      </c>
      <c r="W41" s="3">
        <v>42439</v>
      </c>
      <c r="X41" t="s">
        <v>54</v>
      </c>
      <c r="Z41" t="s">
        <v>60</v>
      </c>
      <c r="AA41">
        <v>9900</v>
      </c>
      <c r="AG41" t="s">
        <v>2259</v>
      </c>
      <c r="AH41" s="3">
        <v>42444</v>
      </c>
      <c r="AI41">
        <v>67320</v>
      </c>
      <c r="AJ41">
        <v>0</v>
      </c>
      <c r="AS41" s="13" t="s">
        <v>2260</v>
      </c>
      <c r="AT41" s="3">
        <v>42518</v>
      </c>
      <c r="AU41">
        <v>65974</v>
      </c>
      <c r="AV41">
        <v>0</v>
      </c>
      <c r="AW41">
        <v>1346</v>
      </c>
      <c r="AX41">
        <v>0</v>
      </c>
    </row>
    <row r="42" spans="1:50" hidden="1" x14ac:dyDescent="0.25">
      <c r="A42" t="s">
        <v>2264</v>
      </c>
      <c r="B42" s="3">
        <v>42409</v>
      </c>
      <c r="C42" t="s">
        <v>2185</v>
      </c>
      <c r="D42" t="s">
        <v>2262</v>
      </c>
      <c r="E42" t="s">
        <v>2139</v>
      </c>
      <c r="F42">
        <v>0</v>
      </c>
      <c r="K42" s="1"/>
      <c r="AG42" t="s">
        <v>2259</v>
      </c>
      <c r="AH42" s="3">
        <v>42444</v>
      </c>
      <c r="AI42">
        <v>0</v>
      </c>
      <c r="AJ42">
        <v>0</v>
      </c>
      <c r="AS42" s="13" t="s">
        <v>2260</v>
      </c>
      <c r="AT42" s="3">
        <v>42518</v>
      </c>
      <c r="AU42">
        <v>65974</v>
      </c>
      <c r="AV42">
        <v>0</v>
      </c>
      <c r="AW42">
        <v>1346</v>
      </c>
      <c r="AX42">
        <v>0</v>
      </c>
    </row>
    <row r="43" spans="1:50" hidden="1" x14ac:dyDescent="0.25">
      <c r="A43" t="s">
        <v>2265</v>
      </c>
      <c r="B43" s="3">
        <v>42410</v>
      </c>
      <c r="C43" t="s">
        <v>2138</v>
      </c>
      <c r="D43" t="s">
        <v>2139</v>
      </c>
      <c r="E43" t="s">
        <v>2139</v>
      </c>
      <c r="F43">
        <v>13500</v>
      </c>
      <c r="G43" t="s">
        <v>2266</v>
      </c>
      <c r="H43" s="3">
        <v>42410</v>
      </c>
      <c r="I43" t="s">
        <v>2009</v>
      </c>
      <c r="J43">
        <v>12000</v>
      </c>
      <c r="K43" s="1"/>
      <c r="M43" s="3">
        <v>42410</v>
      </c>
      <c r="N43" t="s">
        <v>54</v>
      </c>
      <c r="P43" t="s">
        <v>56</v>
      </c>
      <c r="Q43">
        <v>9700</v>
      </c>
      <c r="R43" s="3">
        <v>42413</v>
      </c>
      <c r="S43" t="s">
        <v>57</v>
      </c>
      <c r="U43" t="s">
        <v>60</v>
      </c>
      <c r="V43">
        <v>1950</v>
      </c>
      <c r="AG43" t="s">
        <v>2226</v>
      </c>
      <c r="AH43" s="3">
        <v>42422</v>
      </c>
      <c r="AI43">
        <v>13500</v>
      </c>
      <c r="AJ43">
        <v>0</v>
      </c>
      <c r="AS43" s="13" t="s">
        <v>2227</v>
      </c>
      <c r="AT43" s="3">
        <v>42490</v>
      </c>
      <c r="AU43">
        <v>188527</v>
      </c>
      <c r="AV43">
        <v>0</v>
      </c>
      <c r="AW43">
        <v>473</v>
      </c>
      <c r="AX43">
        <v>0</v>
      </c>
    </row>
    <row r="44" spans="1:50" hidden="1" x14ac:dyDescent="0.25">
      <c r="A44" t="s">
        <v>2267</v>
      </c>
      <c r="B44" s="3">
        <v>42410</v>
      </c>
      <c r="C44" t="s">
        <v>2138</v>
      </c>
      <c r="D44" t="s">
        <v>2139</v>
      </c>
      <c r="E44" t="s">
        <v>2139</v>
      </c>
      <c r="F44">
        <v>13500</v>
      </c>
      <c r="G44" t="s">
        <v>2268</v>
      </c>
      <c r="H44" s="3">
        <v>42410</v>
      </c>
      <c r="I44" t="s">
        <v>2009</v>
      </c>
      <c r="J44">
        <v>12000</v>
      </c>
      <c r="K44" s="1"/>
      <c r="M44" s="3">
        <v>42410</v>
      </c>
      <c r="N44" t="s">
        <v>54</v>
      </c>
      <c r="P44" t="s">
        <v>56</v>
      </c>
      <c r="Q44">
        <v>9700</v>
      </c>
      <c r="R44" s="3">
        <v>42413</v>
      </c>
      <c r="S44" t="s">
        <v>57</v>
      </c>
      <c r="U44" t="s">
        <v>60</v>
      </c>
      <c r="V44">
        <v>1950</v>
      </c>
      <c r="AG44" t="s">
        <v>2226</v>
      </c>
      <c r="AH44" s="3">
        <v>42422</v>
      </c>
      <c r="AI44">
        <v>13500</v>
      </c>
      <c r="AJ44">
        <v>0</v>
      </c>
      <c r="AS44" s="13" t="s">
        <v>2227</v>
      </c>
      <c r="AT44" s="3">
        <v>42490</v>
      </c>
      <c r="AU44">
        <v>188527</v>
      </c>
      <c r="AV44">
        <v>0</v>
      </c>
      <c r="AW44">
        <v>473</v>
      </c>
      <c r="AX44">
        <v>0</v>
      </c>
    </row>
    <row r="45" spans="1:50" hidden="1" x14ac:dyDescent="0.25">
      <c r="A45" t="s">
        <v>2269</v>
      </c>
      <c r="B45" s="3">
        <v>42411</v>
      </c>
      <c r="C45" t="s">
        <v>2138</v>
      </c>
      <c r="D45" t="s">
        <v>2139</v>
      </c>
      <c r="E45" t="s">
        <v>2139</v>
      </c>
      <c r="F45">
        <v>13500</v>
      </c>
      <c r="G45" t="s">
        <v>2270</v>
      </c>
      <c r="H45" s="3">
        <v>42411</v>
      </c>
      <c r="I45" t="s">
        <v>2009</v>
      </c>
      <c r="J45">
        <v>12000</v>
      </c>
      <c r="K45" s="1"/>
      <c r="M45" s="3">
        <v>42411</v>
      </c>
      <c r="N45" t="s">
        <v>54</v>
      </c>
      <c r="P45" t="s">
        <v>56</v>
      </c>
      <c r="Q45">
        <v>9700</v>
      </c>
      <c r="R45" s="3">
        <v>42415</v>
      </c>
      <c r="S45" t="s">
        <v>57</v>
      </c>
      <c r="U45" t="s">
        <v>60</v>
      </c>
      <c r="V45">
        <v>1950</v>
      </c>
      <c r="AG45" t="s">
        <v>2226</v>
      </c>
      <c r="AH45" s="3">
        <v>42422</v>
      </c>
      <c r="AI45">
        <v>13500</v>
      </c>
      <c r="AJ45">
        <v>0</v>
      </c>
      <c r="AS45" s="13" t="s">
        <v>2227</v>
      </c>
      <c r="AT45" s="3">
        <v>42490</v>
      </c>
      <c r="AU45">
        <v>188527</v>
      </c>
      <c r="AV45">
        <v>0</v>
      </c>
      <c r="AW45">
        <v>473</v>
      </c>
      <c r="AX45">
        <v>0</v>
      </c>
    </row>
    <row r="46" spans="1:50" x14ac:dyDescent="0.25">
      <c r="A46" t="s">
        <v>2271</v>
      </c>
      <c r="B46" s="3">
        <v>42411</v>
      </c>
      <c r="C46" t="s">
        <v>2138</v>
      </c>
      <c r="D46" t="s">
        <v>2139</v>
      </c>
      <c r="E46" t="s">
        <v>2139</v>
      </c>
      <c r="F46">
        <v>13500</v>
      </c>
      <c r="G46" t="s">
        <v>2272</v>
      </c>
      <c r="H46" s="3">
        <v>42411</v>
      </c>
      <c r="I46" t="s">
        <v>2009</v>
      </c>
      <c r="J46">
        <v>12000</v>
      </c>
      <c r="K46" s="1"/>
      <c r="M46" s="3">
        <v>42411</v>
      </c>
      <c r="N46" t="s">
        <v>54</v>
      </c>
      <c r="P46" t="s">
        <v>56</v>
      </c>
      <c r="Q46">
        <v>9700</v>
      </c>
      <c r="R46" s="3">
        <v>42425</v>
      </c>
      <c r="S46" t="s">
        <v>57</v>
      </c>
      <c r="U46" t="s">
        <v>60</v>
      </c>
      <c r="V46">
        <v>1950</v>
      </c>
      <c r="AG46" s="13" t="s">
        <v>2236</v>
      </c>
      <c r="AH46" s="3">
        <v>42441</v>
      </c>
      <c r="AI46">
        <v>13500</v>
      </c>
      <c r="AJ46">
        <v>25655</v>
      </c>
      <c r="AS46" s="13" t="s">
        <v>2237</v>
      </c>
      <c r="AT46" s="3">
        <v>42692</v>
      </c>
      <c r="AU46">
        <v>150345</v>
      </c>
      <c r="AV46">
        <v>0</v>
      </c>
      <c r="AW46">
        <v>0</v>
      </c>
      <c r="AX46">
        <v>0</v>
      </c>
    </row>
    <row r="47" spans="1:50" hidden="1" x14ac:dyDescent="0.25">
      <c r="A47" t="s">
        <v>2273</v>
      </c>
      <c r="B47" s="3">
        <v>42412</v>
      </c>
      <c r="C47" t="s">
        <v>2138</v>
      </c>
      <c r="D47" t="s">
        <v>2139</v>
      </c>
      <c r="E47" t="s">
        <v>2139</v>
      </c>
      <c r="F47">
        <v>13500</v>
      </c>
      <c r="G47" t="s">
        <v>2274</v>
      </c>
      <c r="H47" s="3">
        <v>42412</v>
      </c>
      <c r="I47" t="s">
        <v>2009</v>
      </c>
      <c r="J47">
        <v>12000</v>
      </c>
      <c r="K47" s="1"/>
      <c r="M47" s="3">
        <v>42412</v>
      </c>
      <c r="N47" t="s">
        <v>54</v>
      </c>
      <c r="P47" t="s">
        <v>56</v>
      </c>
      <c r="Q47">
        <v>9700</v>
      </c>
      <c r="R47" s="3">
        <v>42415</v>
      </c>
      <c r="S47" t="s">
        <v>57</v>
      </c>
      <c r="U47" t="s">
        <v>60</v>
      </c>
      <c r="V47">
        <v>1950</v>
      </c>
      <c r="AG47" t="s">
        <v>2226</v>
      </c>
      <c r="AH47" s="3">
        <v>42422</v>
      </c>
      <c r="AI47">
        <v>13500</v>
      </c>
      <c r="AJ47">
        <v>0</v>
      </c>
      <c r="AS47" s="13" t="s">
        <v>2227</v>
      </c>
      <c r="AT47" s="3">
        <v>42490</v>
      </c>
      <c r="AU47">
        <v>188527</v>
      </c>
      <c r="AV47">
        <v>0</v>
      </c>
      <c r="AW47">
        <v>473</v>
      </c>
      <c r="AX47">
        <v>0</v>
      </c>
    </row>
    <row r="48" spans="1:50" hidden="1" x14ac:dyDescent="0.25">
      <c r="A48" t="s">
        <v>2275</v>
      </c>
      <c r="B48" s="3">
        <v>42412</v>
      </c>
      <c r="C48" t="s">
        <v>2138</v>
      </c>
      <c r="D48" t="s">
        <v>2139</v>
      </c>
      <c r="E48" t="s">
        <v>2139</v>
      </c>
      <c r="F48">
        <v>13500</v>
      </c>
      <c r="G48" t="s">
        <v>2276</v>
      </c>
      <c r="H48" s="3">
        <v>42412</v>
      </c>
      <c r="I48" t="s">
        <v>2009</v>
      </c>
      <c r="J48">
        <v>12000</v>
      </c>
      <c r="K48" s="1"/>
      <c r="M48" s="3">
        <v>42412</v>
      </c>
      <c r="N48" t="s">
        <v>54</v>
      </c>
      <c r="P48" t="s">
        <v>56</v>
      </c>
      <c r="Q48">
        <v>9700</v>
      </c>
      <c r="R48" s="3">
        <v>42415</v>
      </c>
      <c r="S48" t="s">
        <v>57</v>
      </c>
      <c r="U48" t="s">
        <v>60</v>
      </c>
      <c r="V48">
        <v>1950</v>
      </c>
      <c r="AG48" t="s">
        <v>2226</v>
      </c>
      <c r="AH48" s="3">
        <v>42422</v>
      </c>
      <c r="AI48">
        <v>13500</v>
      </c>
      <c r="AJ48">
        <v>0</v>
      </c>
      <c r="AS48" s="13" t="s">
        <v>2227</v>
      </c>
      <c r="AT48" s="3">
        <v>42490</v>
      </c>
      <c r="AU48">
        <v>188527</v>
      </c>
      <c r="AV48">
        <v>0</v>
      </c>
      <c r="AW48">
        <v>473</v>
      </c>
      <c r="AX48">
        <v>0</v>
      </c>
    </row>
    <row r="49" spans="1:50" hidden="1" x14ac:dyDescent="0.25">
      <c r="A49" t="s">
        <v>2277</v>
      </c>
      <c r="B49" s="3">
        <v>42412</v>
      </c>
      <c r="C49" t="s">
        <v>2138</v>
      </c>
      <c r="D49" t="s">
        <v>2139</v>
      </c>
      <c r="E49" t="s">
        <v>2139</v>
      </c>
      <c r="F49">
        <v>13500</v>
      </c>
      <c r="G49" t="s">
        <v>2278</v>
      </c>
      <c r="H49" s="3">
        <v>42412</v>
      </c>
      <c r="I49" t="s">
        <v>2009</v>
      </c>
      <c r="J49">
        <v>12000</v>
      </c>
      <c r="K49" s="1"/>
      <c r="M49" s="3">
        <v>42412</v>
      </c>
      <c r="N49" t="s">
        <v>54</v>
      </c>
      <c r="P49" t="s">
        <v>56</v>
      </c>
      <c r="Q49">
        <v>9700</v>
      </c>
      <c r="R49" s="3">
        <v>42415</v>
      </c>
      <c r="S49" t="s">
        <v>57</v>
      </c>
      <c r="U49" t="s">
        <v>60</v>
      </c>
      <c r="V49">
        <v>1950</v>
      </c>
      <c r="AG49" t="s">
        <v>2226</v>
      </c>
      <c r="AH49" s="3">
        <v>42422</v>
      </c>
      <c r="AI49">
        <v>13500</v>
      </c>
      <c r="AJ49">
        <v>0</v>
      </c>
      <c r="AS49" s="13" t="s">
        <v>2227</v>
      </c>
      <c r="AT49" s="3">
        <v>42490</v>
      </c>
      <c r="AU49">
        <v>188527</v>
      </c>
      <c r="AV49">
        <v>0</v>
      </c>
      <c r="AW49">
        <v>473</v>
      </c>
      <c r="AX49">
        <v>0</v>
      </c>
    </row>
    <row r="50" spans="1:50" hidden="1" x14ac:dyDescent="0.25">
      <c r="A50" t="s">
        <v>2279</v>
      </c>
      <c r="B50" s="3">
        <v>42413</v>
      </c>
      <c r="C50" t="s">
        <v>2138</v>
      </c>
      <c r="D50" t="s">
        <v>2280</v>
      </c>
      <c r="E50" t="s">
        <v>2139</v>
      </c>
      <c r="F50">
        <v>67320</v>
      </c>
      <c r="G50" t="s">
        <v>2281</v>
      </c>
      <c r="H50" s="3">
        <v>42413</v>
      </c>
      <c r="I50" t="s">
        <v>214</v>
      </c>
      <c r="J50">
        <v>55000</v>
      </c>
      <c r="K50" s="1"/>
      <c r="M50" s="3">
        <v>42413</v>
      </c>
      <c r="N50" t="s">
        <v>54</v>
      </c>
      <c r="P50" t="s">
        <v>56</v>
      </c>
      <c r="Q50">
        <v>27300</v>
      </c>
      <c r="R50" s="3">
        <v>42413</v>
      </c>
      <c r="S50" t="s">
        <v>57</v>
      </c>
      <c r="U50" t="s">
        <v>56</v>
      </c>
      <c r="V50">
        <v>17000</v>
      </c>
      <c r="W50" s="3">
        <v>42446</v>
      </c>
      <c r="X50" t="s">
        <v>54</v>
      </c>
      <c r="Z50" t="s">
        <v>60</v>
      </c>
      <c r="AA50">
        <v>9900</v>
      </c>
      <c r="AG50" t="s">
        <v>2282</v>
      </c>
      <c r="AH50" s="3">
        <v>42444</v>
      </c>
      <c r="AI50">
        <v>67320</v>
      </c>
      <c r="AJ50">
        <v>0</v>
      </c>
      <c r="AS50" s="13" t="s">
        <v>2283</v>
      </c>
      <c r="AT50" s="3">
        <v>42651</v>
      </c>
      <c r="AU50">
        <v>65974</v>
      </c>
      <c r="AV50">
        <v>0</v>
      </c>
      <c r="AW50">
        <v>1346</v>
      </c>
      <c r="AX50">
        <v>0</v>
      </c>
    </row>
    <row r="51" spans="1:50" hidden="1" x14ac:dyDescent="0.25">
      <c r="A51" t="s">
        <v>2284</v>
      </c>
      <c r="B51" s="3">
        <v>42413</v>
      </c>
      <c r="C51" t="s">
        <v>2138</v>
      </c>
      <c r="D51" t="s">
        <v>2280</v>
      </c>
      <c r="E51" t="s">
        <v>2139</v>
      </c>
      <c r="F51">
        <v>0</v>
      </c>
      <c r="K51" s="1"/>
      <c r="AG51" t="s">
        <v>2282</v>
      </c>
      <c r="AH51" s="3">
        <v>42444</v>
      </c>
      <c r="AI51">
        <v>0</v>
      </c>
      <c r="AJ51">
        <v>0</v>
      </c>
      <c r="AS51" s="13" t="s">
        <v>2283</v>
      </c>
      <c r="AT51" s="3">
        <v>42651</v>
      </c>
      <c r="AU51">
        <v>65974</v>
      </c>
      <c r="AV51">
        <v>0</v>
      </c>
      <c r="AW51">
        <v>1346</v>
      </c>
      <c r="AX51">
        <v>0</v>
      </c>
    </row>
    <row r="52" spans="1:50" hidden="1" x14ac:dyDescent="0.25">
      <c r="A52" t="s">
        <v>2285</v>
      </c>
      <c r="B52" s="3">
        <v>42413</v>
      </c>
      <c r="C52" t="s">
        <v>2138</v>
      </c>
      <c r="D52" t="s">
        <v>2280</v>
      </c>
      <c r="E52" t="s">
        <v>2139</v>
      </c>
      <c r="F52">
        <v>0</v>
      </c>
      <c r="G52" t="s">
        <v>2281</v>
      </c>
      <c r="H52" s="3">
        <v>42413</v>
      </c>
      <c r="I52" t="s">
        <v>214</v>
      </c>
      <c r="J52">
        <v>55000</v>
      </c>
      <c r="K52" s="1"/>
      <c r="M52" s="3">
        <v>42413</v>
      </c>
      <c r="N52" t="s">
        <v>54</v>
      </c>
      <c r="P52" t="s">
        <v>56</v>
      </c>
      <c r="Q52">
        <v>27300</v>
      </c>
      <c r="R52" s="3">
        <v>42413</v>
      </c>
      <c r="S52" t="s">
        <v>57</v>
      </c>
      <c r="U52" t="s">
        <v>56</v>
      </c>
      <c r="V52">
        <v>17000</v>
      </c>
      <c r="W52" s="3">
        <v>42446</v>
      </c>
      <c r="X52" t="s">
        <v>54</v>
      </c>
      <c r="Z52" t="s">
        <v>60</v>
      </c>
      <c r="AA52">
        <v>9900</v>
      </c>
      <c r="AG52" t="s">
        <v>2282</v>
      </c>
      <c r="AH52" s="3">
        <v>42444</v>
      </c>
      <c r="AI52">
        <v>0</v>
      </c>
      <c r="AJ52">
        <v>0</v>
      </c>
      <c r="AS52" s="13" t="s">
        <v>2283</v>
      </c>
      <c r="AT52" s="3">
        <v>42651</v>
      </c>
      <c r="AU52">
        <v>65974</v>
      </c>
      <c r="AV52">
        <v>0</v>
      </c>
      <c r="AW52">
        <v>1346</v>
      </c>
      <c r="AX52">
        <v>0</v>
      </c>
    </row>
    <row r="53" spans="1:50" hidden="1" x14ac:dyDescent="0.25">
      <c r="A53" t="s">
        <v>2286</v>
      </c>
      <c r="B53" s="3">
        <v>42413</v>
      </c>
      <c r="C53" t="s">
        <v>2138</v>
      </c>
      <c r="D53" t="s">
        <v>2280</v>
      </c>
      <c r="E53" t="s">
        <v>2139</v>
      </c>
      <c r="F53">
        <v>0</v>
      </c>
      <c r="K53" s="1"/>
      <c r="AG53" t="s">
        <v>2282</v>
      </c>
      <c r="AH53" s="3">
        <v>42444</v>
      </c>
      <c r="AI53">
        <v>0</v>
      </c>
      <c r="AJ53">
        <v>0</v>
      </c>
      <c r="AS53" s="13" t="s">
        <v>2283</v>
      </c>
      <c r="AT53" s="3">
        <v>42651</v>
      </c>
      <c r="AU53">
        <v>65974</v>
      </c>
      <c r="AV53">
        <v>0</v>
      </c>
      <c r="AW53">
        <v>1346</v>
      </c>
      <c r="AX53">
        <v>0</v>
      </c>
    </row>
    <row r="54" spans="1:50" hidden="1" x14ac:dyDescent="0.25">
      <c r="A54" t="s">
        <v>2287</v>
      </c>
      <c r="B54" s="3">
        <v>42413</v>
      </c>
      <c r="C54" t="s">
        <v>2138</v>
      </c>
      <c r="D54" t="s">
        <v>2280</v>
      </c>
      <c r="E54" t="s">
        <v>2139</v>
      </c>
      <c r="F54">
        <v>0</v>
      </c>
      <c r="G54" t="s">
        <v>2281</v>
      </c>
      <c r="H54" s="3">
        <v>42413</v>
      </c>
      <c r="I54" t="s">
        <v>214</v>
      </c>
      <c r="J54">
        <v>55000</v>
      </c>
      <c r="K54" s="1"/>
      <c r="M54" s="3">
        <v>42413</v>
      </c>
      <c r="N54" t="s">
        <v>54</v>
      </c>
      <c r="P54" t="s">
        <v>56</v>
      </c>
      <c r="Q54">
        <v>27300</v>
      </c>
      <c r="R54" s="3">
        <v>42413</v>
      </c>
      <c r="S54" t="s">
        <v>57</v>
      </c>
      <c r="U54" t="s">
        <v>56</v>
      </c>
      <c r="V54">
        <v>17000</v>
      </c>
      <c r="W54" s="3">
        <v>42446</v>
      </c>
      <c r="X54" t="s">
        <v>54</v>
      </c>
      <c r="Z54" t="s">
        <v>60</v>
      </c>
      <c r="AA54">
        <v>9900</v>
      </c>
      <c r="AG54" t="s">
        <v>2282</v>
      </c>
      <c r="AH54" s="3">
        <v>42444</v>
      </c>
      <c r="AI54">
        <v>0</v>
      </c>
      <c r="AJ54">
        <v>0</v>
      </c>
      <c r="AS54" s="13" t="s">
        <v>2283</v>
      </c>
      <c r="AT54" s="3">
        <v>42651</v>
      </c>
      <c r="AU54">
        <v>65974</v>
      </c>
      <c r="AV54">
        <v>0</v>
      </c>
      <c r="AW54">
        <v>1346</v>
      </c>
      <c r="AX54">
        <v>0</v>
      </c>
    </row>
    <row r="55" spans="1:50" hidden="1" x14ac:dyDescent="0.25">
      <c r="A55" t="s">
        <v>2288</v>
      </c>
      <c r="B55" s="3">
        <v>42413</v>
      </c>
      <c r="C55" t="s">
        <v>2138</v>
      </c>
      <c r="D55" t="s">
        <v>2280</v>
      </c>
      <c r="E55" t="s">
        <v>2139</v>
      </c>
      <c r="F55">
        <v>0</v>
      </c>
      <c r="K55" s="1"/>
      <c r="AG55" t="s">
        <v>2282</v>
      </c>
      <c r="AH55" s="3">
        <v>42444</v>
      </c>
      <c r="AI55">
        <v>0</v>
      </c>
      <c r="AJ55">
        <v>0</v>
      </c>
      <c r="AS55" s="13" t="s">
        <v>2283</v>
      </c>
      <c r="AT55" s="3">
        <v>42651</v>
      </c>
      <c r="AU55">
        <v>65974</v>
      </c>
      <c r="AV55">
        <v>0</v>
      </c>
      <c r="AW55">
        <v>1346</v>
      </c>
      <c r="AX55">
        <v>0</v>
      </c>
    </row>
    <row r="56" spans="1:50" hidden="1" x14ac:dyDescent="0.25">
      <c r="A56" t="s">
        <v>2289</v>
      </c>
      <c r="B56" s="3">
        <v>42413</v>
      </c>
      <c r="C56" t="s">
        <v>2138</v>
      </c>
      <c r="D56" t="s">
        <v>2280</v>
      </c>
      <c r="E56" t="s">
        <v>2139</v>
      </c>
      <c r="F56">
        <v>0</v>
      </c>
      <c r="G56" t="s">
        <v>2281</v>
      </c>
      <c r="H56" s="3">
        <v>42413</v>
      </c>
      <c r="I56" t="s">
        <v>214</v>
      </c>
      <c r="J56">
        <v>55000</v>
      </c>
      <c r="K56" s="1"/>
      <c r="M56" s="3">
        <v>42413</v>
      </c>
      <c r="N56" t="s">
        <v>54</v>
      </c>
      <c r="P56" t="s">
        <v>56</v>
      </c>
      <c r="Q56">
        <v>27300</v>
      </c>
      <c r="R56" s="3">
        <v>42413</v>
      </c>
      <c r="S56" t="s">
        <v>57</v>
      </c>
      <c r="U56" t="s">
        <v>56</v>
      </c>
      <c r="V56">
        <v>17000</v>
      </c>
      <c r="W56" s="3">
        <v>42446</v>
      </c>
      <c r="X56" t="s">
        <v>54</v>
      </c>
      <c r="Z56" t="s">
        <v>60</v>
      </c>
      <c r="AA56">
        <v>9900</v>
      </c>
      <c r="AG56" t="s">
        <v>2282</v>
      </c>
      <c r="AH56" s="3">
        <v>42444</v>
      </c>
      <c r="AI56">
        <v>0</v>
      </c>
      <c r="AJ56">
        <v>0</v>
      </c>
      <c r="AS56" s="13" t="s">
        <v>2283</v>
      </c>
      <c r="AT56" s="3">
        <v>42651</v>
      </c>
      <c r="AU56">
        <v>65974</v>
      </c>
      <c r="AV56">
        <v>0</v>
      </c>
      <c r="AW56">
        <v>1346</v>
      </c>
      <c r="AX56">
        <v>0</v>
      </c>
    </row>
    <row r="57" spans="1:50" hidden="1" x14ac:dyDescent="0.25">
      <c r="A57" t="s">
        <v>2290</v>
      </c>
      <c r="B57" s="3">
        <v>42415</v>
      </c>
      <c r="C57" t="s">
        <v>2138</v>
      </c>
      <c r="D57" t="s">
        <v>2139</v>
      </c>
      <c r="E57" t="s">
        <v>2139</v>
      </c>
      <c r="F57">
        <v>13500</v>
      </c>
      <c r="G57" t="s">
        <v>2291</v>
      </c>
      <c r="H57" s="3">
        <v>42415</v>
      </c>
      <c r="I57" t="s">
        <v>2009</v>
      </c>
      <c r="J57">
        <v>12000</v>
      </c>
      <c r="K57" s="1"/>
      <c r="M57" s="3">
        <v>42415</v>
      </c>
      <c r="N57" t="s">
        <v>54</v>
      </c>
      <c r="P57" t="s">
        <v>56</v>
      </c>
      <c r="Q57">
        <v>9800</v>
      </c>
      <c r="R57" s="3">
        <v>42418</v>
      </c>
      <c r="S57" t="s">
        <v>57</v>
      </c>
      <c r="U57" t="s">
        <v>60</v>
      </c>
      <c r="V57">
        <v>1950</v>
      </c>
      <c r="AG57" t="s">
        <v>2226</v>
      </c>
      <c r="AH57" s="3">
        <v>42422</v>
      </c>
      <c r="AI57">
        <v>13500</v>
      </c>
      <c r="AJ57">
        <v>0</v>
      </c>
      <c r="AS57" s="13" t="s">
        <v>2227</v>
      </c>
      <c r="AT57" s="3">
        <v>42490</v>
      </c>
      <c r="AU57">
        <v>188527</v>
      </c>
      <c r="AV57">
        <v>0</v>
      </c>
      <c r="AW57">
        <v>473</v>
      </c>
      <c r="AX57">
        <v>0</v>
      </c>
    </row>
    <row r="58" spans="1:50" hidden="1" x14ac:dyDescent="0.25">
      <c r="A58" t="s">
        <v>2292</v>
      </c>
      <c r="B58" s="3">
        <v>42415</v>
      </c>
      <c r="C58" t="s">
        <v>2138</v>
      </c>
      <c r="D58" t="s">
        <v>2139</v>
      </c>
      <c r="E58" t="s">
        <v>2139</v>
      </c>
      <c r="F58">
        <v>13500</v>
      </c>
      <c r="G58" t="s">
        <v>2293</v>
      </c>
      <c r="H58" s="3">
        <v>42415</v>
      </c>
      <c r="I58" t="s">
        <v>2009</v>
      </c>
      <c r="J58">
        <v>12000</v>
      </c>
      <c r="K58" s="1"/>
      <c r="M58" s="3">
        <v>42415</v>
      </c>
      <c r="N58" t="s">
        <v>54</v>
      </c>
      <c r="P58" t="s">
        <v>56</v>
      </c>
      <c r="Q58">
        <v>9800</v>
      </c>
      <c r="R58" s="3">
        <v>42418</v>
      </c>
      <c r="S58" t="s">
        <v>57</v>
      </c>
      <c r="U58" t="s">
        <v>60</v>
      </c>
      <c r="V58">
        <v>1950</v>
      </c>
      <c r="AG58" t="s">
        <v>2226</v>
      </c>
      <c r="AH58" s="3">
        <v>42422</v>
      </c>
      <c r="AI58">
        <v>13500</v>
      </c>
      <c r="AJ58">
        <v>0</v>
      </c>
      <c r="AS58" s="13" t="s">
        <v>2227</v>
      </c>
      <c r="AT58" s="3">
        <v>42490</v>
      </c>
      <c r="AU58">
        <v>188527</v>
      </c>
      <c r="AV58">
        <v>0</v>
      </c>
      <c r="AW58">
        <v>473</v>
      </c>
      <c r="AX58">
        <v>0</v>
      </c>
    </row>
    <row r="59" spans="1:50" hidden="1" x14ac:dyDescent="0.25">
      <c r="A59" t="s">
        <v>2294</v>
      </c>
      <c r="B59" s="3">
        <v>42415</v>
      </c>
      <c r="C59" t="s">
        <v>2138</v>
      </c>
      <c r="D59" t="s">
        <v>2139</v>
      </c>
      <c r="E59" t="s">
        <v>2139</v>
      </c>
      <c r="F59">
        <v>13500</v>
      </c>
      <c r="G59" t="s">
        <v>2295</v>
      </c>
      <c r="H59" s="3">
        <v>42415</v>
      </c>
      <c r="I59" t="s">
        <v>2009</v>
      </c>
      <c r="J59">
        <v>12000</v>
      </c>
      <c r="K59" s="1"/>
      <c r="M59" s="3">
        <v>42415</v>
      </c>
      <c r="N59" t="s">
        <v>54</v>
      </c>
      <c r="P59" t="s">
        <v>56</v>
      </c>
      <c r="Q59">
        <v>9800</v>
      </c>
      <c r="R59" s="3">
        <v>42418</v>
      </c>
      <c r="S59" t="s">
        <v>57</v>
      </c>
      <c r="U59" t="s">
        <v>60</v>
      </c>
      <c r="V59">
        <v>1950</v>
      </c>
      <c r="AG59" t="s">
        <v>2226</v>
      </c>
      <c r="AH59" s="3">
        <v>42422</v>
      </c>
      <c r="AI59">
        <v>13500</v>
      </c>
      <c r="AJ59">
        <v>0</v>
      </c>
      <c r="AS59" s="13" t="s">
        <v>2227</v>
      </c>
      <c r="AT59" s="3">
        <v>42490</v>
      </c>
      <c r="AU59">
        <v>188527</v>
      </c>
      <c r="AV59">
        <v>0</v>
      </c>
      <c r="AW59">
        <v>473</v>
      </c>
      <c r="AX59">
        <v>0</v>
      </c>
    </row>
    <row r="60" spans="1:50" hidden="1" x14ac:dyDescent="0.25">
      <c r="A60" t="s">
        <v>2296</v>
      </c>
      <c r="B60" s="3">
        <v>42416</v>
      </c>
      <c r="C60" t="s">
        <v>2138</v>
      </c>
      <c r="D60" t="s">
        <v>2139</v>
      </c>
      <c r="E60" t="s">
        <v>2139</v>
      </c>
      <c r="F60">
        <v>13500</v>
      </c>
      <c r="G60" t="s">
        <v>2297</v>
      </c>
      <c r="H60" s="3">
        <v>42416</v>
      </c>
      <c r="I60" t="s">
        <v>2009</v>
      </c>
      <c r="J60">
        <v>12000</v>
      </c>
      <c r="K60" s="1"/>
      <c r="M60" s="3">
        <v>42416</v>
      </c>
      <c r="N60" t="s">
        <v>54</v>
      </c>
      <c r="P60" t="s">
        <v>56</v>
      </c>
      <c r="Q60">
        <v>9800</v>
      </c>
      <c r="R60" s="3">
        <v>42418</v>
      </c>
      <c r="S60" t="s">
        <v>57</v>
      </c>
      <c r="U60" t="s">
        <v>60</v>
      </c>
      <c r="V60">
        <v>1950</v>
      </c>
      <c r="AG60" t="s">
        <v>2226</v>
      </c>
      <c r="AH60" s="3">
        <v>42422</v>
      </c>
      <c r="AI60">
        <v>13500</v>
      </c>
      <c r="AJ60">
        <v>0</v>
      </c>
      <c r="AS60" s="13" t="s">
        <v>2227</v>
      </c>
      <c r="AT60" s="3">
        <v>42490</v>
      </c>
      <c r="AU60">
        <v>188527</v>
      </c>
      <c r="AV60">
        <v>0</v>
      </c>
      <c r="AW60">
        <v>473</v>
      </c>
      <c r="AX60">
        <v>0</v>
      </c>
    </row>
    <row r="61" spans="1:50" x14ac:dyDescent="0.25">
      <c r="A61" t="s">
        <v>2298</v>
      </c>
      <c r="B61" s="3">
        <v>42416</v>
      </c>
      <c r="C61" t="s">
        <v>2138</v>
      </c>
      <c r="D61" t="s">
        <v>2139</v>
      </c>
      <c r="E61" t="s">
        <v>2139</v>
      </c>
      <c r="F61">
        <v>13500</v>
      </c>
      <c r="G61" t="s">
        <v>2299</v>
      </c>
      <c r="H61" s="3">
        <v>42416</v>
      </c>
      <c r="I61" t="s">
        <v>2009</v>
      </c>
      <c r="J61">
        <v>12000</v>
      </c>
      <c r="K61" s="1"/>
      <c r="M61" s="3">
        <v>42416</v>
      </c>
      <c r="N61" t="s">
        <v>54</v>
      </c>
      <c r="P61" t="s">
        <v>56</v>
      </c>
      <c r="Q61">
        <v>9800</v>
      </c>
      <c r="R61" s="3">
        <v>42419</v>
      </c>
      <c r="S61" t="s">
        <v>57</v>
      </c>
      <c r="U61" t="s">
        <v>60</v>
      </c>
      <c r="V61">
        <v>1950</v>
      </c>
      <c r="AG61" s="13" t="s">
        <v>2236</v>
      </c>
      <c r="AH61" s="3">
        <v>42441</v>
      </c>
      <c r="AI61">
        <v>13500</v>
      </c>
      <c r="AJ61">
        <v>25655</v>
      </c>
      <c r="AS61" s="13" t="s">
        <v>2237</v>
      </c>
      <c r="AT61" s="3">
        <v>42692</v>
      </c>
      <c r="AU61">
        <v>150345</v>
      </c>
      <c r="AV61">
        <v>0</v>
      </c>
      <c r="AW61">
        <v>0</v>
      </c>
      <c r="AX61">
        <v>0</v>
      </c>
    </row>
    <row r="62" spans="1:50" hidden="1" x14ac:dyDescent="0.25">
      <c r="A62" t="s">
        <v>2300</v>
      </c>
      <c r="B62" s="3">
        <v>42418</v>
      </c>
      <c r="C62" t="s">
        <v>2185</v>
      </c>
      <c r="D62" t="s">
        <v>1424</v>
      </c>
      <c r="E62" t="s">
        <v>2139</v>
      </c>
      <c r="F62">
        <v>67320</v>
      </c>
      <c r="G62" t="s">
        <v>2301</v>
      </c>
      <c r="H62" s="3">
        <v>42418</v>
      </c>
      <c r="I62" t="s">
        <v>214</v>
      </c>
      <c r="J62">
        <v>55000</v>
      </c>
      <c r="K62" s="1"/>
      <c r="M62" s="3">
        <v>42418</v>
      </c>
      <c r="N62" t="s">
        <v>54</v>
      </c>
      <c r="P62" t="s">
        <v>56</v>
      </c>
      <c r="Q62">
        <v>27300</v>
      </c>
      <c r="R62" s="3">
        <v>42418</v>
      </c>
      <c r="S62" t="s">
        <v>57</v>
      </c>
      <c r="U62" t="s">
        <v>56</v>
      </c>
      <c r="V62">
        <v>17000</v>
      </c>
      <c r="W62" s="3">
        <v>42439</v>
      </c>
      <c r="X62" t="s">
        <v>54</v>
      </c>
      <c r="Z62" t="s">
        <v>60</v>
      </c>
      <c r="AA62">
        <v>9900</v>
      </c>
      <c r="AG62" t="s">
        <v>2302</v>
      </c>
      <c r="AH62" s="3">
        <v>42444</v>
      </c>
      <c r="AI62">
        <v>67320</v>
      </c>
      <c r="AJ62">
        <v>0</v>
      </c>
      <c r="AS62" t="s">
        <v>2303</v>
      </c>
      <c r="AT62" s="3">
        <v>42558</v>
      </c>
      <c r="AU62">
        <v>65974</v>
      </c>
      <c r="AV62">
        <v>0</v>
      </c>
      <c r="AW62">
        <v>1346</v>
      </c>
      <c r="AX62">
        <v>0</v>
      </c>
    </row>
    <row r="63" spans="1:50" hidden="1" x14ac:dyDescent="0.25">
      <c r="A63" t="s">
        <v>2304</v>
      </c>
      <c r="B63" s="3">
        <v>42418</v>
      </c>
      <c r="C63" t="s">
        <v>2185</v>
      </c>
      <c r="D63" t="s">
        <v>1424</v>
      </c>
      <c r="E63" t="s">
        <v>2139</v>
      </c>
      <c r="F63">
        <v>67320</v>
      </c>
      <c r="G63" t="s">
        <v>2305</v>
      </c>
      <c r="H63" s="3">
        <v>42418</v>
      </c>
      <c r="I63" t="s">
        <v>214</v>
      </c>
      <c r="J63">
        <v>55000</v>
      </c>
      <c r="K63" s="1"/>
      <c r="M63" s="3">
        <v>42418</v>
      </c>
      <c r="N63" t="s">
        <v>57</v>
      </c>
      <c r="P63" t="s">
        <v>56</v>
      </c>
      <c r="Q63">
        <v>17000</v>
      </c>
      <c r="R63" s="3">
        <v>42420</v>
      </c>
      <c r="S63" t="s">
        <v>54</v>
      </c>
      <c r="U63" t="s">
        <v>56</v>
      </c>
      <c r="V63">
        <v>27300</v>
      </c>
      <c r="W63" s="3">
        <v>42446</v>
      </c>
      <c r="X63" t="s">
        <v>54</v>
      </c>
      <c r="Z63" t="s">
        <v>60</v>
      </c>
      <c r="AA63">
        <v>9900</v>
      </c>
      <c r="AG63" t="s">
        <v>2306</v>
      </c>
      <c r="AH63" s="3">
        <v>42444</v>
      </c>
      <c r="AI63">
        <v>67320</v>
      </c>
      <c r="AJ63">
        <v>0</v>
      </c>
      <c r="AS63" t="s">
        <v>2307</v>
      </c>
      <c r="AT63" s="3">
        <v>42640</v>
      </c>
      <c r="AU63">
        <v>65974</v>
      </c>
      <c r="AV63">
        <v>0</v>
      </c>
      <c r="AW63">
        <v>1346</v>
      </c>
      <c r="AX63">
        <v>0</v>
      </c>
    </row>
    <row r="64" spans="1:50" hidden="1" x14ac:dyDescent="0.25">
      <c r="A64" t="s">
        <v>2308</v>
      </c>
      <c r="B64" s="3">
        <v>42418</v>
      </c>
      <c r="C64" t="s">
        <v>2185</v>
      </c>
      <c r="D64" t="s">
        <v>1424</v>
      </c>
      <c r="E64" t="s">
        <v>2139</v>
      </c>
      <c r="F64">
        <v>0</v>
      </c>
      <c r="K64" s="1"/>
      <c r="AG64" t="s">
        <v>2306</v>
      </c>
      <c r="AH64" s="3">
        <v>42444</v>
      </c>
      <c r="AI64">
        <v>0</v>
      </c>
      <c r="AJ64">
        <v>0</v>
      </c>
      <c r="AS64" s="13" t="s">
        <v>2307</v>
      </c>
      <c r="AT64" s="3">
        <v>42640</v>
      </c>
      <c r="AU64">
        <v>65974</v>
      </c>
      <c r="AV64">
        <v>0</v>
      </c>
      <c r="AW64">
        <v>1346</v>
      </c>
      <c r="AX64">
        <v>0</v>
      </c>
    </row>
    <row r="65" spans="1:50" hidden="1" x14ac:dyDescent="0.25">
      <c r="A65" t="s">
        <v>2309</v>
      </c>
      <c r="B65" s="3">
        <v>42418</v>
      </c>
      <c r="C65" t="s">
        <v>2185</v>
      </c>
      <c r="D65" t="s">
        <v>2280</v>
      </c>
      <c r="E65" t="s">
        <v>2139</v>
      </c>
      <c r="F65">
        <v>67320</v>
      </c>
      <c r="G65" t="s">
        <v>2310</v>
      </c>
      <c r="H65" s="3">
        <v>42418</v>
      </c>
      <c r="I65" t="s">
        <v>91</v>
      </c>
      <c r="J65">
        <v>55000</v>
      </c>
      <c r="K65" s="1"/>
      <c r="M65" s="3">
        <v>42418</v>
      </c>
      <c r="N65" t="s">
        <v>54</v>
      </c>
      <c r="P65" t="s">
        <v>56</v>
      </c>
      <c r="Q65">
        <v>27300</v>
      </c>
      <c r="R65" s="3">
        <v>42418</v>
      </c>
      <c r="S65" t="s">
        <v>57</v>
      </c>
      <c r="U65" t="s">
        <v>56</v>
      </c>
      <c r="V65">
        <v>17000</v>
      </c>
      <c r="W65" s="3">
        <v>42446</v>
      </c>
      <c r="X65" t="s">
        <v>54</v>
      </c>
      <c r="Z65" t="s">
        <v>60</v>
      </c>
      <c r="AA65">
        <v>9900</v>
      </c>
      <c r="AG65" t="s">
        <v>2311</v>
      </c>
      <c r="AH65" s="3">
        <v>42444</v>
      </c>
      <c r="AI65">
        <v>67320</v>
      </c>
      <c r="AJ65">
        <v>0</v>
      </c>
      <c r="AS65" t="s">
        <v>2312</v>
      </c>
      <c r="AT65" s="3">
        <v>42506</v>
      </c>
      <c r="AU65">
        <v>65974</v>
      </c>
      <c r="AV65">
        <v>0</v>
      </c>
      <c r="AW65">
        <v>1346</v>
      </c>
      <c r="AX65">
        <v>0</v>
      </c>
    </row>
    <row r="66" spans="1:50" hidden="1" x14ac:dyDescent="0.25">
      <c r="A66" t="s">
        <v>2313</v>
      </c>
      <c r="B66" s="3">
        <v>42419</v>
      </c>
      <c r="C66" t="s">
        <v>2185</v>
      </c>
      <c r="D66" t="s">
        <v>2139</v>
      </c>
      <c r="E66" t="s">
        <v>2139</v>
      </c>
      <c r="F66">
        <v>67320</v>
      </c>
      <c r="G66" t="s">
        <v>2314</v>
      </c>
      <c r="H66" s="3">
        <v>42419</v>
      </c>
      <c r="I66" t="s">
        <v>107</v>
      </c>
      <c r="J66">
        <v>55000</v>
      </c>
      <c r="K66" s="1"/>
      <c r="M66" s="3">
        <v>42419</v>
      </c>
      <c r="N66" t="s">
        <v>57</v>
      </c>
      <c r="P66" t="s">
        <v>56</v>
      </c>
      <c r="Q66">
        <v>17000</v>
      </c>
      <c r="R66" s="3">
        <v>42420</v>
      </c>
      <c r="S66" t="s">
        <v>54</v>
      </c>
      <c r="U66" t="s">
        <v>56</v>
      </c>
      <c r="V66">
        <v>27300</v>
      </c>
      <c r="W66" s="3">
        <v>42446</v>
      </c>
      <c r="X66" t="s">
        <v>54</v>
      </c>
      <c r="Z66" t="s">
        <v>60</v>
      </c>
      <c r="AA66">
        <v>9900</v>
      </c>
      <c r="AG66" t="s">
        <v>2315</v>
      </c>
      <c r="AH66" s="3">
        <v>42444</v>
      </c>
      <c r="AI66">
        <v>67320</v>
      </c>
      <c r="AJ66">
        <v>0</v>
      </c>
      <c r="AS66" s="13" t="s">
        <v>2312</v>
      </c>
      <c r="AT66" s="3">
        <v>42506</v>
      </c>
      <c r="AU66">
        <v>65974</v>
      </c>
      <c r="AV66">
        <v>0</v>
      </c>
      <c r="AW66">
        <v>1346</v>
      </c>
      <c r="AX66">
        <v>0</v>
      </c>
    </row>
    <row r="67" spans="1:50" x14ac:dyDescent="0.25">
      <c r="A67" t="s">
        <v>2316</v>
      </c>
      <c r="B67" s="3">
        <v>42419</v>
      </c>
      <c r="C67" t="s">
        <v>2138</v>
      </c>
      <c r="D67" t="s">
        <v>2139</v>
      </c>
      <c r="E67" t="s">
        <v>2139</v>
      </c>
      <c r="F67">
        <v>11750</v>
      </c>
      <c r="G67" t="s">
        <v>2317</v>
      </c>
      <c r="H67" s="3">
        <v>42419</v>
      </c>
      <c r="I67" t="s">
        <v>2009</v>
      </c>
      <c r="J67">
        <v>9500</v>
      </c>
      <c r="K67" s="1"/>
      <c r="M67" s="3">
        <v>42419</v>
      </c>
      <c r="N67" t="s">
        <v>54</v>
      </c>
      <c r="P67" t="s">
        <v>56</v>
      </c>
      <c r="Q67">
        <v>7800</v>
      </c>
      <c r="R67" s="3">
        <v>42434</v>
      </c>
      <c r="S67" t="s">
        <v>54</v>
      </c>
      <c r="U67" t="s">
        <v>60</v>
      </c>
      <c r="V67">
        <v>1450</v>
      </c>
      <c r="AG67" s="13" t="s">
        <v>2236</v>
      </c>
      <c r="AH67" s="3">
        <v>42441</v>
      </c>
      <c r="AI67">
        <v>11750</v>
      </c>
      <c r="AJ67">
        <v>25655</v>
      </c>
      <c r="AS67" s="13" t="s">
        <v>2237</v>
      </c>
      <c r="AT67" s="3">
        <v>42692</v>
      </c>
      <c r="AU67">
        <v>150345</v>
      </c>
      <c r="AV67">
        <v>0</v>
      </c>
      <c r="AW67">
        <v>0</v>
      </c>
      <c r="AX67">
        <v>0</v>
      </c>
    </row>
    <row r="68" spans="1:50" x14ac:dyDescent="0.25">
      <c r="A68" t="s">
        <v>2318</v>
      </c>
      <c r="B68" s="3">
        <v>42419</v>
      </c>
      <c r="C68" t="s">
        <v>2138</v>
      </c>
      <c r="D68" t="s">
        <v>2139</v>
      </c>
      <c r="E68" t="s">
        <v>2139</v>
      </c>
      <c r="F68">
        <v>14250</v>
      </c>
      <c r="G68" t="s">
        <v>2319</v>
      </c>
      <c r="H68" s="3">
        <v>42419</v>
      </c>
      <c r="I68" t="s">
        <v>2009</v>
      </c>
      <c r="J68">
        <v>12000</v>
      </c>
      <c r="K68" s="1"/>
      <c r="M68" s="3">
        <v>42419</v>
      </c>
      <c r="N68" t="s">
        <v>54</v>
      </c>
      <c r="P68" t="s">
        <v>56</v>
      </c>
      <c r="Q68">
        <v>9800</v>
      </c>
      <c r="R68" s="3">
        <v>42434</v>
      </c>
      <c r="S68" t="s">
        <v>54</v>
      </c>
      <c r="U68" t="s">
        <v>60</v>
      </c>
      <c r="V68">
        <v>1950</v>
      </c>
      <c r="AG68" s="13" t="s">
        <v>2236</v>
      </c>
      <c r="AH68" s="3">
        <v>42441</v>
      </c>
      <c r="AI68">
        <v>14250</v>
      </c>
      <c r="AJ68">
        <v>25655</v>
      </c>
      <c r="AS68" s="13" t="s">
        <v>2237</v>
      </c>
      <c r="AT68" s="3">
        <v>42692</v>
      </c>
      <c r="AU68">
        <v>150345</v>
      </c>
      <c r="AV68">
        <v>0</v>
      </c>
      <c r="AW68">
        <v>0</v>
      </c>
      <c r="AX68">
        <v>0</v>
      </c>
    </row>
    <row r="69" spans="1:50" x14ac:dyDescent="0.25">
      <c r="A69" t="s">
        <v>2320</v>
      </c>
      <c r="B69" s="3">
        <v>42419</v>
      </c>
      <c r="C69" t="s">
        <v>2138</v>
      </c>
      <c r="D69" t="s">
        <v>2139</v>
      </c>
      <c r="E69" t="s">
        <v>2139</v>
      </c>
      <c r="F69">
        <v>13500</v>
      </c>
      <c r="G69" t="s">
        <v>2321</v>
      </c>
      <c r="H69" s="3">
        <v>42419</v>
      </c>
      <c r="I69" t="s">
        <v>2009</v>
      </c>
      <c r="J69">
        <v>12000</v>
      </c>
      <c r="K69" s="1"/>
      <c r="M69" s="3">
        <v>42419</v>
      </c>
      <c r="N69" t="s">
        <v>54</v>
      </c>
      <c r="P69" t="s">
        <v>56</v>
      </c>
      <c r="Q69">
        <v>9800</v>
      </c>
      <c r="R69" s="3">
        <v>42434</v>
      </c>
      <c r="S69" t="s">
        <v>57</v>
      </c>
      <c r="U69" t="s">
        <v>60</v>
      </c>
      <c r="V69">
        <v>1950</v>
      </c>
      <c r="AG69" s="13" t="s">
        <v>2236</v>
      </c>
      <c r="AH69" s="3">
        <v>42441</v>
      </c>
      <c r="AI69">
        <v>13500</v>
      </c>
      <c r="AJ69">
        <v>25655</v>
      </c>
      <c r="AS69" s="13" t="s">
        <v>2237</v>
      </c>
      <c r="AT69" s="3">
        <v>42692</v>
      </c>
      <c r="AU69">
        <v>150345</v>
      </c>
      <c r="AV69">
        <v>0</v>
      </c>
      <c r="AW69">
        <v>0</v>
      </c>
      <c r="AX69">
        <v>0</v>
      </c>
    </row>
    <row r="70" spans="1:50" x14ac:dyDescent="0.25">
      <c r="A70" t="s">
        <v>2322</v>
      </c>
      <c r="B70" s="3">
        <v>42419</v>
      </c>
      <c r="C70" t="s">
        <v>2138</v>
      </c>
      <c r="D70" t="s">
        <v>2139</v>
      </c>
      <c r="E70" t="s">
        <v>2139</v>
      </c>
      <c r="F70">
        <v>14250</v>
      </c>
      <c r="G70" t="s">
        <v>2323</v>
      </c>
      <c r="H70" s="3">
        <v>42419</v>
      </c>
      <c r="I70" t="s">
        <v>2009</v>
      </c>
      <c r="J70">
        <v>12000</v>
      </c>
      <c r="K70" s="1"/>
      <c r="M70" s="3">
        <v>42419</v>
      </c>
      <c r="N70" t="s">
        <v>54</v>
      </c>
      <c r="P70" t="s">
        <v>56</v>
      </c>
      <c r="Q70">
        <v>9800</v>
      </c>
      <c r="R70" s="3">
        <v>42434</v>
      </c>
      <c r="S70" t="s">
        <v>57</v>
      </c>
      <c r="U70" t="s">
        <v>60</v>
      </c>
      <c r="V70">
        <v>1950</v>
      </c>
      <c r="AG70" s="13" t="s">
        <v>2236</v>
      </c>
      <c r="AH70" s="3">
        <v>42441</v>
      </c>
      <c r="AI70">
        <v>14250</v>
      </c>
      <c r="AJ70">
        <v>25655</v>
      </c>
      <c r="AS70" s="13" t="s">
        <v>2237</v>
      </c>
      <c r="AT70" s="3">
        <v>42692</v>
      </c>
      <c r="AU70">
        <v>150345</v>
      </c>
      <c r="AV70">
        <v>0</v>
      </c>
      <c r="AW70">
        <v>0</v>
      </c>
      <c r="AX70">
        <v>0</v>
      </c>
    </row>
    <row r="71" spans="1:50" x14ac:dyDescent="0.25">
      <c r="A71" t="s">
        <v>2324</v>
      </c>
      <c r="B71" s="3">
        <v>42419</v>
      </c>
      <c r="C71" t="s">
        <v>2138</v>
      </c>
      <c r="D71" t="s">
        <v>2139</v>
      </c>
      <c r="E71" t="s">
        <v>2139</v>
      </c>
      <c r="F71">
        <v>14250</v>
      </c>
      <c r="G71" t="s">
        <v>2325</v>
      </c>
      <c r="H71" s="3">
        <v>42419</v>
      </c>
      <c r="I71" t="s">
        <v>2009</v>
      </c>
      <c r="J71">
        <v>12000</v>
      </c>
      <c r="K71" s="1"/>
      <c r="M71" s="3">
        <v>42419</v>
      </c>
      <c r="N71" t="s">
        <v>54</v>
      </c>
      <c r="P71" t="s">
        <v>56</v>
      </c>
      <c r="Q71">
        <v>9800</v>
      </c>
      <c r="R71" s="3">
        <v>42434</v>
      </c>
      <c r="S71" t="s">
        <v>54</v>
      </c>
      <c r="U71" t="s">
        <v>60</v>
      </c>
      <c r="V71">
        <v>1950</v>
      </c>
      <c r="AG71" s="13" t="s">
        <v>2236</v>
      </c>
      <c r="AH71" s="3">
        <v>42441</v>
      </c>
      <c r="AI71">
        <v>14250</v>
      </c>
      <c r="AJ71">
        <v>25655</v>
      </c>
      <c r="AS71" s="13" t="s">
        <v>2237</v>
      </c>
      <c r="AT71" s="3">
        <v>42692</v>
      </c>
      <c r="AU71">
        <v>150345</v>
      </c>
      <c r="AV71">
        <v>0</v>
      </c>
      <c r="AW71">
        <v>0</v>
      </c>
      <c r="AX71">
        <v>0</v>
      </c>
    </row>
    <row r="72" spans="1:50" hidden="1" x14ac:dyDescent="0.25">
      <c r="A72" t="s">
        <v>2326</v>
      </c>
      <c r="B72" s="3">
        <v>42423</v>
      </c>
      <c r="C72" t="s">
        <v>2185</v>
      </c>
      <c r="D72" t="s">
        <v>1424</v>
      </c>
      <c r="E72" t="s">
        <v>2139</v>
      </c>
      <c r="F72">
        <v>67320</v>
      </c>
      <c r="G72" t="s">
        <v>2327</v>
      </c>
      <c r="H72" s="3">
        <v>42423</v>
      </c>
      <c r="I72" t="s">
        <v>214</v>
      </c>
      <c r="J72">
        <v>55000</v>
      </c>
      <c r="K72" s="1"/>
      <c r="M72" s="3">
        <v>42423</v>
      </c>
      <c r="N72" t="s">
        <v>57</v>
      </c>
      <c r="P72" t="s">
        <v>56</v>
      </c>
      <c r="Q72">
        <v>15000</v>
      </c>
      <c r="R72" s="3">
        <v>42424</v>
      </c>
      <c r="S72" t="s">
        <v>54</v>
      </c>
      <c r="U72" t="s">
        <v>56</v>
      </c>
      <c r="V72">
        <v>29300</v>
      </c>
      <c r="W72" s="3">
        <v>42452</v>
      </c>
      <c r="X72" t="s">
        <v>54</v>
      </c>
      <c r="Z72" t="s">
        <v>60</v>
      </c>
      <c r="AA72">
        <v>9900</v>
      </c>
      <c r="AG72" t="s">
        <v>2328</v>
      </c>
      <c r="AH72" s="3">
        <v>42469</v>
      </c>
      <c r="AI72">
        <v>67320</v>
      </c>
      <c r="AJ72">
        <v>0</v>
      </c>
      <c r="AS72" t="s">
        <v>2303</v>
      </c>
      <c r="AT72" s="3">
        <v>42558</v>
      </c>
      <c r="AU72">
        <v>65974</v>
      </c>
      <c r="AV72">
        <v>0</v>
      </c>
      <c r="AW72">
        <v>1346</v>
      </c>
      <c r="AX72">
        <v>0</v>
      </c>
    </row>
    <row r="73" spans="1:50" hidden="1" x14ac:dyDescent="0.25">
      <c r="A73" t="s">
        <v>2329</v>
      </c>
      <c r="B73" s="3">
        <v>42423</v>
      </c>
      <c r="C73" t="s">
        <v>2185</v>
      </c>
      <c r="D73" t="s">
        <v>1424</v>
      </c>
      <c r="E73" t="s">
        <v>2139</v>
      </c>
      <c r="F73">
        <v>67320</v>
      </c>
      <c r="G73" t="s">
        <v>2330</v>
      </c>
      <c r="H73" s="3">
        <v>42423</v>
      </c>
      <c r="I73" t="s">
        <v>214</v>
      </c>
      <c r="J73">
        <v>55000</v>
      </c>
      <c r="K73" s="1"/>
      <c r="M73" s="3">
        <v>42423</v>
      </c>
      <c r="N73" t="s">
        <v>57</v>
      </c>
      <c r="P73" t="s">
        <v>56</v>
      </c>
      <c r="Q73">
        <v>15000</v>
      </c>
      <c r="R73" s="3">
        <v>42424</v>
      </c>
      <c r="S73" t="s">
        <v>54</v>
      </c>
      <c r="U73" t="s">
        <v>56</v>
      </c>
      <c r="V73">
        <v>29300</v>
      </c>
      <c r="W73" s="3">
        <v>42452</v>
      </c>
      <c r="X73" t="s">
        <v>54</v>
      </c>
      <c r="Z73" t="s">
        <v>60</v>
      </c>
      <c r="AA73">
        <v>9900</v>
      </c>
      <c r="AG73" t="s">
        <v>2331</v>
      </c>
      <c r="AH73" s="3">
        <v>42469</v>
      </c>
      <c r="AI73">
        <v>67320</v>
      </c>
      <c r="AJ73">
        <v>0</v>
      </c>
      <c r="AS73" s="13" t="s">
        <v>2260</v>
      </c>
      <c r="AT73" s="3">
        <v>42518</v>
      </c>
      <c r="AU73">
        <v>65974</v>
      </c>
      <c r="AV73">
        <v>0</v>
      </c>
      <c r="AW73">
        <v>1346</v>
      </c>
      <c r="AX73">
        <v>0</v>
      </c>
    </row>
    <row r="74" spans="1:50" x14ac:dyDescent="0.25">
      <c r="A74" t="s">
        <v>2332</v>
      </c>
      <c r="B74" s="3">
        <v>42424</v>
      </c>
      <c r="C74" t="s">
        <v>2138</v>
      </c>
      <c r="D74" t="s">
        <v>2139</v>
      </c>
      <c r="E74" t="s">
        <v>2139</v>
      </c>
      <c r="F74">
        <v>13500</v>
      </c>
      <c r="G74" t="s">
        <v>2333</v>
      </c>
      <c r="H74" s="3">
        <v>42424</v>
      </c>
      <c r="I74" t="s">
        <v>2009</v>
      </c>
      <c r="J74">
        <v>12000</v>
      </c>
      <c r="K74" s="1"/>
      <c r="M74" s="3">
        <v>42424</v>
      </c>
      <c r="N74" t="s">
        <v>57</v>
      </c>
      <c r="P74" t="s">
        <v>56</v>
      </c>
      <c r="Q74">
        <v>9800</v>
      </c>
      <c r="R74" s="3">
        <v>42426</v>
      </c>
      <c r="S74" t="s">
        <v>57</v>
      </c>
      <c r="U74" t="s">
        <v>60</v>
      </c>
      <c r="V74">
        <v>1950</v>
      </c>
      <c r="AG74" s="13" t="s">
        <v>2236</v>
      </c>
      <c r="AH74" s="3">
        <v>42441</v>
      </c>
      <c r="AI74">
        <v>13500</v>
      </c>
      <c r="AJ74">
        <v>25655</v>
      </c>
      <c r="AS74" s="13" t="s">
        <v>2237</v>
      </c>
      <c r="AT74" s="3">
        <v>42692</v>
      </c>
      <c r="AU74">
        <v>150345</v>
      </c>
      <c r="AV74">
        <v>0</v>
      </c>
      <c r="AW74">
        <v>0</v>
      </c>
      <c r="AX74">
        <v>0</v>
      </c>
    </row>
    <row r="75" spans="1:50" hidden="1" x14ac:dyDescent="0.25">
      <c r="A75" t="s">
        <v>2334</v>
      </c>
      <c r="B75" s="3">
        <v>42424</v>
      </c>
      <c r="C75" t="s">
        <v>2138</v>
      </c>
      <c r="D75" t="s">
        <v>2139</v>
      </c>
      <c r="E75" t="s">
        <v>2139</v>
      </c>
      <c r="F75">
        <v>13500</v>
      </c>
      <c r="G75" t="s">
        <v>2335</v>
      </c>
      <c r="H75" s="3">
        <v>42424</v>
      </c>
      <c r="I75" t="s">
        <v>2009</v>
      </c>
      <c r="J75">
        <v>12000</v>
      </c>
      <c r="K75" s="1"/>
      <c r="M75" s="3">
        <v>42424</v>
      </c>
      <c r="N75" t="s">
        <v>54</v>
      </c>
      <c r="P75" t="s">
        <v>56</v>
      </c>
      <c r="Q75">
        <v>9800</v>
      </c>
      <c r="R75" s="3">
        <v>42434</v>
      </c>
      <c r="S75" t="s">
        <v>57</v>
      </c>
      <c r="U75" t="s">
        <v>60</v>
      </c>
      <c r="V75">
        <v>1950</v>
      </c>
      <c r="AG75" t="s">
        <v>2336</v>
      </c>
      <c r="AH75" s="3">
        <v>42458</v>
      </c>
      <c r="AI75">
        <v>13500</v>
      </c>
      <c r="AJ75">
        <v>0</v>
      </c>
      <c r="AS75" t="s">
        <v>2337</v>
      </c>
      <c r="AT75" s="3">
        <v>42920</v>
      </c>
      <c r="AU75">
        <v>26460</v>
      </c>
      <c r="AV75">
        <v>0</v>
      </c>
      <c r="AW75">
        <v>540</v>
      </c>
      <c r="AX75">
        <v>0</v>
      </c>
    </row>
    <row r="76" spans="1:50" x14ac:dyDescent="0.25">
      <c r="A76" t="s">
        <v>2338</v>
      </c>
      <c r="B76" s="3">
        <v>42424</v>
      </c>
      <c r="C76" t="s">
        <v>2138</v>
      </c>
      <c r="D76" t="s">
        <v>2139</v>
      </c>
      <c r="E76" t="s">
        <v>2139</v>
      </c>
      <c r="F76">
        <v>13500</v>
      </c>
      <c r="G76" t="s">
        <v>2339</v>
      </c>
      <c r="H76" s="3">
        <v>42424</v>
      </c>
      <c r="I76" t="s">
        <v>2009</v>
      </c>
      <c r="J76">
        <v>12000</v>
      </c>
      <c r="K76" s="1"/>
      <c r="M76" s="3">
        <v>42424</v>
      </c>
      <c r="N76" t="s">
        <v>54</v>
      </c>
      <c r="P76" t="s">
        <v>56</v>
      </c>
      <c r="Q76">
        <v>9800</v>
      </c>
      <c r="R76" s="3">
        <v>42434</v>
      </c>
      <c r="S76" t="s">
        <v>57</v>
      </c>
      <c r="U76" t="s">
        <v>60</v>
      </c>
      <c r="V76">
        <v>1950</v>
      </c>
      <c r="AG76" s="13" t="s">
        <v>2236</v>
      </c>
      <c r="AH76" s="3">
        <v>42441</v>
      </c>
      <c r="AI76">
        <v>13500</v>
      </c>
      <c r="AJ76">
        <v>25655</v>
      </c>
      <c r="AS76" s="13" t="s">
        <v>2237</v>
      </c>
      <c r="AT76" s="3">
        <v>42692</v>
      </c>
      <c r="AU76">
        <v>150345</v>
      </c>
      <c r="AV76">
        <v>0</v>
      </c>
      <c r="AW76">
        <v>0</v>
      </c>
      <c r="AX76">
        <v>0</v>
      </c>
    </row>
    <row r="77" spans="1:50" x14ac:dyDescent="0.25">
      <c r="A77" t="s">
        <v>2340</v>
      </c>
      <c r="B77" s="3">
        <v>42425</v>
      </c>
      <c r="C77" t="s">
        <v>2138</v>
      </c>
      <c r="D77" t="s">
        <v>2139</v>
      </c>
      <c r="E77" t="s">
        <v>2139</v>
      </c>
      <c r="F77">
        <v>13500</v>
      </c>
      <c r="G77" t="s">
        <v>2341</v>
      </c>
      <c r="H77" s="3">
        <v>42425</v>
      </c>
      <c r="I77" t="s">
        <v>2009</v>
      </c>
      <c r="J77">
        <v>12000</v>
      </c>
      <c r="K77" s="1"/>
      <c r="M77" s="3">
        <v>42425</v>
      </c>
      <c r="N77" t="s">
        <v>54</v>
      </c>
      <c r="P77" t="s">
        <v>56</v>
      </c>
      <c r="Q77">
        <v>9800</v>
      </c>
      <c r="R77" s="3">
        <v>42444</v>
      </c>
      <c r="S77" t="s">
        <v>54</v>
      </c>
      <c r="U77" t="s">
        <v>60</v>
      </c>
      <c r="V77">
        <v>1950</v>
      </c>
      <c r="AG77" s="13" t="s">
        <v>2236</v>
      </c>
      <c r="AH77" s="3">
        <v>42441</v>
      </c>
      <c r="AI77">
        <v>13500</v>
      </c>
      <c r="AJ77">
        <v>25655</v>
      </c>
      <c r="AS77" s="13" t="s">
        <v>2237</v>
      </c>
      <c r="AT77" s="3">
        <v>42692</v>
      </c>
      <c r="AU77">
        <v>150345</v>
      </c>
      <c r="AV77">
        <v>0</v>
      </c>
      <c r="AW77">
        <v>0</v>
      </c>
      <c r="AX77">
        <v>0</v>
      </c>
    </row>
    <row r="78" spans="1:50" x14ac:dyDescent="0.25">
      <c r="A78" t="s">
        <v>2342</v>
      </c>
      <c r="B78" s="3">
        <v>42430</v>
      </c>
      <c r="C78" t="s">
        <v>2138</v>
      </c>
      <c r="D78" t="s">
        <v>2139</v>
      </c>
      <c r="E78" t="s">
        <v>2139</v>
      </c>
      <c r="F78">
        <v>13500</v>
      </c>
      <c r="G78" t="s">
        <v>2343</v>
      </c>
      <c r="H78" s="3">
        <v>42430</v>
      </c>
      <c r="I78" t="s">
        <v>2009</v>
      </c>
      <c r="J78">
        <v>12000</v>
      </c>
      <c r="K78" s="1"/>
      <c r="M78" s="3">
        <v>42430</v>
      </c>
      <c r="N78" t="s">
        <v>54</v>
      </c>
      <c r="P78" t="s">
        <v>56</v>
      </c>
      <c r="Q78">
        <v>9800</v>
      </c>
      <c r="R78" s="3">
        <v>42444</v>
      </c>
      <c r="S78" t="s">
        <v>57</v>
      </c>
      <c r="U78" t="s">
        <v>60</v>
      </c>
      <c r="V78">
        <v>1950</v>
      </c>
      <c r="AG78" s="13" t="s">
        <v>2236</v>
      </c>
      <c r="AH78" s="3">
        <v>42441</v>
      </c>
      <c r="AI78">
        <v>13500</v>
      </c>
      <c r="AJ78">
        <v>25655</v>
      </c>
      <c r="AS78" s="13" t="s">
        <v>2237</v>
      </c>
      <c r="AT78" s="3">
        <v>42692</v>
      </c>
      <c r="AU78">
        <v>150345</v>
      </c>
      <c r="AV78">
        <v>0</v>
      </c>
      <c r="AW78">
        <v>0</v>
      </c>
      <c r="AX78">
        <v>0</v>
      </c>
    </row>
    <row r="79" spans="1:50" x14ac:dyDescent="0.25">
      <c r="A79" t="s">
        <v>2344</v>
      </c>
      <c r="B79" s="3">
        <v>42430</v>
      </c>
      <c r="C79" t="s">
        <v>2138</v>
      </c>
      <c r="D79" t="s">
        <v>2139</v>
      </c>
      <c r="E79" t="s">
        <v>2139</v>
      </c>
      <c r="F79">
        <v>13500</v>
      </c>
      <c r="G79" t="s">
        <v>2345</v>
      </c>
      <c r="H79" s="3">
        <v>42430</v>
      </c>
      <c r="I79" t="s">
        <v>2009</v>
      </c>
      <c r="J79">
        <v>12000</v>
      </c>
      <c r="K79" s="1"/>
      <c r="M79" s="3">
        <v>42430</v>
      </c>
      <c r="N79" t="s">
        <v>54</v>
      </c>
      <c r="P79" t="s">
        <v>56</v>
      </c>
      <c r="Q79">
        <v>9800</v>
      </c>
      <c r="R79" s="3">
        <v>42444</v>
      </c>
      <c r="S79" t="s">
        <v>54</v>
      </c>
      <c r="U79" t="s">
        <v>60</v>
      </c>
      <c r="V79">
        <v>1950</v>
      </c>
      <c r="AG79" s="13" t="s">
        <v>2236</v>
      </c>
      <c r="AH79" s="3">
        <v>42441</v>
      </c>
      <c r="AI79">
        <v>13500</v>
      </c>
      <c r="AJ79">
        <v>25655</v>
      </c>
      <c r="AS79" s="13" t="s">
        <v>2237</v>
      </c>
      <c r="AT79" s="3">
        <v>42692</v>
      </c>
      <c r="AU79">
        <v>150345</v>
      </c>
      <c r="AV79">
        <v>0</v>
      </c>
      <c r="AW79">
        <v>0</v>
      </c>
      <c r="AX79">
        <v>0</v>
      </c>
    </row>
    <row r="80" spans="1:50" hidden="1" x14ac:dyDescent="0.25">
      <c r="A80" t="s">
        <v>2346</v>
      </c>
      <c r="B80" s="3">
        <v>42431</v>
      </c>
      <c r="C80" t="s">
        <v>2138</v>
      </c>
      <c r="D80" t="s">
        <v>2139</v>
      </c>
      <c r="E80" t="s">
        <v>2139</v>
      </c>
      <c r="F80">
        <v>13500</v>
      </c>
      <c r="G80" t="s">
        <v>2347</v>
      </c>
      <c r="H80" s="3">
        <v>42431</v>
      </c>
      <c r="I80" t="s">
        <v>278</v>
      </c>
      <c r="J80">
        <v>12000</v>
      </c>
      <c r="K80" s="1"/>
      <c r="M80" s="3">
        <v>42431</v>
      </c>
      <c r="N80" t="s">
        <v>54</v>
      </c>
      <c r="P80" t="s">
        <v>56</v>
      </c>
      <c r="Q80">
        <v>9800</v>
      </c>
      <c r="R80" s="3">
        <v>42452</v>
      </c>
      <c r="S80" t="s">
        <v>54</v>
      </c>
      <c r="U80" t="s">
        <v>60</v>
      </c>
      <c r="V80">
        <v>1950</v>
      </c>
      <c r="AG80" t="s">
        <v>2336</v>
      </c>
      <c r="AH80" s="3">
        <v>42458</v>
      </c>
      <c r="AI80">
        <v>13500</v>
      </c>
      <c r="AJ80">
        <v>0</v>
      </c>
      <c r="AS80" t="s">
        <v>2337</v>
      </c>
      <c r="AT80" s="3">
        <v>42920</v>
      </c>
      <c r="AU80">
        <v>26460</v>
      </c>
      <c r="AV80">
        <v>0</v>
      </c>
      <c r="AW80">
        <v>540</v>
      </c>
      <c r="AX80">
        <v>0</v>
      </c>
    </row>
    <row r="81" spans="1:56" hidden="1" x14ac:dyDescent="0.25">
      <c r="A81" t="s">
        <v>2348</v>
      </c>
      <c r="B81" s="3">
        <v>42439</v>
      </c>
      <c r="C81" t="s">
        <v>2138</v>
      </c>
      <c r="D81" t="s">
        <v>2139</v>
      </c>
      <c r="E81" t="s">
        <v>2139</v>
      </c>
      <c r="F81">
        <v>13500</v>
      </c>
      <c r="G81" t="s">
        <v>2349</v>
      </c>
      <c r="H81" s="3">
        <v>42439</v>
      </c>
      <c r="I81" t="s">
        <v>2009</v>
      </c>
      <c r="J81">
        <v>12000</v>
      </c>
      <c r="K81" s="1"/>
      <c r="M81" s="3">
        <v>42439</v>
      </c>
      <c r="N81" t="s">
        <v>54</v>
      </c>
      <c r="P81" t="s">
        <v>56</v>
      </c>
      <c r="Q81">
        <v>9800</v>
      </c>
      <c r="R81" s="3">
        <v>42514</v>
      </c>
      <c r="S81" t="s">
        <v>54</v>
      </c>
      <c r="U81" t="s">
        <v>60</v>
      </c>
      <c r="V81">
        <v>1950</v>
      </c>
      <c r="AG81" t="s">
        <v>2350</v>
      </c>
      <c r="AH81" s="3">
        <v>42495</v>
      </c>
      <c r="AI81">
        <v>13500</v>
      </c>
      <c r="AJ81">
        <v>0</v>
      </c>
      <c r="AS81" t="s">
        <v>2351</v>
      </c>
      <c r="AT81" s="3">
        <v>42693</v>
      </c>
      <c r="AU81">
        <v>13230</v>
      </c>
      <c r="AV81">
        <v>0</v>
      </c>
      <c r="AW81">
        <v>270</v>
      </c>
      <c r="AX81">
        <v>0</v>
      </c>
    </row>
    <row r="82" spans="1:56" hidden="1" x14ac:dyDescent="0.25">
      <c r="A82" t="s">
        <v>2352</v>
      </c>
      <c r="B82" s="3">
        <v>42458</v>
      </c>
      <c r="C82" t="s">
        <v>2138</v>
      </c>
      <c r="D82" t="s">
        <v>2139</v>
      </c>
      <c r="E82" t="s">
        <v>2139</v>
      </c>
      <c r="F82">
        <v>33800</v>
      </c>
      <c r="G82" t="s">
        <v>2353</v>
      </c>
      <c r="H82" s="3">
        <v>42458</v>
      </c>
      <c r="I82" t="s">
        <v>2009</v>
      </c>
      <c r="J82">
        <v>30000</v>
      </c>
      <c r="K82" s="1"/>
      <c r="M82" s="3">
        <v>42458</v>
      </c>
      <c r="N82" t="s">
        <v>54</v>
      </c>
      <c r="P82" t="s">
        <v>56</v>
      </c>
      <c r="Q82">
        <v>26700</v>
      </c>
      <c r="R82" s="3">
        <v>42478</v>
      </c>
      <c r="S82" t="s">
        <v>54</v>
      </c>
      <c r="U82" t="s">
        <v>60</v>
      </c>
      <c r="V82">
        <v>2950</v>
      </c>
      <c r="AG82" t="s">
        <v>2354</v>
      </c>
      <c r="AH82" s="3">
        <v>42489</v>
      </c>
      <c r="AI82">
        <v>33800</v>
      </c>
      <c r="AJ82">
        <v>0</v>
      </c>
      <c r="AS82" t="s">
        <v>2355</v>
      </c>
      <c r="AT82" s="3">
        <v>42557</v>
      </c>
      <c r="AU82">
        <v>99372</v>
      </c>
      <c r="AV82">
        <v>0</v>
      </c>
      <c r="AW82">
        <v>2028</v>
      </c>
      <c r="AX82">
        <v>0</v>
      </c>
    </row>
    <row r="83" spans="1:56" hidden="1" x14ac:dyDescent="0.25">
      <c r="A83" t="s">
        <v>2356</v>
      </c>
      <c r="B83" s="3">
        <v>42459</v>
      </c>
      <c r="C83" t="s">
        <v>2138</v>
      </c>
      <c r="D83" t="s">
        <v>2139</v>
      </c>
      <c r="E83" t="s">
        <v>2139</v>
      </c>
      <c r="F83">
        <v>33800</v>
      </c>
      <c r="G83" t="s">
        <v>2357</v>
      </c>
      <c r="H83" s="3">
        <v>42459</v>
      </c>
      <c r="I83" t="s">
        <v>2009</v>
      </c>
      <c r="J83">
        <v>30000</v>
      </c>
      <c r="K83" s="1"/>
      <c r="M83" s="3">
        <v>42459</v>
      </c>
      <c r="N83" t="s">
        <v>57</v>
      </c>
      <c r="P83" t="s">
        <v>56</v>
      </c>
      <c r="Q83">
        <v>26700</v>
      </c>
      <c r="R83" s="3">
        <v>42478</v>
      </c>
      <c r="S83" t="s">
        <v>54</v>
      </c>
      <c r="U83" t="s">
        <v>60</v>
      </c>
      <c r="V83">
        <v>2950</v>
      </c>
      <c r="AG83" t="s">
        <v>2354</v>
      </c>
      <c r="AH83" s="3">
        <v>42489</v>
      </c>
      <c r="AI83">
        <v>33800</v>
      </c>
      <c r="AJ83">
        <v>0</v>
      </c>
      <c r="AS83" s="13" t="s">
        <v>2355</v>
      </c>
      <c r="AT83" s="3">
        <v>42557</v>
      </c>
      <c r="AU83">
        <v>99372</v>
      </c>
      <c r="AV83">
        <v>0</v>
      </c>
      <c r="AW83">
        <v>2028</v>
      </c>
      <c r="AX83">
        <v>0</v>
      </c>
    </row>
    <row r="84" spans="1:56" hidden="1" x14ac:dyDescent="0.25">
      <c r="A84" t="s">
        <v>2358</v>
      </c>
      <c r="B84" s="3">
        <v>42459</v>
      </c>
      <c r="C84" t="s">
        <v>2138</v>
      </c>
      <c r="D84" t="s">
        <v>2139</v>
      </c>
      <c r="E84" t="s">
        <v>2139</v>
      </c>
      <c r="F84">
        <v>33800</v>
      </c>
      <c r="G84" t="s">
        <v>2359</v>
      </c>
      <c r="H84" s="3">
        <v>42459</v>
      </c>
      <c r="I84" t="s">
        <v>2009</v>
      </c>
      <c r="J84">
        <v>30000</v>
      </c>
      <c r="K84" s="1"/>
      <c r="M84" s="3">
        <v>42459</v>
      </c>
      <c r="N84" t="s">
        <v>57</v>
      </c>
      <c r="P84" t="s">
        <v>56</v>
      </c>
      <c r="Q84">
        <v>26700</v>
      </c>
      <c r="R84" s="3">
        <v>42478</v>
      </c>
      <c r="S84" t="s">
        <v>54</v>
      </c>
      <c r="U84" t="s">
        <v>60</v>
      </c>
      <c r="V84">
        <v>2950</v>
      </c>
      <c r="AG84" t="s">
        <v>2354</v>
      </c>
      <c r="AH84" s="3">
        <v>42489</v>
      </c>
      <c r="AI84">
        <v>33800</v>
      </c>
      <c r="AJ84">
        <v>0</v>
      </c>
      <c r="AS84" s="13" t="s">
        <v>2355</v>
      </c>
      <c r="AT84" s="3">
        <v>42557</v>
      </c>
      <c r="AU84">
        <v>99372</v>
      </c>
      <c r="AV84">
        <v>0</v>
      </c>
      <c r="AW84">
        <v>2028</v>
      </c>
      <c r="AX84">
        <v>0</v>
      </c>
    </row>
    <row r="85" spans="1:56" hidden="1" x14ac:dyDescent="0.25">
      <c r="A85" t="s">
        <v>2360</v>
      </c>
      <c r="B85" s="3">
        <v>42485</v>
      </c>
      <c r="C85" t="s">
        <v>2138</v>
      </c>
      <c r="D85" t="s">
        <v>2139</v>
      </c>
      <c r="E85" t="s">
        <v>2139</v>
      </c>
      <c r="F85">
        <v>56500</v>
      </c>
      <c r="G85" t="s">
        <v>2361</v>
      </c>
      <c r="H85" s="3">
        <v>42485</v>
      </c>
      <c r="I85" t="s">
        <v>2009</v>
      </c>
      <c r="J85">
        <v>50000</v>
      </c>
      <c r="K85" s="1"/>
      <c r="M85" s="3">
        <v>42485</v>
      </c>
      <c r="N85" t="s">
        <v>54</v>
      </c>
      <c r="P85" t="s">
        <v>56</v>
      </c>
      <c r="Q85">
        <v>44000</v>
      </c>
      <c r="R85" s="3">
        <v>42503</v>
      </c>
      <c r="S85" t="s">
        <v>54</v>
      </c>
      <c r="U85" t="s">
        <v>60</v>
      </c>
      <c r="V85">
        <v>5500</v>
      </c>
      <c r="AG85" t="s">
        <v>2362</v>
      </c>
      <c r="AH85" s="3">
        <v>42504</v>
      </c>
      <c r="AI85">
        <v>56500</v>
      </c>
      <c r="AJ85">
        <v>0</v>
      </c>
      <c r="AS85" t="s">
        <v>2355</v>
      </c>
      <c r="AT85" s="3">
        <v>42557</v>
      </c>
      <c r="AU85">
        <v>110740</v>
      </c>
      <c r="AV85">
        <v>0</v>
      </c>
      <c r="AW85">
        <v>2260</v>
      </c>
      <c r="AX85">
        <v>0</v>
      </c>
    </row>
    <row r="86" spans="1:56" x14ac:dyDescent="0.25">
      <c r="A86" t="s">
        <v>2363</v>
      </c>
      <c r="B86" s="3">
        <v>42486</v>
      </c>
      <c r="C86" t="s">
        <v>2138</v>
      </c>
      <c r="D86" t="s">
        <v>2139</v>
      </c>
      <c r="E86" t="s">
        <v>2139</v>
      </c>
      <c r="F86">
        <v>56500</v>
      </c>
      <c r="G86" t="s">
        <v>2364</v>
      </c>
      <c r="H86" s="3">
        <v>42486</v>
      </c>
      <c r="I86" t="s">
        <v>2009</v>
      </c>
      <c r="J86">
        <v>50000</v>
      </c>
      <c r="K86" s="1"/>
      <c r="M86" s="3">
        <v>42486</v>
      </c>
      <c r="N86" t="s">
        <v>54</v>
      </c>
      <c r="P86" t="s">
        <v>56</v>
      </c>
      <c r="Q86">
        <v>44100</v>
      </c>
      <c r="R86" s="3">
        <v>42698</v>
      </c>
      <c r="S86" t="s">
        <v>54</v>
      </c>
      <c r="U86" t="s">
        <v>60</v>
      </c>
      <c r="V86">
        <v>4900</v>
      </c>
      <c r="AG86" t="s">
        <v>2365</v>
      </c>
      <c r="AH86" s="3">
        <v>42588</v>
      </c>
      <c r="AI86">
        <v>56500</v>
      </c>
      <c r="AJ86">
        <v>56500</v>
      </c>
    </row>
    <row r="87" spans="1:56" x14ac:dyDescent="0.25">
      <c r="A87" t="s">
        <v>2366</v>
      </c>
      <c r="B87" s="3">
        <v>42487</v>
      </c>
      <c r="C87" t="s">
        <v>2138</v>
      </c>
      <c r="D87" t="s">
        <v>2139</v>
      </c>
      <c r="E87" t="s">
        <v>2139</v>
      </c>
      <c r="F87">
        <v>56500</v>
      </c>
      <c r="G87" t="s">
        <v>2367</v>
      </c>
      <c r="H87" s="3">
        <v>42487</v>
      </c>
      <c r="I87" t="s">
        <v>2009</v>
      </c>
      <c r="J87">
        <v>50000</v>
      </c>
      <c r="K87" s="1"/>
      <c r="M87" s="3">
        <v>42487</v>
      </c>
      <c r="N87" t="s">
        <v>54</v>
      </c>
      <c r="P87" t="s">
        <v>56</v>
      </c>
      <c r="Q87">
        <v>44100</v>
      </c>
      <c r="R87" s="3">
        <v>42514</v>
      </c>
      <c r="S87" t="s">
        <v>54</v>
      </c>
      <c r="U87" t="s">
        <v>60</v>
      </c>
      <c r="V87">
        <v>5500</v>
      </c>
      <c r="AG87" t="s">
        <v>2368</v>
      </c>
      <c r="AH87" s="3">
        <v>42525</v>
      </c>
      <c r="AI87">
        <v>56500</v>
      </c>
      <c r="AJ87">
        <v>3077</v>
      </c>
      <c r="AK87" t="s">
        <v>2369</v>
      </c>
      <c r="AL87" s="3">
        <v>43346</v>
      </c>
      <c r="AM87">
        <v>3077</v>
      </c>
      <c r="AN87">
        <v>0</v>
      </c>
      <c r="AS87" t="s">
        <v>2370</v>
      </c>
      <c r="AT87" s="3">
        <v>43365</v>
      </c>
      <c r="AU87">
        <v>3077</v>
      </c>
      <c r="AV87">
        <v>0</v>
      </c>
      <c r="AW87">
        <v>0</v>
      </c>
      <c r="AX87">
        <v>0</v>
      </c>
      <c r="AY87" t="s">
        <v>2371</v>
      </c>
      <c r="AZ87" s="3">
        <v>43319</v>
      </c>
      <c r="BA87">
        <v>52293</v>
      </c>
      <c r="BB87">
        <v>0</v>
      </c>
      <c r="BC87">
        <v>1130</v>
      </c>
      <c r="BD87">
        <v>3077</v>
      </c>
    </row>
    <row r="88" spans="1:56" hidden="1" x14ac:dyDescent="0.25">
      <c r="A88" t="s">
        <v>2372</v>
      </c>
      <c r="B88" s="3">
        <v>42493</v>
      </c>
      <c r="C88" t="s">
        <v>2138</v>
      </c>
      <c r="D88" t="s">
        <v>2139</v>
      </c>
      <c r="E88" t="s">
        <v>2139</v>
      </c>
      <c r="F88">
        <v>56500</v>
      </c>
      <c r="G88" t="s">
        <v>2373</v>
      </c>
      <c r="H88" s="3">
        <v>42493</v>
      </c>
      <c r="I88" t="s">
        <v>2009</v>
      </c>
      <c r="J88">
        <v>50000</v>
      </c>
      <c r="K88" s="1"/>
      <c r="M88" s="3">
        <v>42493</v>
      </c>
      <c r="N88" t="s">
        <v>54</v>
      </c>
      <c r="P88" t="s">
        <v>56</v>
      </c>
      <c r="Q88">
        <v>44400</v>
      </c>
      <c r="R88" s="3">
        <v>42503</v>
      </c>
      <c r="S88" t="s">
        <v>54</v>
      </c>
      <c r="U88" t="s">
        <v>60</v>
      </c>
      <c r="V88">
        <v>5100</v>
      </c>
      <c r="AG88" t="s">
        <v>2362</v>
      </c>
      <c r="AH88" s="3">
        <v>42504</v>
      </c>
      <c r="AI88">
        <v>56500</v>
      </c>
      <c r="AJ88">
        <v>0</v>
      </c>
      <c r="AS88" s="13" t="s">
        <v>2355</v>
      </c>
      <c r="AT88" s="3">
        <v>42557</v>
      </c>
      <c r="AU88">
        <v>110740</v>
      </c>
      <c r="AV88">
        <v>0</v>
      </c>
      <c r="AW88">
        <v>2260</v>
      </c>
      <c r="AX88">
        <v>0</v>
      </c>
    </row>
    <row r="89" spans="1:56" hidden="1" x14ac:dyDescent="0.25">
      <c r="A89" t="s">
        <v>2374</v>
      </c>
      <c r="B89" s="3">
        <v>42493</v>
      </c>
      <c r="C89" t="s">
        <v>2138</v>
      </c>
      <c r="D89" t="s">
        <v>2139</v>
      </c>
      <c r="E89" t="s">
        <v>2139</v>
      </c>
      <c r="F89">
        <v>27000</v>
      </c>
      <c r="G89" t="s">
        <v>2375</v>
      </c>
      <c r="H89" s="3">
        <v>42493</v>
      </c>
      <c r="I89" t="s">
        <v>2009</v>
      </c>
      <c r="J89">
        <v>24000</v>
      </c>
      <c r="K89" s="1"/>
      <c r="M89" s="3">
        <v>42493</v>
      </c>
      <c r="N89" t="s">
        <v>54</v>
      </c>
      <c r="P89" t="s">
        <v>56</v>
      </c>
      <c r="Q89">
        <v>20700</v>
      </c>
      <c r="R89" s="3">
        <v>42693</v>
      </c>
      <c r="S89" t="s">
        <v>54</v>
      </c>
      <c r="U89" t="s">
        <v>60</v>
      </c>
      <c r="V89">
        <v>2400</v>
      </c>
      <c r="AG89" t="s">
        <v>2376</v>
      </c>
      <c r="AH89" s="3">
        <v>42598</v>
      </c>
      <c r="AI89">
        <v>27000</v>
      </c>
      <c r="AJ89">
        <v>0</v>
      </c>
      <c r="AS89" t="s">
        <v>2377</v>
      </c>
      <c r="AT89" s="3">
        <v>43047</v>
      </c>
      <c r="AU89">
        <v>26460</v>
      </c>
      <c r="AV89">
        <v>0</v>
      </c>
      <c r="AW89">
        <v>540</v>
      </c>
      <c r="AX89">
        <v>0</v>
      </c>
    </row>
    <row r="90" spans="1:56" hidden="1" x14ac:dyDescent="0.25">
      <c r="A90" t="s">
        <v>2378</v>
      </c>
      <c r="B90" s="3">
        <v>42495</v>
      </c>
      <c r="C90" t="s">
        <v>2138</v>
      </c>
      <c r="D90" t="s">
        <v>2139</v>
      </c>
      <c r="E90" t="s">
        <v>2139</v>
      </c>
      <c r="F90">
        <v>17850</v>
      </c>
      <c r="G90" t="s">
        <v>2379</v>
      </c>
      <c r="H90" s="3">
        <v>42495</v>
      </c>
      <c r="I90" t="s">
        <v>290</v>
      </c>
      <c r="J90">
        <v>38250</v>
      </c>
      <c r="K90" s="1"/>
      <c r="M90" s="3">
        <v>42495</v>
      </c>
      <c r="N90" t="s">
        <v>57</v>
      </c>
      <c r="P90" t="s">
        <v>56</v>
      </c>
      <c r="Q90">
        <v>27000</v>
      </c>
      <c r="R90" s="3">
        <v>42500</v>
      </c>
      <c r="S90" t="s">
        <v>54</v>
      </c>
      <c r="U90" t="s">
        <v>60</v>
      </c>
      <c r="V90">
        <v>10750</v>
      </c>
      <c r="AG90" t="s">
        <v>2380</v>
      </c>
      <c r="AH90" s="3">
        <v>42514</v>
      </c>
      <c r="AI90">
        <v>17850</v>
      </c>
      <c r="AJ90">
        <v>0</v>
      </c>
      <c r="AS90" t="s">
        <v>2381</v>
      </c>
      <c r="AT90" s="3">
        <v>42679</v>
      </c>
      <c r="AU90">
        <v>115607.66</v>
      </c>
      <c r="AV90">
        <v>0</v>
      </c>
      <c r="AW90">
        <v>2359.34</v>
      </c>
      <c r="AX90">
        <v>0</v>
      </c>
    </row>
    <row r="91" spans="1:56" hidden="1" x14ac:dyDescent="0.25">
      <c r="A91" t="s">
        <v>2382</v>
      </c>
      <c r="B91" s="3">
        <v>42494</v>
      </c>
      <c r="C91" t="s">
        <v>2138</v>
      </c>
      <c r="D91" t="s">
        <v>2139</v>
      </c>
      <c r="E91" t="s">
        <v>2139</v>
      </c>
      <c r="F91">
        <v>17850</v>
      </c>
      <c r="G91" t="s">
        <v>2383</v>
      </c>
      <c r="H91" s="3">
        <v>42496</v>
      </c>
      <c r="I91" t="s">
        <v>290</v>
      </c>
      <c r="J91">
        <v>38330</v>
      </c>
      <c r="K91" s="1"/>
      <c r="M91" s="3">
        <v>42496</v>
      </c>
      <c r="N91" t="s">
        <v>57</v>
      </c>
      <c r="P91" t="s">
        <v>56</v>
      </c>
      <c r="Q91">
        <v>27000</v>
      </c>
      <c r="R91" s="3">
        <v>42500</v>
      </c>
      <c r="S91" t="s">
        <v>54</v>
      </c>
      <c r="U91" t="s">
        <v>60</v>
      </c>
      <c r="V91">
        <v>10830</v>
      </c>
      <c r="AG91" t="s">
        <v>2380</v>
      </c>
      <c r="AH91" s="3">
        <v>42514</v>
      </c>
      <c r="AI91">
        <v>17850</v>
      </c>
      <c r="AJ91">
        <v>0</v>
      </c>
      <c r="AS91" s="13" t="s">
        <v>2381</v>
      </c>
      <c r="AT91" s="3">
        <v>42679</v>
      </c>
      <c r="AU91">
        <v>115607.66</v>
      </c>
      <c r="AV91">
        <v>0</v>
      </c>
      <c r="AW91">
        <v>2359.34</v>
      </c>
      <c r="AX91">
        <v>0</v>
      </c>
    </row>
    <row r="92" spans="1:56" hidden="1" x14ac:dyDescent="0.25">
      <c r="A92" t="s">
        <v>2384</v>
      </c>
      <c r="B92" s="3">
        <v>42494</v>
      </c>
      <c r="C92" t="s">
        <v>2138</v>
      </c>
      <c r="D92" t="s">
        <v>2139</v>
      </c>
      <c r="E92" t="s">
        <v>2139</v>
      </c>
      <c r="F92">
        <v>17619</v>
      </c>
      <c r="G92" t="s">
        <v>2385</v>
      </c>
      <c r="H92" s="3">
        <v>42496</v>
      </c>
      <c r="I92" t="s">
        <v>290</v>
      </c>
      <c r="J92">
        <v>39350</v>
      </c>
      <c r="K92" s="1"/>
      <c r="M92" s="3">
        <v>42496</v>
      </c>
      <c r="N92" t="s">
        <v>57</v>
      </c>
      <c r="P92" t="s">
        <v>56</v>
      </c>
      <c r="Q92">
        <v>27000</v>
      </c>
      <c r="R92" s="3">
        <v>42513</v>
      </c>
      <c r="S92" t="s">
        <v>54</v>
      </c>
      <c r="U92" t="s">
        <v>60</v>
      </c>
      <c r="V92">
        <v>11750</v>
      </c>
      <c r="AG92" t="s">
        <v>2380</v>
      </c>
      <c r="AH92" s="3">
        <v>42514</v>
      </c>
      <c r="AI92">
        <v>17619</v>
      </c>
      <c r="AJ92">
        <v>0</v>
      </c>
      <c r="AS92" s="13" t="s">
        <v>2381</v>
      </c>
      <c r="AT92" s="3">
        <v>42679</v>
      </c>
      <c r="AU92">
        <v>115607.66</v>
      </c>
      <c r="AV92">
        <v>0</v>
      </c>
      <c r="AW92">
        <v>2359.34</v>
      </c>
      <c r="AX92">
        <v>0</v>
      </c>
    </row>
    <row r="93" spans="1:56" hidden="1" x14ac:dyDescent="0.25">
      <c r="A93" t="s">
        <v>2386</v>
      </c>
      <c r="B93" s="3">
        <v>42499</v>
      </c>
      <c r="C93" t="s">
        <v>2138</v>
      </c>
      <c r="D93" t="s">
        <v>2139</v>
      </c>
      <c r="E93" t="s">
        <v>2139</v>
      </c>
      <c r="F93">
        <v>14000</v>
      </c>
      <c r="G93" t="s">
        <v>2387</v>
      </c>
      <c r="H93" s="3">
        <v>42499</v>
      </c>
      <c r="I93" t="s">
        <v>502</v>
      </c>
      <c r="J93">
        <v>12000</v>
      </c>
      <c r="K93" s="1"/>
      <c r="M93" s="3">
        <v>42499</v>
      </c>
      <c r="N93" t="s">
        <v>57</v>
      </c>
      <c r="P93" t="s">
        <v>56</v>
      </c>
      <c r="Q93">
        <v>9000</v>
      </c>
      <c r="R93" s="3">
        <v>42514</v>
      </c>
      <c r="S93" t="s">
        <v>54</v>
      </c>
      <c r="U93" t="s">
        <v>60</v>
      </c>
      <c r="V93">
        <v>2700</v>
      </c>
      <c r="AG93" t="s">
        <v>2388</v>
      </c>
      <c r="AH93" s="3">
        <v>42510</v>
      </c>
      <c r="AI93">
        <v>14000</v>
      </c>
      <c r="AJ93">
        <v>0</v>
      </c>
      <c r="AS93" t="s">
        <v>2381</v>
      </c>
      <c r="AT93" s="3">
        <v>42679</v>
      </c>
      <c r="AU93">
        <v>13720</v>
      </c>
      <c r="AV93">
        <v>0</v>
      </c>
      <c r="AW93">
        <v>280</v>
      </c>
      <c r="AX93">
        <v>0</v>
      </c>
    </row>
    <row r="94" spans="1:56" hidden="1" x14ac:dyDescent="0.25">
      <c r="A94" t="s">
        <v>2389</v>
      </c>
      <c r="B94" s="3">
        <v>42500</v>
      </c>
      <c r="C94" t="s">
        <v>2138</v>
      </c>
      <c r="D94" t="s">
        <v>2139</v>
      </c>
      <c r="E94" t="s">
        <v>2139</v>
      </c>
      <c r="F94">
        <v>23310</v>
      </c>
      <c r="G94" t="s">
        <v>2390</v>
      </c>
      <c r="H94" s="3">
        <v>42500</v>
      </c>
      <c r="I94" t="s">
        <v>2391</v>
      </c>
      <c r="J94">
        <v>42400</v>
      </c>
      <c r="K94" s="1"/>
      <c r="M94" s="3">
        <v>42503</v>
      </c>
      <c r="N94" t="s">
        <v>54</v>
      </c>
      <c r="P94" t="s">
        <v>60</v>
      </c>
      <c r="Q94">
        <v>41800</v>
      </c>
      <c r="AG94" t="s">
        <v>2380</v>
      </c>
      <c r="AH94" s="3">
        <v>42514</v>
      </c>
      <c r="AI94">
        <v>23310</v>
      </c>
      <c r="AJ94">
        <v>0</v>
      </c>
      <c r="AS94" s="13" t="s">
        <v>2381</v>
      </c>
      <c r="AT94" s="3">
        <v>42679</v>
      </c>
      <c r="AU94">
        <v>115607.66</v>
      </c>
      <c r="AV94">
        <v>0</v>
      </c>
      <c r="AW94">
        <v>2359.34</v>
      </c>
      <c r="AX94">
        <v>0</v>
      </c>
    </row>
    <row r="95" spans="1:56" hidden="1" x14ac:dyDescent="0.25">
      <c r="A95" t="s">
        <v>2392</v>
      </c>
      <c r="B95" s="3">
        <v>42500</v>
      </c>
      <c r="C95" t="s">
        <v>2138</v>
      </c>
      <c r="D95" t="s">
        <v>2139</v>
      </c>
      <c r="E95" t="s">
        <v>2139</v>
      </c>
      <c r="F95">
        <v>24538</v>
      </c>
      <c r="G95" t="s">
        <v>2393</v>
      </c>
      <c r="H95" s="3">
        <v>42500</v>
      </c>
      <c r="I95" t="s">
        <v>2391</v>
      </c>
      <c r="J95">
        <v>47770</v>
      </c>
      <c r="K95" s="1"/>
      <c r="M95" s="3">
        <v>42503</v>
      </c>
      <c r="N95" t="s">
        <v>54</v>
      </c>
      <c r="P95" t="s">
        <v>60</v>
      </c>
      <c r="Q95">
        <v>47170</v>
      </c>
      <c r="AG95" t="s">
        <v>2380</v>
      </c>
      <c r="AH95" s="3">
        <v>42514</v>
      </c>
      <c r="AI95">
        <v>24538</v>
      </c>
      <c r="AJ95">
        <v>0</v>
      </c>
      <c r="AS95" s="13" t="s">
        <v>2381</v>
      </c>
      <c r="AT95" s="3">
        <v>42679</v>
      </c>
      <c r="AU95">
        <v>115607.66</v>
      </c>
      <c r="AV95">
        <v>0</v>
      </c>
      <c r="AW95">
        <v>2359.34</v>
      </c>
      <c r="AX95">
        <v>0</v>
      </c>
    </row>
    <row r="96" spans="1:56" hidden="1" x14ac:dyDescent="0.25">
      <c r="A96" t="s">
        <v>2394</v>
      </c>
      <c r="B96" s="3">
        <v>42500</v>
      </c>
      <c r="C96" t="s">
        <v>2138</v>
      </c>
      <c r="D96" t="s">
        <v>2139</v>
      </c>
      <c r="E96" t="s">
        <v>2139</v>
      </c>
      <c r="F96">
        <v>16800</v>
      </c>
      <c r="G96" t="s">
        <v>2395</v>
      </c>
      <c r="H96" s="3">
        <v>42500</v>
      </c>
      <c r="I96" t="s">
        <v>91</v>
      </c>
      <c r="J96">
        <v>33000</v>
      </c>
      <c r="K96" s="1"/>
      <c r="M96" s="3">
        <v>42500</v>
      </c>
      <c r="N96" t="s">
        <v>57</v>
      </c>
      <c r="P96" t="s">
        <v>56</v>
      </c>
      <c r="Q96">
        <v>27000</v>
      </c>
      <c r="R96" s="3">
        <v>42515</v>
      </c>
      <c r="S96" t="s">
        <v>54</v>
      </c>
      <c r="U96" t="s">
        <v>60</v>
      </c>
      <c r="V96">
        <v>4900</v>
      </c>
      <c r="AG96" t="s">
        <v>2380</v>
      </c>
      <c r="AH96" s="3">
        <v>42514</v>
      </c>
      <c r="AI96">
        <v>16800</v>
      </c>
      <c r="AJ96">
        <v>0</v>
      </c>
      <c r="AS96" s="13" t="s">
        <v>2381</v>
      </c>
      <c r="AT96" s="3">
        <v>42679</v>
      </c>
      <c r="AU96">
        <v>115607.66</v>
      </c>
      <c r="AV96">
        <v>0</v>
      </c>
      <c r="AW96">
        <v>2359.34</v>
      </c>
      <c r="AX96">
        <v>0</v>
      </c>
    </row>
    <row r="97" spans="1:56" hidden="1" x14ac:dyDescent="0.25">
      <c r="A97" t="s">
        <v>2396</v>
      </c>
      <c r="B97" s="3">
        <v>42511</v>
      </c>
      <c r="C97" t="s">
        <v>2138</v>
      </c>
      <c r="D97" t="s">
        <v>2139</v>
      </c>
      <c r="E97" t="s">
        <v>2139</v>
      </c>
      <c r="F97">
        <v>13000</v>
      </c>
      <c r="G97" t="s">
        <v>2397</v>
      </c>
      <c r="H97" s="3">
        <v>42511</v>
      </c>
      <c r="I97" t="s">
        <v>502</v>
      </c>
      <c r="J97">
        <v>11500</v>
      </c>
      <c r="K97" s="1"/>
      <c r="M97" s="3">
        <v>42511</v>
      </c>
      <c r="N97" t="s">
        <v>57</v>
      </c>
      <c r="P97" t="s">
        <v>56</v>
      </c>
      <c r="Q97">
        <v>10000</v>
      </c>
      <c r="R97" s="3">
        <v>42538</v>
      </c>
      <c r="S97" t="s">
        <v>54</v>
      </c>
      <c r="U97" t="s">
        <v>60</v>
      </c>
      <c r="V97">
        <v>1270</v>
      </c>
      <c r="AG97" t="s">
        <v>2398</v>
      </c>
      <c r="AH97" s="3">
        <v>42521</v>
      </c>
      <c r="AI97">
        <v>13000</v>
      </c>
      <c r="AJ97">
        <v>0</v>
      </c>
      <c r="AS97" t="s">
        <v>2381</v>
      </c>
      <c r="AT97" s="3">
        <v>42679</v>
      </c>
      <c r="AU97">
        <v>12740</v>
      </c>
      <c r="AV97">
        <v>0</v>
      </c>
      <c r="AW97">
        <v>260</v>
      </c>
      <c r="AX97">
        <v>0</v>
      </c>
    </row>
    <row r="98" spans="1:56" x14ac:dyDescent="0.25">
      <c r="A98" t="s">
        <v>2399</v>
      </c>
      <c r="B98" s="3">
        <v>42515</v>
      </c>
      <c r="C98" t="s">
        <v>2138</v>
      </c>
      <c r="D98" t="s">
        <v>2139</v>
      </c>
      <c r="E98" t="s">
        <v>2139</v>
      </c>
      <c r="F98">
        <v>13000</v>
      </c>
      <c r="G98" t="s">
        <v>2400</v>
      </c>
      <c r="H98" s="3">
        <v>42515</v>
      </c>
      <c r="I98" t="s">
        <v>2009</v>
      </c>
      <c r="J98">
        <v>11000</v>
      </c>
      <c r="K98" s="1"/>
      <c r="M98" s="3">
        <v>42515</v>
      </c>
      <c r="N98" t="s">
        <v>54</v>
      </c>
      <c r="P98" t="s">
        <v>56</v>
      </c>
      <c r="Q98">
        <v>9200</v>
      </c>
      <c r="R98" s="3">
        <v>42536</v>
      </c>
      <c r="S98" t="s">
        <v>54</v>
      </c>
      <c r="U98" t="s">
        <v>60</v>
      </c>
      <c r="V98">
        <v>1450</v>
      </c>
      <c r="AG98" t="s">
        <v>2401</v>
      </c>
      <c r="AH98" s="3">
        <v>42537</v>
      </c>
      <c r="AI98">
        <v>13000</v>
      </c>
      <c r="AJ98">
        <v>13000</v>
      </c>
    </row>
    <row r="99" spans="1:56" hidden="1" x14ac:dyDescent="0.25">
      <c r="A99" t="s">
        <v>2402</v>
      </c>
      <c r="B99" s="3">
        <v>42516</v>
      </c>
      <c r="C99" t="s">
        <v>2138</v>
      </c>
      <c r="D99" t="s">
        <v>2139</v>
      </c>
      <c r="E99" t="s">
        <v>2139</v>
      </c>
      <c r="F99">
        <v>22500</v>
      </c>
      <c r="G99" t="s">
        <v>2403</v>
      </c>
      <c r="H99" s="3">
        <v>42516</v>
      </c>
      <c r="I99" t="s">
        <v>2009</v>
      </c>
      <c r="J99">
        <v>19000</v>
      </c>
      <c r="K99" s="1"/>
      <c r="M99" s="3">
        <v>42516</v>
      </c>
      <c r="N99" t="s">
        <v>54</v>
      </c>
      <c r="P99" t="s">
        <v>56</v>
      </c>
      <c r="Q99">
        <v>16700</v>
      </c>
      <c r="R99" s="3">
        <v>42539</v>
      </c>
      <c r="S99" t="s">
        <v>54</v>
      </c>
      <c r="U99" t="s">
        <v>60</v>
      </c>
      <c r="V99">
        <v>1950</v>
      </c>
      <c r="AG99" t="s">
        <v>2404</v>
      </c>
      <c r="AH99" s="3">
        <v>42537</v>
      </c>
      <c r="AI99">
        <v>22500</v>
      </c>
      <c r="AJ99">
        <v>0</v>
      </c>
      <c r="AS99" t="s">
        <v>2351</v>
      </c>
      <c r="AT99" s="3">
        <v>42693</v>
      </c>
      <c r="AU99">
        <v>22050</v>
      </c>
      <c r="AV99">
        <v>0</v>
      </c>
      <c r="AW99">
        <v>450</v>
      </c>
      <c r="AX99">
        <v>0</v>
      </c>
    </row>
    <row r="100" spans="1:56" hidden="1" x14ac:dyDescent="0.25">
      <c r="A100" t="s">
        <v>2405</v>
      </c>
      <c r="B100" s="3">
        <v>42521</v>
      </c>
      <c r="C100" t="s">
        <v>2138</v>
      </c>
      <c r="D100" t="s">
        <v>2139</v>
      </c>
      <c r="E100" t="s">
        <v>2139</v>
      </c>
      <c r="F100">
        <v>9500</v>
      </c>
      <c r="G100" t="s">
        <v>2406</v>
      </c>
      <c r="H100" s="3">
        <v>42521</v>
      </c>
      <c r="I100" t="s">
        <v>290</v>
      </c>
      <c r="J100">
        <v>8000</v>
      </c>
      <c r="K100" s="1"/>
      <c r="M100" s="3">
        <v>42521</v>
      </c>
      <c r="N100" t="s">
        <v>57</v>
      </c>
      <c r="P100" t="s">
        <v>56</v>
      </c>
      <c r="Q100">
        <v>6200</v>
      </c>
      <c r="R100" s="3">
        <v>42538</v>
      </c>
      <c r="S100" t="s">
        <v>54</v>
      </c>
      <c r="U100" t="s">
        <v>60</v>
      </c>
      <c r="V100">
        <v>1650</v>
      </c>
      <c r="AG100" t="s">
        <v>2407</v>
      </c>
      <c r="AH100" s="3">
        <v>42537</v>
      </c>
      <c r="AI100">
        <v>9500</v>
      </c>
      <c r="AJ100">
        <v>0</v>
      </c>
      <c r="AS100" t="s">
        <v>2408</v>
      </c>
      <c r="AT100" s="3">
        <v>42926</v>
      </c>
      <c r="AU100">
        <v>9310</v>
      </c>
      <c r="AV100">
        <v>0</v>
      </c>
      <c r="AW100">
        <v>190</v>
      </c>
      <c r="AX100">
        <v>0</v>
      </c>
    </row>
    <row r="101" spans="1:56" hidden="1" x14ac:dyDescent="0.25">
      <c r="A101" t="s">
        <v>2409</v>
      </c>
      <c r="B101" s="3">
        <v>42530</v>
      </c>
      <c r="C101" t="s">
        <v>2138</v>
      </c>
      <c r="D101" t="s">
        <v>2139</v>
      </c>
      <c r="E101" t="s">
        <v>2139</v>
      </c>
      <c r="F101">
        <v>9500</v>
      </c>
      <c r="G101" t="s">
        <v>2410</v>
      </c>
      <c r="H101" s="3">
        <v>42530</v>
      </c>
      <c r="I101" t="s">
        <v>290</v>
      </c>
      <c r="J101">
        <v>8000</v>
      </c>
      <c r="K101" s="1"/>
      <c r="M101" s="3">
        <v>42530</v>
      </c>
      <c r="N101" t="s">
        <v>57</v>
      </c>
      <c r="P101" t="s">
        <v>56</v>
      </c>
      <c r="Q101">
        <v>6500</v>
      </c>
      <c r="R101" s="3">
        <v>42558</v>
      </c>
      <c r="S101" t="s">
        <v>57</v>
      </c>
      <c r="U101" t="s">
        <v>60</v>
      </c>
      <c r="V101">
        <v>1300</v>
      </c>
      <c r="AG101" t="s">
        <v>2411</v>
      </c>
      <c r="AH101" s="3">
        <v>42558</v>
      </c>
      <c r="AI101">
        <v>9500</v>
      </c>
      <c r="AJ101">
        <v>0</v>
      </c>
      <c r="AS101" t="s">
        <v>2412</v>
      </c>
      <c r="AT101" s="3">
        <v>42825</v>
      </c>
      <c r="AU101">
        <v>9310</v>
      </c>
      <c r="AV101">
        <v>0</v>
      </c>
      <c r="AW101">
        <v>190</v>
      </c>
      <c r="AX101">
        <v>0</v>
      </c>
    </row>
    <row r="102" spans="1:56" x14ac:dyDescent="0.25">
      <c r="A102" t="s">
        <v>2413</v>
      </c>
      <c r="B102" s="3">
        <v>42543</v>
      </c>
      <c r="C102" t="s">
        <v>2138</v>
      </c>
      <c r="D102" t="s">
        <v>2139</v>
      </c>
      <c r="E102" t="s">
        <v>2139</v>
      </c>
      <c r="F102">
        <v>14000</v>
      </c>
      <c r="G102" t="s">
        <v>2414</v>
      </c>
      <c r="H102" s="3">
        <v>42543</v>
      </c>
      <c r="I102" t="s">
        <v>290</v>
      </c>
      <c r="J102">
        <v>12000</v>
      </c>
      <c r="K102" s="1"/>
      <c r="M102" s="3">
        <v>42543</v>
      </c>
      <c r="N102" t="s">
        <v>57</v>
      </c>
      <c r="P102" t="s">
        <v>56</v>
      </c>
      <c r="Q102">
        <v>9800</v>
      </c>
      <c r="R102" s="3">
        <v>42559</v>
      </c>
      <c r="S102" t="s">
        <v>54</v>
      </c>
      <c r="U102" t="s">
        <v>60</v>
      </c>
      <c r="V102">
        <v>1950</v>
      </c>
      <c r="AG102" t="s">
        <v>2415</v>
      </c>
      <c r="AH102" s="3">
        <v>42558</v>
      </c>
      <c r="AI102">
        <v>14000</v>
      </c>
      <c r="AJ102">
        <v>1000</v>
      </c>
      <c r="AK102" t="s">
        <v>2416</v>
      </c>
      <c r="AL102" s="3">
        <v>42825</v>
      </c>
      <c r="AM102">
        <v>1000</v>
      </c>
      <c r="AN102">
        <v>0</v>
      </c>
      <c r="AS102" t="s">
        <v>2412</v>
      </c>
      <c r="AT102" s="3">
        <v>42825</v>
      </c>
      <c r="AU102">
        <v>12740</v>
      </c>
      <c r="AV102">
        <v>0</v>
      </c>
      <c r="AW102">
        <v>260</v>
      </c>
      <c r="AX102">
        <v>1000</v>
      </c>
      <c r="AY102" t="s">
        <v>2417</v>
      </c>
      <c r="AZ102" s="3">
        <v>42825</v>
      </c>
      <c r="BA102">
        <v>1000</v>
      </c>
      <c r="BB102">
        <v>0</v>
      </c>
      <c r="BC102">
        <v>0</v>
      </c>
      <c r="BD102">
        <v>0</v>
      </c>
    </row>
    <row r="103" spans="1:56" hidden="1" x14ac:dyDescent="0.25">
      <c r="A103" t="s">
        <v>2418</v>
      </c>
      <c r="B103" s="3">
        <v>42544</v>
      </c>
      <c r="C103" t="s">
        <v>2138</v>
      </c>
      <c r="D103" t="s">
        <v>2139</v>
      </c>
      <c r="E103" t="s">
        <v>2139</v>
      </c>
      <c r="F103">
        <v>12300</v>
      </c>
      <c r="G103" t="s">
        <v>2419</v>
      </c>
      <c r="H103" s="3">
        <v>42544</v>
      </c>
      <c r="I103" t="s">
        <v>2009</v>
      </c>
      <c r="J103">
        <v>11000</v>
      </c>
      <c r="K103" s="1"/>
      <c r="M103" s="3">
        <v>42545</v>
      </c>
      <c r="N103" t="s">
        <v>57</v>
      </c>
      <c r="P103" t="s">
        <v>56</v>
      </c>
      <c r="Q103">
        <v>9800</v>
      </c>
      <c r="R103" s="3">
        <v>42571</v>
      </c>
      <c r="S103" t="s">
        <v>54</v>
      </c>
      <c r="U103" t="s">
        <v>60</v>
      </c>
      <c r="V103">
        <v>970</v>
      </c>
      <c r="AG103" t="s">
        <v>2420</v>
      </c>
      <c r="AH103" s="3">
        <v>42570</v>
      </c>
      <c r="AI103">
        <v>12300</v>
      </c>
      <c r="AJ103">
        <v>0</v>
      </c>
      <c r="AS103" t="s">
        <v>2421</v>
      </c>
      <c r="AT103" s="3">
        <v>42779</v>
      </c>
      <c r="AU103">
        <v>12054</v>
      </c>
      <c r="AV103">
        <v>0</v>
      </c>
      <c r="AW103">
        <v>246</v>
      </c>
      <c r="AX103">
        <v>0</v>
      </c>
    </row>
    <row r="104" spans="1:56" hidden="1" x14ac:dyDescent="0.25">
      <c r="A104" t="s">
        <v>2422</v>
      </c>
      <c r="B104" s="3">
        <v>42550</v>
      </c>
      <c r="C104" t="s">
        <v>2138</v>
      </c>
      <c r="D104" t="s">
        <v>2139</v>
      </c>
      <c r="E104" t="s">
        <v>2139</v>
      </c>
      <c r="F104">
        <v>7000</v>
      </c>
      <c r="G104" t="s">
        <v>2423</v>
      </c>
      <c r="H104" s="3">
        <v>42550</v>
      </c>
      <c r="I104" t="s">
        <v>230</v>
      </c>
      <c r="J104">
        <v>5500</v>
      </c>
      <c r="K104" s="1"/>
      <c r="M104" s="3">
        <v>42550</v>
      </c>
      <c r="N104" t="s">
        <v>57</v>
      </c>
      <c r="P104" t="s">
        <v>56</v>
      </c>
      <c r="Q104">
        <v>4900</v>
      </c>
      <c r="R104" s="3">
        <v>42577</v>
      </c>
      <c r="S104" t="s">
        <v>57</v>
      </c>
      <c r="U104" t="s">
        <v>60</v>
      </c>
      <c r="V104">
        <v>470</v>
      </c>
      <c r="AG104" t="s">
        <v>2424</v>
      </c>
      <c r="AH104" s="3">
        <v>42570</v>
      </c>
      <c r="AI104">
        <v>7000</v>
      </c>
      <c r="AJ104">
        <v>0</v>
      </c>
      <c r="AS104" t="s">
        <v>2425</v>
      </c>
      <c r="AT104" s="3">
        <v>42662</v>
      </c>
      <c r="AU104">
        <v>6860</v>
      </c>
      <c r="AV104">
        <v>0</v>
      </c>
      <c r="AW104">
        <v>140</v>
      </c>
      <c r="AX104">
        <v>0</v>
      </c>
    </row>
    <row r="105" spans="1:56" hidden="1" x14ac:dyDescent="0.25">
      <c r="A105" t="s">
        <v>2426</v>
      </c>
      <c r="B105" s="3">
        <v>42555</v>
      </c>
      <c r="C105" t="s">
        <v>2138</v>
      </c>
      <c r="D105" t="s">
        <v>2139</v>
      </c>
      <c r="E105" t="s">
        <v>2139</v>
      </c>
      <c r="F105">
        <v>14000</v>
      </c>
      <c r="G105" t="s">
        <v>2427</v>
      </c>
      <c r="H105" s="3">
        <v>42555</v>
      </c>
      <c r="I105" t="s">
        <v>290</v>
      </c>
      <c r="J105">
        <v>12500</v>
      </c>
      <c r="K105" s="1"/>
      <c r="M105" s="3">
        <v>42555</v>
      </c>
      <c r="N105" t="s">
        <v>57</v>
      </c>
      <c r="P105" t="s">
        <v>56</v>
      </c>
      <c r="Q105">
        <v>10000</v>
      </c>
      <c r="R105" s="3">
        <v>42623</v>
      </c>
      <c r="S105" t="s">
        <v>57</v>
      </c>
      <c r="U105" t="s">
        <v>60</v>
      </c>
      <c r="V105">
        <v>2200</v>
      </c>
      <c r="AG105" t="s">
        <v>2428</v>
      </c>
      <c r="AH105" s="3">
        <v>42613</v>
      </c>
      <c r="AI105">
        <v>14000</v>
      </c>
      <c r="AJ105">
        <v>0</v>
      </c>
      <c r="AS105" t="s">
        <v>2408</v>
      </c>
      <c r="AT105" s="3">
        <v>42926</v>
      </c>
      <c r="AU105">
        <v>13720</v>
      </c>
      <c r="AV105">
        <v>0</v>
      </c>
      <c r="AW105">
        <v>280</v>
      </c>
      <c r="AX105">
        <v>0</v>
      </c>
    </row>
    <row r="106" spans="1:56" hidden="1" x14ac:dyDescent="0.25">
      <c r="A106" t="s">
        <v>2429</v>
      </c>
      <c r="B106" s="3">
        <v>42560</v>
      </c>
      <c r="C106" t="s">
        <v>2138</v>
      </c>
      <c r="D106" t="s">
        <v>2139</v>
      </c>
      <c r="E106" t="s">
        <v>2139</v>
      </c>
      <c r="F106">
        <v>14000</v>
      </c>
      <c r="G106" t="s">
        <v>2430</v>
      </c>
      <c r="H106" s="3">
        <v>42560</v>
      </c>
      <c r="I106" t="s">
        <v>290</v>
      </c>
      <c r="J106">
        <v>12000</v>
      </c>
      <c r="K106" s="1"/>
      <c r="M106" s="3">
        <v>42560</v>
      </c>
      <c r="N106" t="s">
        <v>57</v>
      </c>
      <c r="P106" t="s">
        <v>56</v>
      </c>
      <c r="Q106">
        <v>9000</v>
      </c>
      <c r="R106" s="3">
        <v>42581</v>
      </c>
      <c r="S106" t="s">
        <v>54</v>
      </c>
      <c r="U106" t="s">
        <v>60</v>
      </c>
      <c r="V106">
        <v>2700</v>
      </c>
      <c r="AG106" t="s">
        <v>2431</v>
      </c>
      <c r="AH106" s="3">
        <v>42599</v>
      </c>
      <c r="AI106">
        <v>14000</v>
      </c>
      <c r="AJ106">
        <v>0</v>
      </c>
      <c r="AS106" t="s">
        <v>2408</v>
      </c>
      <c r="AT106" s="3">
        <v>42926</v>
      </c>
      <c r="AU106">
        <v>13720</v>
      </c>
      <c r="AV106">
        <v>0</v>
      </c>
      <c r="AW106">
        <v>280</v>
      </c>
      <c r="AX106">
        <v>0</v>
      </c>
    </row>
    <row r="107" spans="1:56" hidden="1" x14ac:dyDescent="0.25">
      <c r="A107" t="s">
        <v>2432</v>
      </c>
      <c r="B107" s="3">
        <v>42565</v>
      </c>
      <c r="C107" t="s">
        <v>2138</v>
      </c>
      <c r="D107" t="s">
        <v>2139</v>
      </c>
      <c r="E107" t="s">
        <v>2139</v>
      </c>
      <c r="F107">
        <v>28000</v>
      </c>
      <c r="G107" t="s">
        <v>2433</v>
      </c>
      <c r="H107" s="3">
        <v>42565</v>
      </c>
      <c r="I107" t="s">
        <v>2434</v>
      </c>
      <c r="J107">
        <v>24000</v>
      </c>
      <c r="K107" s="1"/>
      <c r="M107" s="3">
        <v>42565</v>
      </c>
      <c r="N107" t="s">
        <v>57</v>
      </c>
      <c r="P107" t="s">
        <v>56</v>
      </c>
      <c r="Q107">
        <v>16000</v>
      </c>
      <c r="R107" s="3">
        <v>42646</v>
      </c>
      <c r="S107" t="s">
        <v>54</v>
      </c>
      <c r="U107" t="s">
        <v>60</v>
      </c>
      <c r="V107">
        <v>7400</v>
      </c>
      <c r="AG107" t="s">
        <v>2435</v>
      </c>
      <c r="AH107" s="3">
        <v>42613</v>
      </c>
      <c r="AI107">
        <v>28000</v>
      </c>
      <c r="AJ107">
        <v>0</v>
      </c>
      <c r="AS107" t="s">
        <v>2337</v>
      </c>
      <c r="AT107" s="3">
        <v>42920</v>
      </c>
      <c r="AU107">
        <v>27440</v>
      </c>
      <c r="AV107">
        <v>0</v>
      </c>
      <c r="AW107">
        <v>560</v>
      </c>
      <c r="AX107">
        <v>0</v>
      </c>
    </row>
    <row r="108" spans="1:56" x14ac:dyDescent="0.25">
      <c r="A108" t="s">
        <v>2436</v>
      </c>
      <c r="B108" s="3">
        <v>42567</v>
      </c>
      <c r="C108" t="s">
        <v>2138</v>
      </c>
      <c r="D108" t="s">
        <v>2139</v>
      </c>
      <c r="E108" t="s">
        <v>2139</v>
      </c>
      <c r="F108">
        <v>50000</v>
      </c>
      <c r="G108" t="s">
        <v>2437</v>
      </c>
      <c r="H108" s="3">
        <v>42567</v>
      </c>
      <c r="I108" t="s">
        <v>2434</v>
      </c>
      <c r="J108">
        <v>44000</v>
      </c>
      <c r="K108" s="1"/>
      <c r="M108" s="3">
        <v>42567</v>
      </c>
      <c r="N108" t="s">
        <v>57</v>
      </c>
      <c r="P108" t="s">
        <v>56</v>
      </c>
      <c r="Q108">
        <v>25000</v>
      </c>
      <c r="R108" s="3">
        <v>42679</v>
      </c>
      <c r="S108" t="s">
        <v>54</v>
      </c>
      <c r="U108" t="s">
        <v>60</v>
      </c>
      <c r="V108">
        <v>18200</v>
      </c>
      <c r="AG108" t="s">
        <v>2438</v>
      </c>
      <c r="AH108" s="3">
        <v>42613</v>
      </c>
      <c r="AI108">
        <v>50000</v>
      </c>
      <c r="AJ108">
        <v>50000</v>
      </c>
    </row>
    <row r="109" spans="1:56" hidden="1" x14ac:dyDescent="0.25">
      <c r="A109" t="s">
        <v>2439</v>
      </c>
      <c r="B109" s="3">
        <v>42572</v>
      </c>
      <c r="C109" t="s">
        <v>2138</v>
      </c>
      <c r="D109" t="s">
        <v>2139</v>
      </c>
      <c r="E109" t="s">
        <v>2139</v>
      </c>
      <c r="F109">
        <v>50000</v>
      </c>
      <c r="G109" t="s">
        <v>2440</v>
      </c>
      <c r="H109" s="3">
        <v>42572</v>
      </c>
      <c r="I109" t="s">
        <v>2434</v>
      </c>
      <c r="J109">
        <v>44000</v>
      </c>
      <c r="K109" s="1"/>
      <c r="M109" s="3">
        <v>42572</v>
      </c>
      <c r="N109" t="s">
        <v>57</v>
      </c>
      <c r="P109" t="s">
        <v>56</v>
      </c>
      <c r="Q109">
        <v>27500</v>
      </c>
      <c r="R109" s="3">
        <v>42646</v>
      </c>
      <c r="S109" t="s">
        <v>54</v>
      </c>
      <c r="U109" t="s">
        <v>60</v>
      </c>
      <c r="V109">
        <v>15800</v>
      </c>
      <c r="AG109" t="s">
        <v>2441</v>
      </c>
      <c r="AH109" s="3">
        <v>42613</v>
      </c>
      <c r="AI109">
        <v>50000</v>
      </c>
      <c r="AJ109">
        <v>0</v>
      </c>
      <c r="AS109" t="s">
        <v>2337</v>
      </c>
      <c r="AT109" s="3">
        <v>42920</v>
      </c>
      <c r="AU109">
        <v>49000</v>
      </c>
      <c r="AV109">
        <v>0</v>
      </c>
      <c r="AW109">
        <v>1000</v>
      </c>
      <c r="AX109">
        <v>0</v>
      </c>
    </row>
    <row r="110" spans="1:56" hidden="1" x14ac:dyDescent="0.25">
      <c r="A110" t="s">
        <v>2442</v>
      </c>
      <c r="B110" s="3">
        <v>42573</v>
      </c>
      <c r="C110" t="s">
        <v>2138</v>
      </c>
      <c r="D110" t="s">
        <v>2139</v>
      </c>
      <c r="E110" t="s">
        <v>2139</v>
      </c>
      <c r="F110">
        <v>22000</v>
      </c>
      <c r="G110" t="s">
        <v>2443</v>
      </c>
      <c r="H110" s="3">
        <v>42573</v>
      </c>
      <c r="I110" t="s">
        <v>2444</v>
      </c>
      <c r="J110">
        <v>18000</v>
      </c>
      <c r="K110" s="1"/>
      <c r="M110" s="3">
        <v>42573</v>
      </c>
      <c r="N110" t="s">
        <v>54</v>
      </c>
      <c r="P110" t="s">
        <v>56</v>
      </c>
      <c r="Q110">
        <v>13750</v>
      </c>
      <c r="R110" s="3">
        <v>42573</v>
      </c>
      <c r="S110" t="s">
        <v>57</v>
      </c>
      <c r="U110" t="s">
        <v>56</v>
      </c>
      <c r="V110">
        <v>2000</v>
      </c>
      <c r="W110" s="3">
        <v>42594</v>
      </c>
      <c r="X110" t="s">
        <v>54</v>
      </c>
      <c r="Z110" t="s">
        <v>60</v>
      </c>
      <c r="AA110">
        <v>1950</v>
      </c>
      <c r="AG110" t="s">
        <v>2445</v>
      </c>
      <c r="AH110" s="3">
        <v>42599</v>
      </c>
      <c r="AI110">
        <v>22000</v>
      </c>
      <c r="AJ110">
        <v>0</v>
      </c>
      <c r="AS110" t="s">
        <v>2446</v>
      </c>
      <c r="AT110" s="3">
        <v>42704</v>
      </c>
      <c r="AU110">
        <v>21560</v>
      </c>
      <c r="AV110">
        <v>0</v>
      </c>
      <c r="AW110">
        <v>440</v>
      </c>
      <c r="AX110">
        <v>0</v>
      </c>
    </row>
    <row r="111" spans="1:56" hidden="1" x14ac:dyDescent="0.25">
      <c r="A111" t="s">
        <v>2447</v>
      </c>
      <c r="B111" s="3">
        <v>42614</v>
      </c>
      <c r="C111" t="s">
        <v>2138</v>
      </c>
      <c r="D111" t="s">
        <v>2139</v>
      </c>
      <c r="E111" t="s">
        <v>2139</v>
      </c>
      <c r="F111">
        <v>28000</v>
      </c>
      <c r="G111" t="s">
        <v>2448</v>
      </c>
      <c r="H111" s="3">
        <v>42614</v>
      </c>
      <c r="I111" t="s">
        <v>1244</v>
      </c>
      <c r="J111">
        <v>23000</v>
      </c>
      <c r="K111" s="1"/>
      <c r="M111" s="3">
        <v>42614</v>
      </c>
      <c r="N111" t="s">
        <v>57</v>
      </c>
      <c r="P111" t="s">
        <v>56</v>
      </c>
      <c r="Q111">
        <v>17600</v>
      </c>
      <c r="R111" s="3">
        <v>42649</v>
      </c>
      <c r="S111" t="s">
        <v>54</v>
      </c>
      <c r="U111" t="s">
        <v>60</v>
      </c>
      <c r="V111">
        <v>4900</v>
      </c>
      <c r="AG111" t="s">
        <v>2449</v>
      </c>
      <c r="AH111" s="3">
        <v>42664</v>
      </c>
      <c r="AI111">
        <v>28000</v>
      </c>
      <c r="AJ111">
        <v>0</v>
      </c>
      <c r="AS111" t="s">
        <v>2450</v>
      </c>
      <c r="AT111" s="3">
        <v>42709</v>
      </c>
      <c r="AU111">
        <v>82320</v>
      </c>
      <c r="AV111">
        <v>0</v>
      </c>
      <c r="AW111">
        <v>1680</v>
      </c>
      <c r="AX111">
        <v>0</v>
      </c>
    </row>
    <row r="112" spans="1:56" hidden="1" x14ac:dyDescent="0.25">
      <c r="A112" t="s">
        <v>2451</v>
      </c>
      <c r="B112" s="3">
        <v>42619</v>
      </c>
      <c r="C112" t="s">
        <v>2138</v>
      </c>
      <c r="D112" t="s">
        <v>2139</v>
      </c>
      <c r="E112" t="s">
        <v>2139</v>
      </c>
      <c r="F112">
        <v>28000</v>
      </c>
      <c r="G112" t="s">
        <v>2452</v>
      </c>
      <c r="H112" s="3">
        <v>42619</v>
      </c>
      <c r="I112" t="s">
        <v>1244</v>
      </c>
      <c r="J112">
        <v>24000</v>
      </c>
      <c r="K112" s="1"/>
      <c r="M112" s="3">
        <v>42619</v>
      </c>
      <c r="N112" t="s">
        <v>57</v>
      </c>
      <c r="P112" t="s">
        <v>56</v>
      </c>
      <c r="Q112">
        <v>18600</v>
      </c>
      <c r="R112" s="3">
        <v>42649</v>
      </c>
      <c r="S112" t="s">
        <v>54</v>
      </c>
      <c r="U112" t="s">
        <v>60</v>
      </c>
      <c r="V112">
        <v>4900</v>
      </c>
      <c r="AG112" t="s">
        <v>2449</v>
      </c>
      <c r="AH112" s="3">
        <v>42664</v>
      </c>
      <c r="AI112">
        <v>28000</v>
      </c>
      <c r="AJ112">
        <v>0</v>
      </c>
      <c r="AS112" s="13" t="s">
        <v>2450</v>
      </c>
      <c r="AT112" s="3">
        <v>42709</v>
      </c>
      <c r="AU112">
        <v>82320</v>
      </c>
      <c r="AV112">
        <v>0</v>
      </c>
      <c r="AW112">
        <v>1680</v>
      </c>
      <c r="AX112">
        <v>0</v>
      </c>
    </row>
    <row r="113" spans="1:50" hidden="1" x14ac:dyDescent="0.25">
      <c r="A113" t="s">
        <v>2453</v>
      </c>
      <c r="B113" s="3">
        <v>42622</v>
      </c>
      <c r="C113" t="s">
        <v>2138</v>
      </c>
      <c r="D113" t="s">
        <v>2139</v>
      </c>
      <c r="E113" t="s">
        <v>2139</v>
      </c>
      <c r="F113">
        <v>28000</v>
      </c>
      <c r="G113" t="s">
        <v>2454</v>
      </c>
      <c r="H113" s="3">
        <v>42622</v>
      </c>
      <c r="I113" t="s">
        <v>1244</v>
      </c>
      <c r="J113">
        <v>24000</v>
      </c>
      <c r="K113" s="1"/>
      <c r="M113" s="3">
        <v>42622</v>
      </c>
      <c r="N113" t="s">
        <v>57</v>
      </c>
      <c r="P113" t="s">
        <v>56</v>
      </c>
      <c r="Q113">
        <v>18600</v>
      </c>
      <c r="R113" s="3">
        <v>42696</v>
      </c>
      <c r="S113" t="s">
        <v>54</v>
      </c>
      <c r="U113" t="s">
        <v>60</v>
      </c>
      <c r="V113">
        <v>4950</v>
      </c>
      <c r="AG113" t="s">
        <v>2449</v>
      </c>
      <c r="AH113" s="3">
        <v>42664</v>
      </c>
      <c r="AI113">
        <v>28000</v>
      </c>
      <c r="AJ113">
        <v>0</v>
      </c>
      <c r="AS113" s="13" t="s">
        <v>2450</v>
      </c>
      <c r="AT113" s="3">
        <v>42709</v>
      </c>
      <c r="AU113">
        <v>82320</v>
      </c>
      <c r="AV113">
        <v>0</v>
      </c>
      <c r="AW113">
        <v>1680</v>
      </c>
      <c r="AX113">
        <v>0</v>
      </c>
    </row>
    <row r="114" spans="1:50" hidden="1" x14ac:dyDescent="0.25">
      <c r="A114" t="s">
        <v>2455</v>
      </c>
      <c r="B114" s="3">
        <v>42896</v>
      </c>
      <c r="C114" t="s">
        <v>2138</v>
      </c>
      <c r="D114" t="s">
        <v>2139</v>
      </c>
      <c r="E114" t="s">
        <v>2139</v>
      </c>
      <c r="F114">
        <v>38500</v>
      </c>
      <c r="G114" t="s">
        <v>2456</v>
      </c>
      <c r="H114" s="3">
        <v>42896</v>
      </c>
      <c r="I114" t="s">
        <v>2457</v>
      </c>
      <c r="J114">
        <v>34000</v>
      </c>
      <c r="K114" s="1"/>
      <c r="M114" s="3">
        <v>42896</v>
      </c>
      <c r="N114" t="s">
        <v>54</v>
      </c>
      <c r="O114" t="s">
        <v>2458</v>
      </c>
      <c r="P114" t="s">
        <v>56</v>
      </c>
      <c r="Q114">
        <v>28500</v>
      </c>
      <c r="R114" s="3">
        <v>42909</v>
      </c>
      <c r="S114" t="s">
        <v>54</v>
      </c>
      <c r="T114" t="s">
        <v>2459</v>
      </c>
      <c r="U114" t="s">
        <v>60</v>
      </c>
      <c r="V114">
        <v>4900</v>
      </c>
      <c r="AG114" t="s">
        <v>2460</v>
      </c>
      <c r="AH114" s="3">
        <v>42896</v>
      </c>
      <c r="AI114">
        <v>38500</v>
      </c>
      <c r="AJ114">
        <v>0</v>
      </c>
      <c r="AS114" t="s">
        <v>2461</v>
      </c>
      <c r="AT114" s="3">
        <v>43011</v>
      </c>
      <c r="AU114">
        <v>37730</v>
      </c>
      <c r="AV114">
        <v>0</v>
      </c>
      <c r="AW114">
        <v>770</v>
      </c>
      <c r="AX114">
        <v>0</v>
      </c>
    </row>
    <row r="115" spans="1:50" hidden="1" x14ac:dyDescent="0.25">
      <c r="A115" t="s">
        <v>2462</v>
      </c>
      <c r="B115" s="3">
        <v>42924</v>
      </c>
      <c r="C115" t="s">
        <v>2138</v>
      </c>
      <c r="D115" t="s">
        <v>2463</v>
      </c>
      <c r="E115" t="s">
        <v>2139</v>
      </c>
      <c r="F115">
        <v>38500</v>
      </c>
      <c r="G115" t="s">
        <v>2464</v>
      </c>
      <c r="H115" s="3">
        <v>42924</v>
      </c>
      <c r="I115" t="s">
        <v>2465</v>
      </c>
      <c r="J115">
        <v>34000</v>
      </c>
      <c r="K115" s="1"/>
      <c r="M115" s="3">
        <v>42924</v>
      </c>
      <c r="N115" t="s">
        <v>54</v>
      </c>
      <c r="O115" t="s">
        <v>2466</v>
      </c>
      <c r="P115" t="s">
        <v>56</v>
      </c>
      <c r="Q115">
        <v>28500</v>
      </c>
      <c r="R115" s="3">
        <v>42940</v>
      </c>
      <c r="S115" t="s">
        <v>54</v>
      </c>
      <c r="T115" t="s">
        <v>2467</v>
      </c>
      <c r="U115" t="s">
        <v>60</v>
      </c>
      <c r="V115">
        <v>4900</v>
      </c>
      <c r="AG115" t="s">
        <v>2468</v>
      </c>
      <c r="AH115" s="3">
        <v>42937</v>
      </c>
      <c r="AI115">
        <v>38500</v>
      </c>
      <c r="AJ115">
        <v>0</v>
      </c>
      <c r="AS115" t="s">
        <v>2461</v>
      </c>
      <c r="AT115" s="3">
        <v>43011</v>
      </c>
      <c r="AU115">
        <v>37730</v>
      </c>
      <c r="AV115">
        <v>0</v>
      </c>
      <c r="AW115">
        <v>770</v>
      </c>
      <c r="AX115">
        <v>0</v>
      </c>
    </row>
    <row r="116" spans="1:50" x14ac:dyDescent="0.25">
      <c r="A116" t="s">
        <v>2469</v>
      </c>
      <c r="B116" s="3">
        <v>42996</v>
      </c>
      <c r="C116" t="s">
        <v>2138</v>
      </c>
      <c r="D116" t="s">
        <v>2463</v>
      </c>
      <c r="E116" t="s">
        <v>2139</v>
      </c>
      <c r="F116">
        <v>63000</v>
      </c>
      <c r="G116" t="s">
        <v>2470</v>
      </c>
      <c r="H116" s="3">
        <v>42996</v>
      </c>
      <c r="I116" t="s">
        <v>2471</v>
      </c>
      <c r="J116">
        <v>55000</v>
      </c>
      <c r="K116" s="1"/>
      <c r="M116" s="3">
        <v>43000</v>
      </c>
      <c r="N116" t="s">
        <v>54</v>
      </c>
      <c r="O116" t="s">
        <v>2472</v>
      </c>
      <c r="P116" t="s">
        <v>56</v>
      </c>
      <c r="Q116">
        <v>44200</v>
      </c>
      <c r="R116" s="3">
        <v>43024</v>
      </c>
      <c r="S116" t="s">
        <v>54</v>
      </c>
      <c r="T116" t="s">
        <v>2473</v>
      </c>
      <c r="U116" t="s">
        <v>60</v>
      </c>
      <c r="V116">
        <v>9800</v>
      </c>
      <c r="AG116" t="s">
        <v>2474</v>
      </c>
      <c r="AH116" s="3">
        <v>43034</v>
      </c>
      <c r="AI116">
        <v>63000</v>
      </c>
      <c r="AJ116">
        <v>63000</v>
      </c>
    </row>
    <row r="117" spans="1:50" hidden="1" x14ac:dyDescent="0.25">
      <c r="A117" t="s">
        <v>2475</v>
      </c>
      <c r="B117" s="3">
        <v>42998</v>
      </c>
      <c r="C117" t="s">
        <v>2138</v>
      </c>
      <c r="D117" t="s">
        <v>2463</v>
      </c>
      <c r="E117" t="s">
        <v>2139</v>
      </c>
      <c r="F117">
        <v>77000</v>
      </c>
      <c r="G117" t="s">
        <v>2476</v>
      </c>
      <c r="H117" s="3">
        <v>42998</v>
      </c>
      <c r="I117" t="s">
        <v>2465</v>
      </c>
      <c r="J117">
        <v>65000</v>
      </c>
      <c r="K117" s="1"/>
      <c r="M117" s="3">
        <v>43000</v>
      </c>
      <c r="N117" t="s">
        <v>54</v>
      </c>
      <c r="O117" t="s">
        <v>2477</v>
      </c>
      <c r="P117" t="s">
        <v>56</v>
      </c>
      <c r="Q117">
        <v>54300</v>
      </c>
      <c r="R117" s="3">
        <v>43041</v>
      </c>
      <c r="S117" t="s">
        <v>54</v>
      </c>
      <c r="T117" t="s">
        <v>2478</v>
      </c>
      <c r="U117" t="s">
        <v>60</v>
      </c>
      <c r="V117">
        <v>9800</v>
      </c>
      <c r="AG117" t="s">
        <v>2479</v>
      </c>
      <c r="AH117" s="3">
        <v>43040</v>
      </c>
      <c r="AI117">
        <v>77000</v>
      </c>
      <c r="AJ117">
        <v>0</v>
      </c>
      <c r="AS117" t="s">
        <v>2480</v>
      </c>
      <c r="AT117" s="3">
        <v>43414</v>
      </c>
      <c r="AU117">
        <v>75460</v>
      </c>
      <c r="AV117">
        <v>0</v>
      </c>
      <c r="AW117">
        <v>1540</v>
      </c>
      <c r="AX117">
        <v>0</v>
      </c>
    </row>
    <row r="118" spans="1:50" x14ac:dyDescent="0.25">
      <c r="A118" t="s">
        <v>2481</v>
      </c>
      <c r="B118" s="3">
        <v>43000</v>
      </c>
      <c r="C118" t="s">
        <v>2138</v>
      </c>
      <c r="D118" t="s">
        <v>2463</v>
      </c>
      <c r="E118" t="s">
        <v>2139</v>
      </c>
      <c r="F118">
        <v>63800</v>
      </c>
      <c r="G118" t="s">
        <v>2482</v>
      </c>
      <c r="H118" s="3">
        <v>43000</v>
      </c>
      <c r="I118" t="s">
        <v>2471</v>
      </c>
      <c r="J118">
        <v>55000</v>
      </c>
      <c r="K118" s="1"/>
      <c r="M118" s="3">
        <v>43005</v>
      </c>
      <c r="N118" t="s">
        <v>54</v>
      </c>
      <c r="O118" t="s">
        <v>2483</v>
      </c>
      <c r="P118" t="s">
        <v>56</v>
      </c>
      <c r="Q118">
        <v>44300</v>
      </c>
      <c r="R118" s="3">
        <v>43024</v>
      </c>
      <c r="S118" t="s">
        <v>54</v>
      </c>
      <c r="T118" t="s">
        <v>2484</v>
      </c>
      <c r="U118" t="s">
        <v>60</v>
      </c>
      <c r="V118">
        <v>9800</v>
      </c>
      <c r="AG118" t="s">
        <v>2485</v>
      </c>
      <c r="AH118" s="3">
        <v>43038</v>
      </c>
      <c r="AI118">
        <v>63800</v>
      </c>
      <c r="AJ118">
        <v>63800</v>
      </c>
    </row>
    <row r="119" spans="1:50" x14ac:dyDescent="0.25">
      <c r="A119" t="s">
        <v>2486</v>
      </c>
      <c r="B119" s="3">
        <v>43003</v>
      </c>
      <c r="C119" t="s">
        <v>2138</v>
      </c>
      <c r="D119" t="s">
        <v>2463</v>
      </c>
      <c r="E119" t="s">
        <v>2139</v>
      </c>
      <c r="F119">
        <v>63000</v>
      </c>
      <c r="G119" t="s">
        <v>2487</v>
      </c>
      <c r="H119" s="3">
        <v>43003</v>
      </c>
      <c r="I119" t="s">
        <v>502</v>
      </c>
      <c r="J119">
        <v>55000</v>
      </c>
      <c r="K119" s="1"/>
      <c r="M119" s="3">
        <v>43005</v>
      </c>
      <c r="N119" t="s">
        <v>54</v>
      </c>
      <c r="O119" t="s">
        <v>1221</v>
      </c>
      <c r="P119" t="s">
        <v>56</v>
      </c>
      <c r="Q119">
        <v>49350</v>
      </c>
      <c r="R119" s="3">
        <v>43025</v>
      </c>
      <c r="S119" t="s">
        <v>54</v>
      </c>
      <c r="T119" t="s">
        <v>2488</v>
      </c>
      <c r="U119" t="s">
        <v>60</v>
      </c>
      <c r="V119">
        <v>4900</v>
      </c>
      <c r="AG119" t="s">
        <v>2489</v>
      </c>
      <c r="AH119" s="3">
        <v>43034</v>
      </c>
      <c r="AI119">
        <v>63000</v>
      </c>
      <c r="AJ119">
        <v>63000</v>
      </c>
    </row>
    <row r="120" spans="1:50" x14ac:dyDescent="0.25">
      <c r="A120" t="s">
        <v>2490</v>
      </c>
      <c r="B120" s="3">
        <v>43003</v>
      </c>
      <c r="C120" t="s">
        <v>2138</v>
      </c>
      <c r="D120" t="s">
        <v>2463</v>
      </c>
      <c r="E120" t="s">
        <v>2139</v>
      </c>
      <c r="F120">
        <v>63000</v>
      </c>
      <c r="G120" t="s">
        <v>2491</v>
      </c>
      <c r="H120" s="3">
        <v>43003</v>
      </c>
      <c r="I120" t="s">
        <v>502</v>
      </c>
      <c r="J120">
        <v>55000</v>
      </c>
      <c r="K120" s="1"/>
      <c r="M120" s="3">
        <v>43005</v>
      </c>
      <c r="N120" t="s">
        <v>54</v>
      </c>
      <c r="O120" t="s">
        <v>1221</v>
      </c>
      <c r="P120" t="s">
        <v>56</v>
      </c>
      <c r="Q120">
        <v>49350</v>
      </c>
      <c r="R120" s="3">
        <v>43025</v>
      </c>
      <c r="S120" t="s">
        <v>54</v>
      </c>
      <c r="T120" t="s">
        <v>2488</v>
      </c>
      <c r="U120" t="s">
        <v>60</v>
      </c>
      <c r="V120">
        <v>4900</v>
      </c>
      <c r="AG120" t="s">
        <v>2492</v>
      </c>
      <c r="AH120" s="3">
        <v>43034</v>
      </c>
      <c r="AI120">
        <v>63000</v>
      </c>
      <c r="AJ120">
        <v>63000</v>
      </c>
    </row>
    <row r="121" spans="1:50" x14ac:dyDescent="0.25">
      <c r="A121" t="s">
        <v>2493</v>
      </c>
      <c r="B121" s="3">
        <v>43004</v>
      </c>
      <c r="C121" t="s">
        <v>2138</v>
      </c>
      <c r="D121" t="s">
        <v>2463</v>
      </c>
      <c r="E121" t="s">
        <v>2139</v>
      </c>
      <c r="F121">
        <v>63000</v>
      </c>
      <c r="G121" t="s">
        <v>2494</v>
      </c>
      <c r="H121" s="3">
        <v>43004</v>
      </c>
      <c r="I121" t="s">
        <v>502</v>
      </c>
      <c r="J121">
        <v>55000</v>
      </c>
      <c r="K121" s="1"/>
      <c r="M121" s="3">
        <v>43005</v>
      </c>
      <c r="N121" t="s">
        <v>54</v>
      </c>
      <c r="O121" t="s">
        <v>1221</v>
      </c>
      <c r="P121" t="s">
        <v>56</v>
      </c>
      <c r="Q121">
        <v>44500</v>
      </c>
      <c r="R121" s="3">
        <v>43021</v>
      </c>
      <c r="S121" t="s">
        <v>54</v>
      </c>
      <c r="T121" t="s">
        <v>2495</v>
      </c>
      <c r="U121" t="s">
        <v>56</v>
      </c>
      <c r="V121">
        <v>5000</v>
      </c>
      <c r="W121" s="3">
        <v>43025</v>
      </c>
      <c r="X121" t="s">
        <v>54</v>
      </c>
      <c r="Y121" t="s">
        <v>2488</v>
      </c>
      <c r="Z121" t="s">
        <v>60</v>
      </c>
      <c r="AA121">
        <v>4900</v>
      </c>
      <c r="AG121" t="s">
        <v>2496</v>
      </c>
      <c r="AH121" s="3">
        <v>43034</v>
      </c>
      <c r="AI121">
        <v>63000</v>
      </c>
      <c r="AJ121">
        <v>63000</v>
      </c>
    </row>
    <row r="122" spans="1:50" hidden="1" x14ac:dyDescent="0.25">
      <c r="A122" t="s">
        <v>2497</v>
      </c>
      <c r="B122" s="3">
        <v>43013</v>
      </c>
      <c r="C122" t="s">
        <v>2138</v>
      </c>
      <c r="D122" t="s">
        <v>2463</v>
      </c>
      <c r="E122" t="s">
        <v>2139</v>
      </c>
      <c r="F122">
        <v>77000</v>
      </c>
      <c r="G122" t="s">
        <v>2498</v>
      </c>
      <c r="H122" s="3">
        <v>43013</v>
      </c>
      <c r="I122" t="s">
        <v>2499</v>
      </c>
      <c r="J122">
        <v>65000</v>
      </c>
      <c r="K122" s="1"/>
      <c r="M122" s="3">
        <v>43013</v>
      </c>
      <c r="N122" t="s">
        <v>54</v>
      </c>
      <c r="O122" t="s">
        <v>2500</v>
      </c>
      <c r="P122" t="s">
        <v>56</v>
      </c>
      <c r="Q122">
        <v>58400</v>
      </c>
      <c r="R122" s="3">
        <v>43041</v>
      </c>
      <c r="S122" t="s">
        <v>54</v>
      </c>
      <c r="T122" t="s">
        <v>2052</v>
      </c>
      <c r="U122" t="s">
        <v>60</v>
      </c>
      <c r="V122">
        <v>5900</v>
      </c>
      <c r="AG122" t="s">
        <v>2501</v>
      </c>
      <c r="AH122" s="3">
        <v>43040</v>
      </c>
      <c r="AI122">
        <v>77000</v>
      </c>
      <c r="AJ122">
        <v>0</v>
      </c>
      <c r="AS122" t="s">
        <v>2480</v>
      </c>
      <c r="AT122" s="3">
        <v>43414</v>
      </c>
      <c r="AU122">
        <v>75460</v>
      </c>
      <c r="AV122">
        <v>0</v>
      </c>
      <c r="AW122">
        <v>1540</v>
      </c>
      <c r="AX122">
        <v>0</v>
      </c>
    </row>
    <row r="123" spans="1:50" hidden="1" x14ac:dyDescent="0.25">
      <c r="A123" t="s">
        <v>2502</v>
      </c>
      <c r="B123" s="3">
        <v>43013</v>
      </c>
      <c r="C123" t="s">
        <v>2138</v>
      </c>
      <c r="D123" t="s">
        <v>2463</v>
      </c>
      <c r="E123" t="s">
        <v>2139</v>
      </c>
      <c r="F123">
        <v>77000</v>
      </c>
      <c r="G123" t="s">
        <v>2503</v>
      </c>
      <c r="H123" s="3">
        <v>43013</v>
      </c>
      <c r="I123" t="s">
        <v>2499</v>
      </c>
      <c r="J123">
        <v>65000</v>
      </c>
      <c r="K123" s="1"/>
      <c r="M123" s="3">
        <v>43013</v>
      </c>
      <c r="N123" t="s">
        <v>54</v>
      </c>
      <c r="O123" t="s">
        <v>2052</v>
      </c>
      <c r="P123" t="s">
        <v>56</v>
      </c>
      <c r="Q123">
        <v>54500</v>
      </c>
      <c r="R123" s="3">
        <v>43039</v>
      </c>
      <c r="S123" t="s">
        <v>54</v>
      </c>
      <c r="T123" t="s">
        <v>2052</v>
      </c>
      <c r="U123" t="s">
        <v>60</v>
      </c>
      <c r="V123">
        <v>9900</v>
      </c>
      <c r="AG123" t="s">
        <v>2504</v>
      </c>
      <c r="AH123" s="3">
        <v>43040</v>
      </c>
      <c r="AI123">
        <v>77000</v>
      </c>
      <c r="AJ123">
        <v>0</v>
      </c>
      <c r="AS123" t="s">
        <v>2480</v>
      </c>
      <c r="AT123" s="3">
        <v>43414</v>
      </c>
      <c r="AU123">
        <v>75460</v>
      </c>
      <c r="AV123">
        <v>0</v>
      </c>
      <c r="AW123">
        <v>1540</v>
      </c>
      <c r="AX123">
        <v>0</v>
      </c>
    </row>
    <row r="124" spans="1:50" hidden="1" x14ac:dyDescent="0.25">
      <c r="A124" t="s">
        <v>2505</v>
      </c>
      <c r="B124" s="3">
        <v>43113</v>
      </c>
      <c r="C124" t="s">
        <v>2138</v>
      </c>
      <c r="D124" t="s">
        <v>2506</v>
      </c>
      <c r="E124" t="s">
        <v>2139</v>
      </c>
      <c r="F124">
        <v>25000</v>
      </c>
      <c r="G124" t="s">
        <v>2507</v>
      </c>
      <c r="H124" s="3">
        <v>43113</v>
      </c>
      <c r="I124" t="s">
        <v>344</v>
      </c>
      <c r="J124">
        <v>22000</v>
      </c>
      <c r="K124" s="1"/>
      <c r="M124" s="3">
        <v>43117</v>
      </c>
      <c r="N124" t="s">
        <v>1336</v>
      </c>
      <c r="O124" t="s">
        <v>538</v>
      </c>
      <c r="P124" t="s">
        <v>56</v>
      </c>
      <c r="Q124">
        <v>15000</v>
      </c>
      <c r="R124" s="3">
        <v>43117</v>
      </c>
      <c r="S124" t="s">
        <v>54</v>
      </c>
      <c r="T124" t="s">
        <v>579</v>
      </c>
      <c r="U124" t="s">
        <v>56</v>
      </c>
      <c r="V124">
        <v>4700</v>
      </c>
      <c r="W124" s="3">
        <v>43133</v>
      </c>
      <c r="X124" t="s">
        <v>54</v>
      </c>
      <c r="Y124" t="s">
        <v>538</v>
      </c>
      <c r="Z124" t="s">
        <v>60</v>
      </c>
      <c r="AA124">
        <v>1950</v>
      </c>
      <c r="AG124" t="s">
        <v>2508</v>
      </c>
      <c r="AH124" s="3">
        <v>43133</v>
      </c>
      <c r="AI124">
        <v>25000</v>
      </c>
      <c r="AJ124">
        <v>0</v>
      </c>
      <c r="AS124" t="s">
        <v>2509</v>
      </c>
      <c r="AT124" s="3">
        <v>43379</v>
      </c>
      <c r="AU124">
        <v>24500</v>
      </c>
      <c r="AV124">
        <v>0</v>
      </c>
      <c r="AW124">
        <v>500</v>
      </c>
      <c r="AX124">
        <v>0</v>
      </c>
    </row>
    <row r="125" spans="1:50" hidden="1" x14ac:dyDescent="0.25">
      <c r="A125" t="s">
        <v>2510</v>
      </c>
      <c r="B125" s="3">
        <v>43246</v>
      </c>
      <c r="C125" t="s">
        <v>2511</v>
      </c>
      <c r="D125" t="s">
        <v>2512</v>
      </c>
      <c r="E125" t="s">
        <v>2139</v>
      </c>
      <c r="F125">
        <v>35000</v>
      </c>
      <c r="G125" t="s">
        <v>2513</v>
      </c>
      <c r="H125" s="3">
        <v>43246</v>
      </c>
      <c r="I125" t="s">
        <v>2514</v>
      </c>
      <c r="J125">
        <v>32000</v>
      </c>
      <c r="K125" s="1"/>
      <c r="M125" s="3">
        <v>43248</v>
      </c>
      <c r="N125" t="s">
        <v>1336</v>
      </c>
      <c r="O125" t="s">
        <v>2515</v>
      </c>
      <c r="P125" t="s">
        <v>56</v>
      </c>
      <c r="Q125">
        <v>15000</v>
      </c>
      <c r="R125" s="3">
        <v>43248</v>
      </c>
      <c r="S125" t="s">
        <v>54</v>
      </c>
      <c r="T125" t="s">
        <v>2515</v>
      </c>
      <c r="U125" t="s">
        <v>56</v>
      </c>
      <c r="V125">
        <v>13600</v>
      </c>
      <c r="W125" s="3">
        <v>43273</v>
      </c>
      <c r="X125" t="s">
        <v>54</v>
      </c>
      <c r="Y125" t="s">
        <v>2515</v>
      </c>
      <c r="Z125" t="s">
        <v>60</v>
      </c>
      <c r="AA125">
        <v>2900</v>
      </c>
      <c r="AG125" t="s">
        <v>2516</v>
      </c>
      <c r="AH125" s="3">
        <v>43405</v>
      </c>
      <c r="AI125">
        <v>35000</v>
      </c>
      <c r="AJ125">
        <v>0</v>
      </c>
      <c r="AS125" t="s">
        <v>2517</v>
      </c>
      <c r="AT125" s="3">
        <v>43459</v>
      </c>
      <c r="AU125">
        <v>34300</v>
      </c>
      <c r="AV125">
        <v>0</v>
      </c>
      <c r="AW125">
        <v>700</v>
      </c>
      <c r="AX125">
        <v>0</v>
      </c>
    </row>
    <row r="126" spans="1:50" x14ac:dyDescent="0.25">
      <c r="A126" t="s">
        <v>2518</v>
      </c>
      <c r="B126" s="3">
        <v>43447</v>
      </c>
      <c r="C126" t="s">
        <v>2138</v>
      </c>
      <c r="D126" t="s">
        <v>2519</v>
      </c>
      <c r="E126" t="s">
        <v>2139</v>
      </c>
      <c r="F126">
        <v>20500</v>
      </c>
      <c r="G126" t="s">
        <v>2520</v>
      </c>
      <c r="H126" s="3">
        <v>43447</v>
      </c>
      <c r="I126" t="s">
        <v>2444</v>
      </c>
      <c r="J126">
        <v>16500</v>
      </c>
      <c r="K126" s="1"/>
      <c r="M126" s="3">
        <v>43449</v>
      </c>
      <c r="N126" t="s">
        <v>54</v>
      </c>
      <c r="O126" t="s">
        <v>2521</v>
      </c>
      <c r="P126" t="s">
        <v>56</v>
      </c>
      <c r="Q126">
        <v>12000</v>
      </c>
      <c r="R126" s="3">
        <v>43514</v>
      </c>
      <c r="S126" t="s">
        <v>54</v>
      </c>
      <c r="T126" t="s">
        <v>2522</v>
      </c>
      <c r="U126" t="s">
        <v>56</v>
      </c>
      <c r="V126">
        <v>2000</v>
      </c>
      <c r="AG126" t="s">
        <v>2523</v>
      </c>
      <c r="AH126" s="3">
        <v>43465</v>
      </c>
      <c r="AI126">
        <v>20500</v>
      </c>
      <c r="AJ126">
        <v>20500</v>
      </c>
    </row>
  </sheetData>
  <autoFilter ref="A1:BV126">
    <filterColumn colId="35">
      <filters>
        <filter val="1000"/>
        <filter val="13000"/>
        <filter val="14250"/>
        <filter val="20500"/>
        <filter val="25655"/>
        <filter val="3077"/>
        <filter val="50000"/>
        <filter val="56500"/>
        <filter val="63000"/>
        <filter val="63800"/>
      </filters>
    </filterColumn>
  </autoFilter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>
      <pane xSplit="6" ySplit="1" topLeftCell="W2" activePane="bottomRight" state="frozen"/>
      <selection pane="topRight" activeCell="G1" sqref="G1"/>
      <selection pane="bottomLeft" activeCell="A2" sqref="A2"/>
      <selection pane="bottomRight" activeCell="AJ3" sqref="AJ3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2524</v>
      </c>
      <c r="B2" s="3">
        <v>43372</v>
      </c>
      <c r="C2" t="s">
        <v>1325</v>
      </c>
      <c r="D2" t="s">
        <v>2525</v>
      </c>
      <c r="E2" t="s">
        <v>2525</v>
      </c>
      <c r="F2">
        <v>23000</v>
      </c>
      <c r="G2" t="s">
        <v>2526</v>
      </c>
      <c r="H2" s="3">
        <v>43372</v>
      </c>
      <c r="I2" t="s">
        <v>344</v>
      </c>
      <c r="J2">
        <v>17000</v>
      </c>
      <c r="K2" s="1"/>
      <c r="M2" s="3">
        <v>43378</v>
      </c>
      <c r="N2" t="s">
        <v>54</v>
      </c>
      <c r="O2" t="s">
        <v>923</v>
      </c>
      <c r="P2" t="s">
        <v>56</v>
      </c>
      <c r="Q2">
        <v>14800</v>
      </c>
      <c r="R2" s="3">
        <v>43445</v>
      </c>
      <c r="S2" t="s">
        <v>54</v>
      </c>
      <c r="T2" t="s">
        <v>632</v>
      </c>
      <c r="U2" t="s">
        <v>60</v>
      </c>
      <c r="V2">
        <v>1950</v>
      </c>
      <c r="AG2" t="s">
        <v>2527</v>
      </c>
      <c r="AH2" s="3">
        <v>43376</v>
      </c>
      <c r="AI2">
        <v>23000</v>
      </c>
      <c r="AJ2">
        <v>23000</v>
      </c>
    </row>
    <row r="3" spans="1:74" x14ac:dyDescent="0.25">
      <c r="A3" t="s">
        <v>2528</v>
      </c>
      <c r="B3" s="3">
        <v>43403</v>
      </c>
      <c r="C3" t="s">
        <v>1325</v>
      </c>
      <c r="D3" t="s">
        <v>2525</v>
      </c>
      <c r="E3" t="s">
        <v>2525</v>
      </c>
      <c r="F3">
        <v>22000</v>
      </c>
      <c r="G3" t="s">
        <v>2529</v>
      </c>
      <c r="H3" s="3">
        <v>43403</v>
      </c>
      <c r="I3" t="s">
        <v>344</v>
      </c>
      <c r="J3">
        <v>20000</v>
      </c>
      <c r="K3" s="1"/>
      <c r="M3" s="3">
        <v>43403</v>
      </c>
      <c r="N3" t="s">
        <v>54</v>
      </c>
      <c r="O3" t="s">
        <v>410</v>
      </c>
      <c r="P3" t="s">
        <v>56</v>
      </c>
      <c r="Q3">
        <v>15700</v>
      </c>
      <c r="R3" s="3">
        <v>43404</v>
      </c>
      <c r="S3" t="s">
        <v>57</v>
      </c>
      <c r="U3" t="s">
        <v>56</v>
      </c>
      <c r="V3">
        <v>2000</v>
      </c>
      <c r="W3" s="3">
        <v>43434</v>
      </c>
      <c r="X3" t="s">
        <v>54</v>
      </c>
      <c r="Y3" t="s">
        <v>410</v>
      </c>
      <c r="Z3" t="s">
        <v>60</v>
      </c>
      <c r="AA3">
        <v>1950</v>
      </c>
      <c r="AG3" t="s">
        <v>2530</v>
      </c>
      <c r="AH3" s="3">
        <v>43444</v>
      </c>
      <c r="AI3">
        <v>22000</v>
      </c>
      <c r="AJ3">
        <v>22000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2531</v>
      </c>
      <c r="B2" s="3">
        <v>43188</v>
      </c>
      <c r="C2" t="s">
        <v>1325</v>
      </c>
      <c r="D2" t="s">
        <v>2532</v>
      </c>
      <c r="E2" t="s">
        <v>2532</v>
      </c>
      <c r="F2">
        <v>23000</v>
      </c>
      <c r="G2" t="s">
        <v>2533</v>
      </c>
      <c r="H2" s="3">
        <v>43188</v>
      </c>
      <c r="I2" t="s">
        <v>344</v>
      </c>
      <c r="J2">
        <v>20000</v>
      </c>
      <c r="K2" s="1"/>
      <c r="M2" s="3">
        <v>43190</v>
      </c>
      <c r="N2" t="s">
        <v>1336</v>
      </c>
      <c r="P2" t="s">
        <v>56</v>
      </c>
      <c r="Q2">
        <v>10000</v>
      </c>
      <c r="R2" s="3">
        <v>43190</v>
      </c>
      <c r="S2" t="s">
        <v>54</v>
      </c>
      <c r="T2" t="s">
        <v>410</v>
      </c>
      <c r="U2" t="s">
        <v>56</v>
      </c>
      <c r="V2">
        <v>6750</v>
      </c>
      <c r="AG2" t="s">
        <v>2534</v>
      </c>
      <c r="AH2" s="3">
        <v>43189</v>
      </c>
      <c r="AI2">
        <v>23000</v>
      </c>
      <c r="AJ2">
        <v>23000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>
      <pane xSplit="6" ySplit="1" topLeftCell="P2" activePane="bottomRight" state="frozen"/>
      <selection pane="topRight" activeCell="G1" sqref="G1"/>
      <selection pane="bottomLeft" activeCell="A2" sqref="A2"/>
      <selection pane="bottomRight" activeCell="V3" activeCellId="1" sqref="Q3 V3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2535</v>
      </c>
      <c r="B2" s="3">
        <v>43402</v>
      </c>
      <c r="C2" t="s">
        <v>50</v>
      </c>
      <c r="D2" t="s">
        <v>2536</v>
      </c>
      <c r="E2" t="s">
        <v>2537</v>
      </c>
      <c r="F2">
        <v>52000</v>
      </c>
      <c r="G2" t="s">
        <v>2538</v>
      </c>
      <c r="H2" s="3">
        <v>43402</v>
      </c>
      <c r="I2" t="s">
        <v>344</v>
      </c>
      <c r="J2">
        <v>48000</v>
      </c>
      <c r="K2" s="1"/>
      <c r="M2" s="3">
        <v>43403</v>
      </c>
      <c r="N2" t="s">
        <v>1336</v>
      </c>
      <c r="P2" t="s">
        <v>56</v>
      </c>
      <c r="Q2">
        <v>20000</v>
      </c>
      <c r="R2" s="3">
        <v>43403</v>
      </c>
      <c r="S2" t="s">
        <v>54</v>
      </c>
      <c r="T2" t="s">
        <v>410</v>
      </c>
      <c r="U2" t="s">
        <v>56</v>
      </c>
      <c r="V2">
        <v>22500</v>
      </c>
      <c r="W2" s="3">
        <v>43434</v>
      </c>
      <c r="X2" t="s">
        <v>54</v>
      </c>
      <c r="Y2" t="s">
        <v>410</v>
      </c>
      <c r="Z2" t="s">
        <v>60</v>
      </c>
      <c r="AA2">
        <v>4900</v>
      </c>
      <c r="AG2" t="s">
        <v>2539</v>
      </c>
      <c r="AH2" s="3">
        <v>43405</v>
      </c>
      <c r="AI2">
        <v>52000</v>
      </c>
      <c r="AJ2">
        <v>0</v>
      </c>
      <c r="AS2" t="s">
        <v>2540</v>
      </c>
      <c r="AT2" s="3">
        <v>43421</v>
      </c>
      <c r="AU2">
        <v>52000</v>
      </c>
      <c r="AV2">
        <v>0</v>
      </c>
      <c r="AW2">
        <v>0</v>
      </c>
      <c r="AX2">
        <v>0</v>
      </c>
      <c r="BQ2" t="s">
        <v>72</v>
      </c>
      <c r="BR2" t="s">
        <v>2541</v>
      </c>
    </row>
    <row r="3" spans="1:74" x14ac:dyDescent="0.25">
      <c r="A3" s="4" t="s">
        <v>2542</v>
      </c>
      <c r="B3" s="3">
        <v>43430</v>
      </c>
      <c r="C3" t="s">
        <v>50</v>
      </c>
      <c r="D3" t="s">
        <v>2536</v>
      </c>
      <c r="E3" t="s">
        <v>2537</v>
      </c>
      <c r="F3">
        <v>93000</v>
      </c>
      <c r="G3" t="s">
        <v>2543</v>
      </c>
      <c r="H3" s="3">
        <v>43430</v>
      </c>
      <c r="I3" t="s">
        <v>66</v>
      </c>
      <c r="J3">
        <v>85000</v>
      </c>
      <c r="K3" s="1" t="s">
        <v>67</v>
      </c>
      <c r="M3" s="3">
        <v>43434</v>
      </c>
      <c r="N3" t="s">
        <v>54</v>
      </c>
      <c r="O3" t="s">
        <v>66</v>
      </c>
      <c r="P3" t="s">
        <v>56</v>
      </c>
      <c r="Q3">
        <v>74200</v>
      </c>
      <c r="R3" s="3">
        <v>43518</v>
      </c>
      <c r="S3" t="s">
        <v>54</v>
      </c>
      <c r="T3" t="s">
        <v>77</v>
      </c>
      <c r="U3" t="s">
        <v>60</v>
      </c>
      <c r="V3">
        <v>9800</v>
      </c>
      <c r="AG3" s="5" t="s">
        <v>2544</v>
      </c>
      <c r="AH3" s="3">
        <v>43474</v>
      </c>
      <c r="AI3" s="4">
        <v>93000</v>
      </c>
      <c r="AJ3">
        <v>93000</v>
      </c>
    </row>
  </sheetData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>
      <pane xSplit="6" ySplit="1" topLeftCell="N2" activePane="bottomRight" state="frozen"/>
      <selection pane="topRight" activeCell="G1" sqref="G1"/>
      <selection pane="bottomLeft" activeCell="A2" sqref="A2"/>
      <selection pane="bottomRight" activeCell="AA5" activeCellId="8" sqref="Q2 Q3 Q4 Q5 V2 V3 V4 V5 AA5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4" t="s">
        <v>2545</v>
      </c>
      <c r="B2" s="3">
        <v>43157</v>
      </c>
      <c r="C2" t="s">
        <v>50</v>
      </c>
      <c r="D2" t="s">
        <v>2546</v>
      </c>
      <c r="E2" t="s">
        <v>2547</v>
      </c>
      <c r="F2">
        <v>140000</v>
      </c>
      <c r="G2" t="s">
        <v>2548</v>
      </c>
      <c r="H2" s="3">
        <v>43157</v>
      </c>
      <c r="I2" t="s">
        <v>66</v>
      </c>
      <c r="J2">
        <v>130000</v>
      </c>
      <c r="K2" s="1" t="s">
        <v>67</v>
      </c>
      <c r="M2" s="3">
        <v>43159</v>
      </c>
      <c r="N2" t="s">
        <v>54</v>
      </c>
      <c r="O2" t="s">
        <v>77</v>
      </c>
      <c r="P2" t="s">
        <v>56</v>
      </c>
      <c r="Q2">
        <v>115200</v>
      </c>
      <c r="R2" s="3">
        <v>43195</v>
      </c>
      <c r="S2" t="s">
        <v>54</v>
      </c>
      <c r="T2" t="s">
        <v>69</v>
      </c>
      <c r="U2" t="s">
        <v>60</v>
      </c>
      <c r="V2">
        <v>13800</v>
      </c>
      <c r="AG2" s="5" t="s">
        <v>2549</v>
      </c>
      <c r="AH2" s="3">
        <v>43190</v>
      </c>
      <c r="AI2" s="4">
        <v>140000</v>
      </c>
      <c r="AJ2">
        <v>90000</v>
      </c>
      <c r="AS2" t="s">
        <v>2550</v>
      </c>
      <c r="AT2" s="3">
        <v>43190</v>
      </c>
      <c r="AU2">
        <v>50000</v>
      </c>
      <c r="AV2">
        <v>0</v>
      </c>
      <c r="AW2">
        <v>0</v>
      </c>
      <c r="AX2">
        <v>0</v>
      </c>
      <c r="BQ2" t="s">
        <v>72</v>
      </c>
      <c r="BR2" t="s">
        <v>2551</v>
      </c>
    </row>
    <row r="3" spans="1:74" x14ac:dyDescent="0.25">
      <c r="A3" s="4" t="s">
        <v>2552</v>
      </c>
      <c r="B3" s="3">
        <v>43203</v>
      </c>
      <c r="C3" t="s">
        <v>50</v>
      </c>
      <c r="D3" t="s">
        <v>2546</v>
      </c>
      <c r="E3" t="s">
        <v>2547</v>
      </c>
      <c r="F3">
        <v>95000</v>
      </c>
      <c r="G3" t="s">
        <v>2553</v>
      </c>
      <c r="H3" s="3">
        <v>43203</v>
      </c>
      <c r="I3" t="s">
        <v>66</v>
      </c>
      <c r="J3">
        <v>86000</v>
      </c>
      <c r="K3" s="1" t="s">
        <v>67</v>
      </c>
      <c r="M3" s="3">
        <v>43208</v>
      </c>
      <c r="N3" t="s">
        <v>54</v>
      </c>
      <c r="O3" t="s">
        <v>66</v>
      </c>
      <c r="P3" t="s">
        <v>56</v>
      </c>
      <c r="Q3">
        <v>75400</v>
      </c>
      <c r="R3" s="3">
        <v>43257</v>
      </c>
      <c r="S3" t="s">
        <v>54</v>
      </c>
      <c r="T3" t="s">
        <v>77</v>
      </c>
      <c r="U3" t="s">
        <v>60</v>
      </c>
      <c r="V3">
        <v>9800</v>
      </c>
      <c r="AG3" s="5" t="s">
        <v>2554</v>
      </c>
      <c r="AH3" s="3">
        <v>43256</v>
      </c>
      <c r="AI3" s="4">
        <v>95000</v>
      </c>
      <c r="AJ3">
        <v>95000</v>
      </c>
    </row>
    <row r="4" spans="1:74" x14ac:dyDescent="0.25">
      <c r="A4" s="4" t="s">
        <v>2555</v>
      </c>
      <c r="B4" s="3">
        <v>43206</v>
      </c>
      <c r="C4" t="s">
        <v>50</v>
      </c>
      <c r="D4" t="s">
        <v>2546</v>
      </c>
      <c r="E4" t="s">
        <v>2547</v>
      </c>
      <c r="F4">
        <v>95000</v>
      </c>
      <c r="G4" t="s">
        <v>2556</v>
      </c>
      <c r="H4" s="3">
        <v>43206</v>
      </c>
      <c r="I4" t="s">
        <v>66</v>
      </c>
      <c r="J4">
        <v>86000</v>
      </c>
      <c r="K4" s="1" t="s">
        <v>67</v>
      </c>
      <c r="M4" s="3">
        <v>43208</v>
      </c>
      <c r="N4" t="s">
        <v>54</v>
      </c>
      <c r="O4" t="s">
        <v>66</v>
      </c>
      <c r="P4" t="s">
        <v>56</v>
      </c>
      <c r="Q4">
        <v>75400</v>
      </c>
      <c r="R4" s="3">
        <v>43253</v>
      </c>
      <c r="S4" t="s">
        <v>54</v>
      </c>
      <c r="T4" t="s">
        <v>77</v>
      </c>
      <c r="U4" t="s">
        <v>60</v>
      </c>
      <c r="V4">
        <v>9800</v>
      </c>
      <c r="AG4" s="5" t="s">
        <v>2557</v>
      </c>
      <c r="AH4" s="3">
        <v>43252</v>
      </c>
      <c r="AI4" s="4">
        <v>95000</v>
      </c>
      <c r="AJ4">
        <v>95000</v>
      </c>
      <c r="BN4" t="s">
        <v>2558</v>
      </c>
    </row>
    <row r="5" spans="1:74" x14ac:dyDescent="0.25">
      <c r="A5" s="4" t="s">
        <v>2559</v>
      </c>
      <c r="B5" s="3">
        <v>43220</v>
      </c>
      <c r="C5" t="s">
        <v>50</v>
      </c>
      <c r="D5" t="s">
        <v>2546</v>
      </c>
      <c r="E5" t="s">
        <v>2547</v>
      </c>
      <c r="F5">
        <v>118000</v>
      </c>
      <c r="G5" t="s">
        <v>2560</v>
      </c>
      <c r="H5" s="3">
        <v>43220</v>
      </c>
      <c r="I5" t="s">
        <v>66</v>
      </c>
      <c r="J5">
        <v>107000</v>
      </c>
      <c r="K5" s="1" t="s">
        <v>67</v>
      </c>
      <c r="M5" s="3">
        <v>43220</v>
      </c>
      <c r="N5" t="s">
        <v>54</v>
      </c>
      <c r="O5" t="s">
        <v>1191</v>
      </c>
      <c r="P5" t="s">
        <v>56</v>
      </c>
      <c r="Q5">
        <v>10000</v>
      </c>
      <c r="R5" s="3">
        <v>43220</v>
      </c>
      <c r="S5" t="s">
        <v>54</v>
      </c>
      <c r="T5" t="s">
        <v>66</v>
      </c>
      <c r="U5" t="s">
        <v>56</v>
      </c>
      <c r="V5">
        <v>81000</v>
      </c>
      <c r="W5" s="3">
        <v>43257</v>
      </c>
      <c r="X5" t="s">
        <v>54</v>
      </c>
      <c r="Y5" t="s">
        <v>77</v>
      </c>
      <c r="Z5" t="s">
        <v>60</v>
      </c>
      <c r="AA5">
        <v>14700</v>
      </c>
      <c r="AG5" s="5" t="s">
        <v>2561</v>
      </c>
      <c r="AH5" s="3">
        <v>43256</v>
      </c>
      <c r="AI5" s="4">
        <v>118000</v>
      </c>
      <c r="AJ5">
        <v>118000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BK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2562</v>
      </c>
      <c r="B2" s="3">
        <v>43006</v>
      </c>
      <c r="C2" t="s">
        <v>50</v>
      </c>
      <c r="D2" t="s">
        <v>2563</v>
      </c>
      <c r="E2" t="s">
        <v>2564</v>
      </c>
      <c r="F2">
        <v>110000</v>
      </c>
      <c r="G2" t="s">
        <v>2565</v>
      </c>
      <c r="H2" s="3">
        <v>43006</v>
      </c>
      <c r="I2" t="s">
        <v>1375</v>
      </c>
      <c r="J2">
        <v>103000</v>
      </c>
      <c r="K2" s="1"/>
      <c r="M2" s="3">
        <v>43007</v>
      </c>
      <c r="N2" t="s">
        <v>1336</v>
      </c>
      <c r="P2" t="s">
        <v>56</v>
      </c>
      <c r="Q2">
        <v>15000</v>
      </c>
      <c r="R2" s="3">
        <v>43007</v>
      </c>
      <c r="S2" t="s">
        <v>54</v>
      </c>
      <c r="T2" t="s">
        <v>2566</v>
      </c>
      <c r="U2" t="s">
        <v>56</v>
      </c>
      <c r="V2">
        <v>72200</v>
      </c>
      <c r="W2" s="3">
        <v>43085</v>
      </c>
      <c r="X2" t="s">
        <v>54</v>
      </c>
      <c r="Y2" t="s">
        <v>2567</v>
      </c>
      <c r="Z2" t="s">
        <v>60</v>
      </c>
      <c r="AA2">
        <v>14700</v>
      </c>
      <c r="AG2" t="s">
        <v>2568</v>
      </c>
      <c r="AH2" s="3">
        <v>43066</v>
      </c>
      <c r="AI2">
        <v>110000</v>
      </c>
      <c r="AJ2">
        <v>10000</v>
      </c>
      <c r="AS2" t="s">
        <v>2569</v>
      </c>
      <c r="AT2" s="3">
        <v>43421</v>
      </c>
      <c r="AU2">
        <v>100000</v>
      </c>
      <c r="AV2">
        <v>0</v>
      </c>
      <c r="AW2">
        <v>0</v>
      </c>
      <c r="AX2">
        <v>0</v>
      </c>
      <c r="BQ2" t="s">
        <v>1457</v>
      </c>
      <c r="BR2" t="s">
        <v>2570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>
      <pane xSplit="6" ySplit="1" topLeftCell="BN2" activePane="bottomRight" state="frozen"/>
      <selection pane="topRight" activeCell="G1" sqref="G1"/>
      <selection pane="bottomLeft" activeCell="A2" sqref="A2"/>
      <selection pane="bottomRight" activeCell="BN5" sqref="BN5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5" t="s">
        <v>5200</v>
      </c>
      <c r="B2" s="3">
        <v>43147</v>
      </c>
      <c r="C2" t="s">
        <v>5201</v>
      </c>
      <c r="D2" t="s">
        <v>1242</v>
      </c>
      <c r="E2" t="s">
        <v>5202</v>
      </c>
      <c r="F2">
        <v>32500</v>
      </c>
      <c r="G2" t="s">
        <v>5203</v>
      </c>
      <c r="H2" s="3">
        <v>43147</v>
      </c>
      <c r="I2" t="s">
        <v>344</v>
      </c>
      <c r="J2">
        <v>27500</v>
      </c>
      <c r="K2" s="1" t="s">
        <v>67</v>
      </c>
      <c r="M2" s="3">
        <v>43148</v>
      </c>
      <c r="N2" t="s">
        <v>1336</v>
      </c>
      <c r="O2" t="s">
        <v>494</v>
      </c>
      <c r="P2" t="s">
        <v>56</v>
      </c>
      <c r="Q2">
        <v>10000</v>
      </c>
      <c r="R2" s="3">
        <v>43148</v>
      </c>
      <c r="S2" t="s">
        <v>54</v>
      </c>
      <c r="T2" t="s">
        <v>538</v>
      </c>
      <c r="U2" t="s">
        <v>56</v>
      </c>
      <c r="V2">
        <v>15000</v>
      </c>
      <c r="W2" s="3">
        <v>43182</v>
      </c>
      <c r="X2" t="s">
        <v>54</v>
      </c>
      <c r="Y2" t="s">
        <v>410</v>
      </c>
      <c r="Z2" t="s">
        <v>60</v>
      </c>
      <c r="AA2">
        <v>2000</v>
      </c>
      <c r="AG2" s="5" t="s">
        <v>5204</v>
      </c>
      <c r="AH2" s="3">
        <v>43178</v>
      </c>
      <c r="AI2" s="5">
        <v>32500</v>
      </c>
      <c r="AJ2">
        <v>0</v>
      </c>
      <c r="AS2" t="s">
        <v>5205</v>
      </c>
      <c r="AT2" s="3">
        <v>43339</v>
      </c>
      <c r="AU2">
        <v>32500</v>
      </c>
      <c r="AV2">
        <v>0</v>
      </c>
      <c r="AW2">
        <v>0</v>
      </c>
      <c r="AX2">
        <v>0</v>
      </c>
      <c r="BQ2" t="s">
        <v>72</v>
      </c>
      <c r="BR2" t="s">
        <v>5210</v>
      </c>
    </row>
    <row r="3" spans="1:74" x14ac:dyDescent="0.25">
      <c r="A3" s="5" t="s">
        <v>5206</v>
      </c>
      <c r="B3" s="3">
        <v>43159</v>
      </c>
      <c r="C3" t="s">
        <v>5201</v>
      </c>
      <c r="D3" t="s">
        <v>1242</v>
      </c>
      <c r="E3" t="s">
        <v>5202</v>
      </c>
      <c r="F3">
        <v>41500</v>
      </c>
      <c r="G3" t="s">
        <v>5207</v>
      </c>
      <c r="H3" s="3">
        <v>43159</v>
      </c>
      <c r="I3" t="s">
        <v>1244</v>
      </c>
      <c r="J3">
        <v>32000</v>
      </c>
      <c r="K3" s="1" t="s">
        <v>67</v>
      </c>
      <c r="M3" s="3">
        <v>43162</v>
      </c>
      <c r="N3" t="s">
        <v>54</v>
      </c>
      <c r="O3" t="s">
        <v>2051</v>
      </c>
      <c r="P3" t="s">
        <v>56</v>
      </c>
      <c r="Q3">
        <v>26500</v>
      </c>
      <c r="R3" s="3">
        <v>43372</v>
      </c>
      <c r="S3" t="s">
        <v>54</v>
      </c>
      <c r="T3" t="s">
        <v>1244</v>
      </c>
      <c r="U3" t="s">
        <v>60</v>
      </c>
      <c r="V3">
        <v>4850</v>
      </c>
      <c r="AG3" s="5" t="s">
        <v>5208</v>
      </c>
      <c r="AH3" s="3">
        <v>43190</v>
      </c>
      <c r="AI3" s="5">
        <v>41500</v>
      </c>
      <c r="AJ3">
        <v>0</v>
      </c>
      <c r="AS3" t="s">
        <v>5209</v>
      </c>
      <c r="AT3" s="3">
        <v>43347</v>
      </c>
      <c r="AU3">
        <v>41500</v>
      </c>
      <c r="AV3">
        <v>0</v>
      </c>
      <c r="AW3">
        <v>0</v>
      </c>
      <c r="AX3">
        <v>0</v>
      </c>
      <c r="BQ3" t="s">
        <v>72</v>
      </c>
      <c r="BR3" t="s">
        <v>5211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2571</v>
      </c>
      <c r="B2" s="3">
        <v>43241</v>
      </c>
      <c r="C2" t="s">
        <v>50</v>
      </c>
      <c r="D2" t="s">
        <v>2572</v>
      </c>
      <c r="E2" t="s">
        <v>2572</v>
      </c>
      <c r="F2">
        <v>90000</v>
      </c>
      <c r="G2" t="s">
        <v>2573</v>
      </c>
      <c r="H2" s="3">
        <v>43241</v>
      </c>
      <c r="I2" t="s">
        <v>2471</v>
      </c>
      <c r="J2">
        <v>85000</v>
      </c>
      <c r="K2" s="1"/>
      <c r="M2" s="3">
        <v>43243</v>
      </c>
      <c r="N2" t="s">
        <v>54</v>
      </c>
      <c r="O2" t="s">
        <v>2574</v>
      </c>
      <c r="P2" t="s">
        <v>56</v>
      </c>
      <c r="Q2">
        <v>74500</v>
      </c>
      <c r="R2" s="3">
        <v>43270</v>
      </c>
      <c r="S2" t="s">
        <v>54</v>
      </c>
      <c r="T2" t="s">
        <v>2575</v>
      </c>
      <c r="U2" t="s">
        <v>60</v>
      </c>
      <c r="V2">
        <v>9750</v>
      </c>
      <c r="AG2" t="s">
        <v>2576</v>
      </c>
      <c r="AH2" s="3">
        <v>43286</v>
      </c>
      <c r="AI2">
        <v>30000</v>
      </c>
      <c r="AJ2">
        <v>30000</v>
      </c>
      <c r="AS2" t="s">
        <v>2577</v>
      </c>
      <c r="AT2" s="3">
        <v>43251</v>
      </c>
      <c r="AU2">
        <v>60000</v>
      </c>
      <c r="AV2">
        <v>0</v>
      </c>
      <c r="AW2">
        <v>0</v>
      </c>
      <c r="AX2">
        <v>0</v>
      </c>
      <c r="BQ2" t="s">
        <v>72</v>
      </c>
      <c r="BR2" t="s">
        <v>2578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V33"/>
  <sheetViews>
    <sheetView workbookViewId="0">
      <pane xSplit="6" ySplit="2" topLeftCell="AF3" activePane="bottomRight" state="frozen"/>
      <selection pane="topRight" activeCell="G1" sqref="G1"/>
      <selection pane="bottomLeft" activeCell="A3" sqref="A3"/>
      <selection pane="bottomRight" activeCell="AN27" sqref="AN27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hidden="1" x14ac:dyDescent="0.25">
      <c r="A2" t="s">
        <v>2579</v>
      </c>
      <c r="B2" s="3">
        <v>42651</v>
      </c>
      <c r="C2" t="s">
        <v>2580</v>
      </c>
      <c r="D2" t="s">
        <v>2581</v>
      </c>
      <c r="E2" t="s">
        <v>2580</v>
      </c>
      <c r="F2">
        <v>84000</v>
      </c>
      <c r="G2" t="s">
        <v>2582</v>
      </c>
      <c r="H2" s="3">
        <v>42651</v>
      </c>
      <c r="I2" t="s">
        <v>2009</v>
      </c>
      <c r="J2">
        <v>77000</v>
      </c>
      <c r="K2" s="1"/>
      <c r="M2" s="3">
        <v>42651</v>
      </c>
      <c r="N2" t="s">
        <v>54</v>
      </c>
      <c r="P2" t="s">
        <v>56</v>
      </c>
      <c r="Q2">
        <v>66500</v>
      </c>
      <c r="R2" s="3">
        <v>42669</v>
      </c>
      <c r="S2" t="s">
        <v>54</v>
      </c>
      <c r="U2" t="s">
        <v>60</v>
      </c>
      <c r="V2">
        <v>9800</v>
      </c>
      <c r="AG2" t="s">
        <v>2583</v>
      </c>
      <c r="AH2" s="3">
        <v>42681</v>
      </c>
      <c r="AI2">
        <v>84000</v>
      </c>
      <c r="AJ2">
        <v>0</v>
      </c>
      <c r="AS2" t="s">
        <v>2584</v>
      </c>
      <c r="AT2" s="3">
        <v>42711</v>
      </c>
      <c r="AU2">
        <v>84000</v>
      </c>
      <c r="AV2">
        <v>0</v>
      </c>
      <c r="AW2">
        <v>0</v>
      </c>
      <c r="AX2">
        <v>0</v>
      </c>
      <c r="BQ2" t="s">
        <v>72</v>
      </c>
      <c r="BR2" t="s">
        <v>2585</v>
      </c>
    </row>
    <row r="3" spans="1:74" hidden="1" x14ac:dyDescent="0.25">
      <c r="A3" t="s">
        <v>2586</v>
      </c>
      <c r="B3" s="3">
        <v>42658</v>
      </c>
      <c r="C3" t="s">
        <v>2580</v>
      </c>
      <c r="D3" t="s">
        <v>2581</v>
      </c>
      <c r="E3" t="s">
        <v>2580</v>
      </c>
      <c r="F3">
        <v>43000</v>
      </c>
      <c r="G3" t="s">
        <v>2587</v>
      </c>
      <c r="H3" s="3">
        <v>42658</v>
      </c>
      <c r="I3" t="s">
        <v>2009</v>
      </c>
      <c r="J3">
        <v>37000</v>
      </c>
      <c r="K3" s="1"/>
      <c r="M3" s="3">
        <v>42658</v>
      </c>
      <c r="N3" t="s">
        <v>54</v>
      </c>
      <c r="P3" t="s">
        <v>56</v>
      </c>
      <c r="Q3">
        <v>31500</v>
      </c>
      <c r="R3" s="3">
        <v>42690</v>
      </c>
      <c r="S3" t="s">
        <v>54</v>
      </c>
      <c r="U3" t="s">
        <v>60</v>
      </c>
      <c r="V3">
        <v>4900</v>
      </c>
      <c r="AG3" t="s">
        <v>2588</v>
      </c>
      <c r="AH3" s="3">
        <v>42696</v>
      </c>
      <c r="AI3">
        <v>43000</v>
      </c>
      <c r="AJ3">
        <v>0</v>
      </c>
      <c r="AS3" t="s">
        <v>2589</v>
      </c>
      <c r="AT3" s="3">
        <v>42766</v>
      </c>
      <c r="AU3">
        <v>43000</v>
      </c>
      <c r="AV3">
        <v>0</v>
      </c>
      <c r="AW3">
        <v>0</v>
      </c>
      <c r="AX3">
        <v>0</v>
      </c>
      <c r="BQ3" t="s">
        <v>72</v>
      </c>
      <c r="BR3" t="s">
        <v>2590</v>
      </c>
    </row>
    <row r="4" spans="1:74" x14ac:dyDescent="0.25">
      <c r="A4" t="s">
        <v>2591</v>
      </c>
      <c r="B4" s="3">
        <v>42669</v>
      </c>
      <c r="C4" t="s">
        <v>2580</v>
      </c>
      <c r="D4" t="s">
        <v>2581</v>
      </c>
      <c r="E4" t="s">
        <v>2580</v>
      </c>
      <c r="F4">
        <v>83000</v>
      </c>
      <c r="G4" t="s">
        <v>2592</v>
      </c>
      <c r="H4" s="3">
        <v>42669</v>
      </c>
      <c r="I4" t="s">
        <v>278</v>
      </c>
      <c r="J4">
        <v>77000</v>
      </c>
      <c r="K4" s="1"/>
      <c r="M4" s="3">
        <v>42669</v>
      </c>
      <c r="N4" t="s">
        <v>54</v>
      </c>
      <c r="P4" t="s">
        <v>56</v>
      </c>
      <c r="Q4">
        <v>61200</v>
      </c>
      <c r="R4" s="3">
        <v>42696</v>
      </c>
      <c r="S4" t="s">
        <v>54</v>
      </c>
      <c r="U4" t="s">
        <v>60</v>
      </c>
      <c r="V4">
        <v>14800</v>
      </c>
      <c r="AG4" t="s">
        <v>2593</v>
      </c>
      <c r="AH4" s="3">
        <v>42695</v>
      </c>
      <c r="AI4">
        <v>83000</v>
      </c>
      <c r="AJ4">
        <v>1000</v>
      </c>
      <c r="AK4" t="s">
        <v>2594</v>
      </c>
      <c r="AL4" s="3">
        <v>42781</v>
      </c>
      <c r="AM4">
        <v>1000</v>
      </c>
      <c r="AN4">
        <v>0</v>
      </c>
      <c r="AS4" t="s">
        <v>2589</v>
      </c>
      <c r="AT4" s="3">
        <v>42766</v>
      </c>
      <c r="AU4">
        <v>82000</v>
      </c>
      <c r="AV4">
        <v>0</v>
      </c>
      <c r="AW4">
        <v>0</v>
      </c>
      <c r="AX4">
        <v>1000</v>
      </c>
      <c r="AY4" t="s">
        <v>2595</v>
      </c>
      <c r="AZ4" s="3">
        <v>42781</v>
      </c>
      <c r="BA4">
        <v>1000</v>
      </c>
      <c r="BB4">
        <v>0</v>
      </c>
      <c r="BC4">
        <v>0</v>
      </c>
      <c r="BD4">
        <v>0</v>
      </c>
      <c r="BQ4" t="s">
        <v>72</v>
      </c>
      <c r="BR4" t="s">
        <v>2590</v>
      </c>
      <c r="BS4" t="s">
        <v>1419</v>
      </c>
    </row>
    <row r="5" spans="1:74" hidden="1" x14ac:dyDescent="0.25">
      <c r="A5" t="s">
        <v>2596</v>
      </c>
      <c r="B5" s="3">
        <v>42674</v>
      </c>
      <c r="C5" t="s">
        <v>2580</v>
      </c>
      <c r="D5" t="s">
        <v>2581</v>
      </c>
      <c r="E5" t="s">
        <v>2580</v>
      </c>
      <c r="F5">
        <v>98000</v>
      </c>
      <c r="G5" t="s">
        <v>2597</v>
      </c>
      <c r="H5" s="3">
        <v>42674</v>
      </c>
      <c r="I5" t="s">
        <v>2444</v>
      </c>
      <c r="J5">
        <v>91000</v>
      </c>
      <c r="K5" s="1"/>
      <c r="M5" s="3">
        <v>42674</v>
      </c>
      <c r="N5" t="s">
        <v>54</v>
      </c>
      <c r="P5" t="s">
        <v>56</v>
      </c>
      <c r="Q5">
        <v>50000</v>
      </c>
      <c r="R5" s="3">
        <v>42674</v>
      </c>
      <c r="S5" t="s">
        <v>57</v>
      </c>
      <c r="U5" t="s">
        <v>56</v>
      </c>
      <c r="V5">
        <v>30000</v>
      </c>
      <c r="W5" s="3">
        <v>42695</v>
      </c>
      <c r="X5" t="s">
        <v>54</v>
      </c>
      <c r="Z5" t="s">
        <v>60</v>
      </c>
      <c r="AA5">
        <v>10000</v>
      </c>
      <c r="AG5" t="s">
        <v>2598</v>
      </c>
      <c r="AH5" s="3">
        <v>42696</v>
      </c>
      <c r="AI5">
        <v>98000</v>
      </c>
      <c r="AJ5">
        <v>0</v>
      </c>
      <c r="AS5" t="s">
        <v>2589</v>
      </c>
      <c r="AT5" s="3">
        <v>42766</v>
      </c>
      <c r="AU5">
        <v>98000</v>
      </c>
      <c r="AV5">
        <v>0</v>
      </c>
      <c r="AW5">
        <v>0</v>
      </c>
      <c r="AX5">
        <v>0</v>
      </c>
      <c r="BQ5" t="s">
        <v>72</v>
      </c>
      <c r="BR5" t="s">
        <v>2590</v>
      </c>
    </row>
    <row r="6" spans="1:74" hidden="1" x14ac:dyDescent="0.25">
      <c r="A6" s="10" t="s">
        <v>2599</v>
      </c>
      <c r="B6" s="3">
        <v>42679</v>
      </c>
      <c r="C6" t="s">
        <v>2580</v>
      </c>
      <c r="D6" t="s">
        <v>2581</v>
      </c>
      <c r="E6" t="s">
        <v>2580</v>
      </c>
      <c r="F6">
        <v>83000</v>
      </c>
      <c r="G6" t="s">
        <v>2600</v>
      </c>
      <c r="H6" s="3">
        <v>42679</v>
      </c>
      <c r="I6" t="s">
        <v>278</v>
      </c>
      <c r="J6">
        <v>77000</v>
      </c>
      <c r="K6" s="1"/>
      <c r="M6" s="3">
        <v>42679</v>
      </c>
      <c r="N6" t="s">
        <v>54</v>
      </c>
      <c r="P6" t="s">
        <v>56</v>
      </c>
      <c r="Q6">
        <v>66500</v>
      </c>
      <c r="R6" s="3">
        <v>42705</v>
      </c>
      <c r="S6" t="s">
        <v>54</v>
      </c>
      <c r="U6" t="s">
        <v>60</v>
      </c>
      <c r="V6">
        <v>9800</v>
      </c>
      <c r="AG6" t="s">
        <v>2601</v>
      </c>
      <c r="AH6" s="3">
        <v>42730</v>
      </c>
      <c r="AI6">
        <v>83000</v>
      </c>
      <c r="AJ6">
        <v>0</v>
      </c>
      <c r="AS6" s="10" t="s">
        <v>2602</v>
      </c>
      <c r="AT6" s="3">
        <v>42811</v>
      </c>
      <c r="AU6">
        <v>83000</v>
      </c>
      <c r="AV6">
        <v>0</v>
      </c>
      <c r="AW6">
        <v>0</v>
      </c>
      <c r="AX6">
        <v>0</v>
      </c>
      <c r="BQ6" t="s">
        <v>72</v>
      </c>
      <c r="BR6" t="s">
        <v>2603</v>
      </c>
    </row>
    <row r="7" spans="1:74" x14ac:dyDescent="0.25">
      <c r="A7" s="10" t="s">
        <v>2604</v>
      </c>
      <c r="B7" s="3">
        <v>42686</v>
      </c>
      <c r="C7" t="s">
        <v>2580</v>
      </c>
      <c r="D7" t="s">
        <v>2581</v>
      </c>
      <c r="E7" t="s">
        <v>2580</v>
      </c>
      <c r="F7">
        <v>43000</v>
      </c>
      <c r="G7" t="s">
        <v>2605</v>
      </c>
      <c r="H7" s="3">
        <v>42686</v>
      </c>
      <c r="I7" t="s">
        <v>2444</v>
      </c>
      <c r="J7">
        <v>37000</v>
      </c>
      <c r="K7" s="1"/>
      <c r="M7" s="3">
        <v>42686</v>
      </c>
      <c r="N7" t="s">
        <v>54</v>
      </c>
      <c r="P7" t="s">
        <v>56</v>
      </c>
      <c r="Q7">
        <v>31500</v>
      </c>
      <c r="R7" s="3">
        <v>42705</v>
      </c>
      <c r="S7" t="s">
        <v>54</v>
      </c>
      <c r="U7" t="s">
        <v>60</v>
      </c>
      <c r="V7">
        <v>4800</v>
      </c>
      <c r="AG7" t="s">
        <v>2606</v>
      </c>
      <c r="AH7" s="3">
        <v>42730</v>
      </c>
      <c r="AI7">
        <v>43000</v>
      </c>
      <c r="AJ7">
        <v>1000</v>
      </c>
      <c r="AK7" t="s">
        <v>2607</v>
      </c>
      <c r="AL7" s="3">
        <v>42915</v>
      </c>
      <c r="AM7">
        <v>1000</v>
      </c>
      <c r="AN7">
        <v>2000</v>
      </c>
      <c r="AS7" t="s">
        <v>2602</v>
      </c>
      <c r="AT7" s="3">
        <v>42811</v>
      </c>
      <c r="AU7">
        <v>42000</v>
      </c>
      <c r="AV7">
        <v>0</v>
      </c>
      <c r="AW7">
        <v>0</v>
      </c>
      <c r="AX7">
        <v>1000</v>
      </c>
      <c r="BQ7" t="s">
        <v>72</v>
      </c>
      <c r="BR7" t="s">
        <v>2603</v>
      </c>
    </row>
    <row r="8" spans="1:74" hidden="1" x14ac:dyDescent="0.25">
      <c r="A8" t="s">
        <v>2608</v>
      </c>
      <c r="B8" s="3">
        <v>42690</v>
      </c>
      <c r="C8" t="s">
        <v>2580</v>
      </c>
      <c r="D8" t="s">
        <v>2581</v>
      </c>
      <c r="E8" t="s">
        <v>2580</v>
      </c>
      <c r="F8">
        <v>97000</v>
      </c>
      <c r="G8" t="s">
        <v>2609</v>
      </c>
      <c r="H8" s="3">
        <v>42690</v>
      </c>
      <c r="I8" t="s">
        <v>2444</v>
      </c>
      <c r="J8">
        <v>88000</v>
      </c>
      <c r="K8" s="1"/>
      <c r="M8" s="3">
        <v>42690</v>
      </c>
      <c r="N8" t="s">
        <v>54</v>
      </c>
      <c r="P8" t="s">
        <v>56</v>
      </c>
      <c r="Q8">
        <v>77500</v>
      </c>
      <c r="R8" s="3">
        <v>42723</v>
      </c>
      <c r="S8" t="s">
        <v>54</v>
      </c>
      <c r="U8" t="s">
        <v>60</v>
      </c>
      <c r="V8">
        <v>9800</v>
      </c>
      <c r="AG8" t="s">
        <v>2610</v>
      </c>
      <c r="AH8" s="3">
        <v>42730</v>
      </c>
      <c r="AI8">
        <v>97000</v>
      </c>
      <c r="AJ8">
        <v>0</v>
      </c>
      <c r="AS8" t="s">
        <v>2611</v>
      </c>
      <c r="AT8" s="3">
        <v>42825</v>
      </c>
      <c r="AU8">
        <v>97000</v>
      </c>
      <c r="AV8">
        <v>0</v>
      </c>
      <c r="AW8">
        <v>0</v>
      </c>
      <c r="AX8">
        <v>0</v>
      </c>
      <c r="BQ8" t="s">
        <v>72</v>
      </c>
      <c r="BR8" t="s">
        <v>2612</v>
      </c>
    </row>
    <row r="9" spans="1:74" hidden="1" x14ac:dyDescent="0.25">
      <c r="A9" s="10" t="s">
        <v>2613</v>
      </c>
      <c r="B9" s="3">
        <v>42693</v>
      </c>
      <c r="C9" t="s">
        <v>2580</v>
      </c>
      <c r="D9" t="s">
        <v>2581</v>
      </c>
      <c r="E9" t="s">
        <v>2580</v>
      </c>
      <c r="F9">
        <v>83000</v>
      </c>
      <c r="G9" t="s">
        <v>2614</v>
      </c>
      <c r="H9" s="3">
        <v>42693</v>
      </c>
      <c r="I9" t="s">
        <v>2444</v>
      </c>
      <c r="J9">
        <v>77000</v>
      </c>
      <c r="K9" s="1"/>
      <c r="M9" s="3">
        <v>42693</v>
      </c>
      <c r="N9" t="s">
        <v>54</v>
      </c>
      <c r="P9" t="s">
        <v>56</v>
      </c>
      <c r="Q9">
        <v>66500</v>
      </c>
      <c r="R9" s="3">
        <v>42713</v>
      </c>
      <c r="S9" t="s">
        <v>54</v>
      </c>
      <c r="U9" t="s">
        <v>60</v>
      </c>
      <c r="V9">
        <v>9800</v>
      </c>
      <c r="AG9" t="s">
        <v>2615</v>
      </c>
      <c r="AH9" s="3">
        <v>42730</v>
      </c>
      <c r="AI9">
        <v>83000</v>
      </c>
      <c r="AJ9">
        <v>0</v>
      </c>
      <c r="AS9" t="s">
        <v>2602</v>
      </c>
      <c r="AT9" s="3">
        <v>42811</v>
      </c>
      <c r="AU9">
        <v>83000</v>
      </c>
      <c r="AV9">
        <v>0</v>
      </c>
      <c r="AW9">
        <v>0</v>
      </c>
      <c r="AX9">
        <v>0</v>
      </c>
      <c r="BQ9" t="s">
        <v>72</v>
      </c>
      <c r="BR9" t="s">
        <v>2603</v>
      </c>
    </row>
    <row r="10" spans="1:74" x14ac:dyDescent="0.25">
      <c r="A10" s="10" t="s">
        <v>2616</v>
      </c>
      <c r="B10" s="3">
        <v>42704</v>
      </c>
      <c r="C10" t="s">
        <v>2580</v>
      </c>
      <c r="D10" t="s">
        <v>2581</v>
      </c>
      <c r="E10" t="s">
        <v>2580</v>
      </c>
      <c r="F10">
        <v>43000</v>
      </c>
      <c r="G10" t="s">
        <v>2617</v>
      </c>
      <c r="H10" s="3">
        <v>42704</v>
      </c>
      <c r="I10" t="s">
        <v>278</v>
      </c>
      <c r="J10">
        <v>38000</v>
      </c>
      <c r="K10" s="1"/>
      <c r="M10" s="3">
        <v>42704</v>
      </c>
      <c r="N10" t="s">
        <v>54</v>
      </c>
      <c r="P10" t="s">
        <v>56</v>
      </c>
      <c r="Q10">
        <v>32500</v>
      </c>
      <c r="R10" s="3">
        <v>42723</v>
      </c>
      <c r="S10" t="s">
        <v>54</v>
      </c>
      <c r="U10" t="s">
        <v>60</v>
      </c>
      <c r="V10">
        <v>4900</v>
      </c>
      <c r="AG10" t="s">
        <v>2618</v>
      </c>
      <c r="AH10" s="3">
        <v>42730</v>
      </c>
      <c r="AI10">
        <v>43000</v>
      </c>
      <c r="AJ10">
        <v>1000</v>
      </c>
      <c r="AK10" t="s">
        <v>2607</v>
      </c>
      <c r="AL10" s="3">
        <v>42915</v>
      </c>
      <c r="AM10">
        <v>1000</v>
      </c>
      <c r="AN10">
        <v>2000</v>
      </c>
      <c r="AS10" t="s">
        <v>2602</v>
      </c>
      <c r="AT10" s="3">
        <v>42811</v>
      </c>
      <c r="AU10">
        <v>42000</v>
      </c>
      <c r="AV10">
        <v>0</v>
      </c>
      <c r="AW10">
        <v>0</v>
      </c>
      <c r="AX10">
        <v>1000</v>
      </c>
      <c r="BQ10" t="s">
        <v>72</v>
      </c>
      <c r="BR10" t="s">
        <v>2603</v>
      </c>
    </row>
    <row r="11" spans="1:74" hidden="1" x14ac:dyDescent="0.25">
      <c r="A11" s="10" t="s">
        <v>2619</v>
      </c>
      <c r="B11" s="3">
        <v>42707</v>
      </c>
      <c r="C11" t="s">
        <v>2580</v>
      </c>
      <c r="D11" t="s">
        <v>2581</v>
      </c>
      <c r="E11" t="s">
        <v>2580</v>
      </c>
      <c r="F11">
        <v>78000</v>
      </c>
      <c r="G11" t="s">
        <v>2620</v>
      </c>
      <c r="H11" s="3">
        <v>42707</v>
      </c>
      <c r="I11" t="s">
        <v>2444</v>
      </c>
      <c r="J11">
        <v>70000</v>
      </c>
      <c r="K11" s="1"/>
      <c r="M11" s="3">
        <v>42707</v>
      </c>
      <c r="N11" t="s">
        <v>54</v>
      </c>
      <c r="P11" t="s">
        <v>56</v>
      </c>
      <c r="Q11">
        <v>64500</v>
      </c>
      <c r="R11" s="3">
        <v>42730</v>
      </c>
      <c r="S11" t="s">
        <v>54</v>
      </c>
      <c r="U11" t="s">
        <v>60</v>
      </c>
      <c r="V11">
        <v>4900</v>
      </c>
      <c r="AG11" t="s">
        <v>2621</v>
      </c>
      <c r="AH11" s="3">
        <v>42730</v>
      </c>
      <c r="AI11">
        <v>78000</v>
      </c>
      <c r="AJ11">
        <v>0</v>
      </c>
      <c r="AS11" t="s">
        <v>2602</v>
      </c>
      <c r="AT11" s="3">
        <v>42811</v>
      </c>
      <c r="AU11">
        <v>78000</v>
      </c>
      <c r="AV11">
        <v>0</v>
      </c>
      <c r="AW11">
        <v>0</v>
      </c>
      <c r="AX11">
        <v>0</v>
      </c>
      <c r="BQ11" t="s">
        <v>72</v>
      </c>
      <c r="BR11" t="s">
        <v>2603</v>
      </c>
    </row>
    <row r="12" spans="1:74" hidden="1" x14ac:dyDescent="0.25">
      <c r="A12" t="s">
        <v>2622</v>
      </c>
      <c r="B12" s="3">
        <v>42719</v>
      </c>
      <c r="C12" t="s">
        <v>2580</v>
      </c>
      <c r="D12" t="s">
        <v>2581</v>
      </c>
      <c r="E12" t="s">
        <v>2580</v>
      </c>
      <c r="F12">
        <v>43000</v>
      </c>
      <c r="G12" t="s">
        <v>2623</v>
      </c>
      <c r="H12" s="3">
        <v>42719</v>
      </c>
      <c r="I12" t="s">
        <v>2009</v>
      </c>
      <c r="J12">
        <v>38000</v>
      </c>
      <c r="K12" s="1"/>
      <c r="M12" s="3">
        <v>42719</v>
      </c>
      <c r="N12" t="s">
        <v>54</v>
      </c>
      <c r="P12" t="s">
        <v>56</v>
      </c>
      <c r="Q12">
        <v>32500</v>
      </c>
      <c r="R12" s="3">
        <v>42744</v>
      </c>
      <c r="S12" t="s">
        <v>54</v>
      </c>
      <c r="U12" t="s">
        <v>60</v>
      </c>
      <c r="V12">
        <v>4900</v>
      </c>
      <c r="AG12" t="s">
        <v>2624</v>
      </c>
      <c r="AH12" s="3">
        <v>42762</v>
      </c>
      <c r="AI12">
        <v>43000</v>
      </c>
      <c r="AJ12">
        <v>0</v>
      </c>
      <c r="AS12" t="s">
        <v>2625</v>
      </c>
      <c r="AT12" s="3">
        <v>42840</v>
      </c>
      <c r="AU12">
        <v>43000</v>
      </c>
      <c r="AV12">
        <v>0</v>
      </c>
      <c r="AW12">
        <v>0</v>
      </c>
      <c r="AX12">
        <v>0</v>
      </c>
      <c r="BQ12" t="s">
        <v>72</v>
      </c>
      <c r="BR12" t="s">
        <v>2626</v>
      </c>
    </row>
    <row r="13" spans="1:74" x14ac:dyDescent="0.25">
      <c r="A13" t="s">
        <v>2627</v>
      </c>
      <c r="B13" s="3">
        <v>42744</v>
      </c>
      <c r="C13" t="s">
        <v>2580</v>
      </c>
      <c r="D13" t="s">
        <v>2581</v>
      </c>
      <c r="E13" t="s">
        <v>2580</v>
      </c>
      <c r="F13">
        <v>79000</v>
      </c>
      <c r="G13" t="s">
        <v>2628</v>
      </c>
      <c r="H13" s="3">
        <v>42745</v>
      </c>
      <c r="I13" t="s">
        <v>2444</v>
      </c>
      <c r="J13">
        <v>70000</v>
      </c>
      <c r="K13" s="1"/>
      <c r="M13" s="3">
        <v>42745</v>
      </c>
      <c r="N13" t="s">
        <v>54</v>
      </c>
      <c r="P13" t="s">
        <v>56</v>
      </c>
      <c r="Q13">
        <v>64500</v>
      </c>
      <c r="R13" s="3">
        <v>42780</v>
      </c>
      <c r="S13" t="s">
        <v>54</v>
      </c>
      <c r="U13" t="s">
        <v>60</v>
      </c>
      <c r="V13">
        <v>4900</v>
      </c>
      <c r="AG13" t="s">
        <v>2629</v>
      </c>
      <c r="AH13" s="3">
        <v>42796</v>
      </c>
      <c r="AI13">
        <v>79000</v>
      </c>
      <c r="AJ13">
        <v>3000</v>
      </c>
      <c r="AK13" t="s">
        <v>2630</v>
      </c>
      <c r="AL13" s="3">
        <v>42864</v>
      </c>
      <c r="AM13">
        <v>3000</v>
      </c>
      <c r="AN13">
        <v>0</v>
      </c>
      <c r="AS13" t="s">
        <v>2631</v>
      </c>
      <c r="AT13" s="3">
        <v>42863</v>
      </c>
      <c r="AU13">
        <v>234000</v>
      </c>
      <c r="AV13">
        <v>0</v>
      </c>
      <c r="AW13">
        <v>0</v>
      </c>
      <c r="AX13">
        <v>3000</v>
      </c>
      <c r="AY13" t="s">
        <v>2632</v>
      </c>
      <c r="AZ13" s="3">
        <v>42931</v>
      </c>
      <c r="BA13">
        <v>3000</v>
      </c>
      <c r="BB13">
        <v>0</v>
      </c>
      <c r="BC13">
        <v>0</v>
      </c>
      <c r="BD13">
        <v>0</v>
      </c>
      <c r="BQ13" t="s">
        <v>72</v>
      </c>
      <c r="BR13" t="s">
        <v>2633</v>
      </c>
      <c r="BS13" t="s">
        <v>1419</v>
      </c>
    </row>
    <row r="14" spans="1:74" x14ac:dyDescent="0.25">
      <c r="A14" t="s">
        <v>2634</v>
      </c>
      <c r="B14" s="3">
        <v>42753</v>
      </c>
      <c r="C14" t="s">
        <v>2580</v>
      </c>
      <c r="D14" t="s">
        <v>2581</v>
      </c>
      <c r="E14" t="s">
        <v>2580</v>
      </c>
      <c r="F14">
        <v>79000</v>
      </c>
      <c r="G14" t="s">
        <v>2635</v>
      </c>
      <c r="H14" s="3">
        <v>42753</v>
      </c>
      <c r="I14" t="s">
        <v>2444</v>
      </c>
      <c r="J14">
        <v>70000</v>
      </c>
      <c r="K14" s="1"/>
      <c r="M14" s="3">
        <v>42753</v>
      </c>
      <c r="N14" t="s">
        <v>54</v>
      </c>
      <c r="P14" t="s">
        <v>56</v>
      </c>
      <c r="Q14">
        <v>64500</v>
      </c>
      <c r="R14" s="3">
        <v>42780</v>
      </c>
      <c r="S14" t="s">
        <v>54</v>
      </c>
      <c r="U14" t="s">
        <v>60</v>
      </c>
      <c r="V14">
        <v>4900</v>
      </c>
      <c r="AG14" t="s">
        <v>2629</v>
      </c>
      <c r="AH14" s="3">
        <v>42796</v>
      </c>
      <c r="AI14">
        <v>79000</v>
      </c>
      <c r="AJ14">
        <v>3000</v>
      </c>
      <c r="AK14" t="s">
        <v>2630</v>
      </c>
      <c r="AL14" s="3">
        <v>42864</v>
      </c>
      <c r="AM14">
        <v>0</v>
      </c>
      <c r="AN14">
        <v>0</v>
      </c>
      <c r="AS14" s="13" t="s">
        <v>2631</v>
      </c>
      <c r="AT14" s="3">
        <v>42863</v>
      </c>
      <c r="AU14">
        <v>234000</v>
      </c>
      <c r="AV14">
        <v>0</v>
      </c>
      <c r="AW14">
        <v>0</v>
      </c>
      <c r="AX14">
        <v>3000</v>
      </c>
      <c r="AY14" s="13" t="s">
        <v>2632</v>
      </c>
      <c r="AZ14" s="3">
        <v>42931</v>
      </c>
      <c r="BA14">
        <v>3000</v>
      </c>
      <c r="BB14">
        <v>0</v>
      </c>
      <c r="BC14">
        <v>0</v>
      </c>
      <c r="BD14">
        <v>0</v>
      </c>
      <c r="BQ14" t="s">
        <v>72</v>
      </c>
      <c r="BR14" t="s">
        <v>2633</v>
      </c>
      <c r="BS14" t="s">
        <v>1419</v>
      </c>
    </row>
    <row r="15" spans="1:74" x14ac:dyDescent="0.25">
      <c r="A15" t="s">
        <v>2636</v>
      </c>
      <c r="B15" s="3">
        <v>42756</v>
      </c>
      <c r="C15" t="s">
        <v>2580</v>
      </c>
      <c r="D15" t="s">
        <v>2581</v>
      </c>
      <c r="E15" t="s">
        <v>2580</v>
      </c>
      <c r="F15">
        <v>79000</v>
      </c>
      <c r="G15" t="s">
        <v>2637</v>
      </c>
      <c r="H15" s="3">
        <v>42756</v>
      </c>
      <c r="I15" t="s">
        <v>2444</v>
      </c>
      <c r="J15">
        <v>71000</v>
      </c>
      <c r="K15" s="1"/>
      <c r="M15" s="3">
        <v>42756</v>
      </c>
      <c r="N15" t="s">
        <v>54</v>
      </c>
      <c r="P15" t="s">
        <v>56</v>
      </c>
      <c r="Q15">
        <v>64500</v>
      </c>
      <c r="R15" s="3">
        <v>42770</v>
      </c>
      <c r="S15" t="s">
        <v>54</v>
      </c>
      <c r="U15" t="s">
        <v>60</v>
      </c>
      <c r="V15">
        <v>5900</v>
      </c>
      <c r="AG15" t="s">
        <v>2629</v>
      </c>
      <c r="AH15" s="3">
        <v>42796</v>
      </c>
      <c r="AI15">
        <v>79000</v>
      </c>
      <c r="AJ15">
        <v>3000</v>
      </c>
      <c r="AK15" t="s">
        <v>2630</v>
      </c>
      <c r="AL15" s="3">
        <v>42864</v>
      </c>
      <c r="AM15">
        <v>0</v>
      </c>
      <c r="AN15">
        <v>0</v>
      </c>
      <c r="AS15" s="13" t="s">
        <v>2631</v>
      </c>
      <c r="AT15" s="3">
        <v>42863</v>
      </c>
      <c r="AU15">
        <v>234000</v>
      </c>
      <c r="AV15">
        <v>0</v>
      </c>
      <c r="AW15">
        <v>0</v>
      </c>
      <c r="AX15">
        <v>3000</v>
      </c>
      <c r="AY15" s="13" t="s">
        <v>2632</v>
      </c>
      <c r="AZ15" s="3">
        <v>42931</v>
      </c>
      <c r="BA15">
        <v>3000</v>
      </c>
      <c r="BB15">
        <v>0</v>
      </c>
      <c r="BC15">
        <v>0</v>
      </c>
      <c r="BD15">
        <v>0</v>
      </c>
      <c r="BQ15" t="s">
        <v>72</v>
      </c>
      <c r="BR15" t="s">
        <v>2633</v>
      </c>
      <c r="BS15" t="s">
        <v>1419</v>
      </c>
    </row>
    <row r="16" spans="1:74" hidden="1" x14ac:dyDescent="0.25">
      <c r="A16" t="s">
        <v>2638</v>
      </c>
      <c r="B16" s="3">
        <v>42760</v>
      </c>
      <c r="C16" t="s">
        <v>2580</v>
      </c>
      <c r="D16" t="s">
        <v>2581</v>
      </c>
      <c r="E16" t="s">
        <v>2580</v>
      </c>
      <c r="F16">
        <v>78000</v>
      </c>
      <c r="G16" t="s">
        <v>2639</v>
      </c>
      <c r="H16" s="3">
        <v>42760</v>
      </c>
      <c r="I16" t="s">
        <v>2640</v>
      </c>
      <c r="J16">
        <v>70000</v>
      </c>
      <c r="K16" s="1"/>
      <c r="M16" s="3">
        <v>42760</v>
      </c>
      <c r="N16" t="s">
        <v>54</v>
      </c>
      <c r="P16" t="s">
        <v>56</v>
      </c>
      <c r="Q16">
        <v>64500</v>
      </c>
      <c r="R16" s="3">
        <v>43151</v>
      </c>
      <c r="S16" t="s">
        <v>57</v>
      </c>
      <c r="U16" t="s">
        <v>60</v>
      </c>
      <c r="V16">
        <v>5000</v>
      </c>
      <c r="AG16" t="s">
        <v>2641</v>
      </c>
      <c r="AH16" s="3">
        <v>43057</v>
      </c>
      <c r="AI16">
        <v>78000</v>
      </c>
      <c r="AJ16">
        <v>0</v>
      </c>
      <c r="AS16" t="s">
        <v>2642</v>
      </c>
      <c r="AT16" s="3">
        <v>43111</v>
      </c>
      <c r="AU16">
        <v>78000</v>
      </c>
      <c r="AV16">
        <v>0</v>
      </c>
      <c r="AW16">
        <v>0</v>
      </c>
      <c r="AX16">
        <v>0</v>
      </c>
      <c r="BQ16" t="s">
        <v>72</v>
      </c>
      <c r="BR16" t="s">
        <v>2643</v>
      </c>
    </row>
    <row r="17" spans="1:71" x14ac:dyDescent="0.25">
      <c r="A17" s="10" t="s">
        <v>2644</v>
      </c>
      <c r="B17" s="3">
        <v>42770</v>
      </c>
      <c r="C17" t="s">
        <v>2580</v>
      </c>
      <c r="D17" t="s">
        <v>2581</v>
      </c>
      <c r="E17" t="s">
        <v>2580</v>
      </c>
      <c r="F17">
        <v>79000</v>
      </c>
      <c r="G17" t="s">
        <v>2645</v>
      </c>
      <c r="H17" s="3">
        <v>42770</v>
      </c>
      <c r="I17" t="s">
        <v>2444</v>
      </c>
      <c r="J17">
        <v>72000</v>
      </c>
      <c r="K17" s="1"/>
      <c r="M17" s="3">
        <v>42770</v>
      </c>
      <c r="N17" t="s">
        <v>54</v>
      </c>
      <c r="P17" t="s">
        <v>56</v>
      </c>
      <c r="Q17">
        <v>66500</v>
      </c>
      <c r="R17" s="3">
        <v>42825</v>
      </c>
      <c r="S17" t="s">
        <v>54</v>
      </c>
      <c r="U17" t="s">
        <v>60</v>
      </c>
      <c r="V17">
        <v>4900</v>
      </c>
      <c r="AG17" t="s">
        <v>2646</v>
      </c>
      <c r="AH17" s="3">
        <v>42816</v>
      </c>
      <c r="AI17">
        <v>79000</v>
      </c>
      <c r="AJ17">
        <v>1000</v>
      </c>
      <c r="AK17" t="s">
        <v>2647</v>
      </c>
      <c r="AL17" s="3">
        <v>42915</v>
      </c>
      <c r="AM17">
        <v>1000</v>
      </c>
      <c r="AN17">
        <v>4000</v>
      </c>
      <c r="AS17" t="s">
        <v>2648</v>
      </c>
      <c r="AT17" s="3">
        <v>42886</v>
      </c>
      <c r="AU17">
        <v>78000</v>
      </c>
      <c r="AV17">
        <v>0</v>
      </c>
      <c r="AW17">
        <v>0</v>
      </c>
      <c r="AX17">
        <v>1000</v>
      </c>
      <c r="BQ17" t="s">
        <v>72</v>
      </c>
      <c r="BR17" t="s">
        <v>2649</v>
      </c>
    </row>
    <row r="18" spans="1:71" hidden="1" x14ac:dyDescent="0.25">
      <c r="A18" s="12" t="s">
        <v>2650</v>
      </c>
      <c r="B18" s="3">
        <v>42775</v>
      </c>
      <c r="C18" t="s">
        <v>2580</v>
      </c>
      <c r="D18" t="s">
        <v>2581</v>
      </c>
      <c r="E18" t="s">
        <v>2580</v>
      </c>
      <c r="F18">
        <v>73000</v>
      </c>
      <c r="G18" t="s">
        <v>2651</v>
      </c>
      <c r="H18" s="3">
        <v>42775</v>
      </c>
      <c r="I18" t="s">
        <v>1305</v>
      </c>
      <c r="J18">
        <v>63000</v>
      </c>
      <c r="K18" s="1"/>
      <c r="M18" s="3">
        <v>42775</v>
      </c>
      <c r="N18" t="s">
        <v>54</v>
      </c>
      <c r="P18" t="s">
        <v>56</v>
      </c>
      <c r="Q18">
        <v>52200</v>
      </c>
      <c r="R18" s="3">
        <v>42853</v>
      </c>
      <c r="S18" t="s">
        <v>54</v>
      </c>
      <c r="T18" t="s">
        <v>1308</v>
      </c>
      <c r="U18" t="s">
        <v>60</v>
      </c>
      <c r="V18">
        <v>9800</v>
      </c>
      <c r="AG18" t="s">
        <v>2652</v>
      </c>
      <c r="AH18" s="3">
        <v>42835</v>
      </c>
      <c r="AI18">
        <v>73000</v>
      </c>
      <c r="AJ18">
        <v>0</v>
      </c>
      <c r="AS18" t="s">
        <v>2653</v>
      </c>
      <c r="AT18" s="3">
        <v>42944</v>
      </c>
      <c r="AU18">
        <v>116000</v>
      </c>
      <c r="AV18">
        <v>0</v>
      </c>
      <c r="AW18">
        <v>0</v>
      </c>
      <c r="AX18">
        <v>0</v>
      </c>
      <c r="BQ18" t="s">
        <v>72</v>
      </c>
      <c r="BR18" t="s">
        <v>2654</v>
      </c>
    </row>
    <row r="19" spans="1:71" x14ac:dyDescent="0.25">
      <c r="A19" s="12" t="s">
        <v>2655</v>
      </c>
      <c r="B19" s="3">
        <v>42775</v>
      </c>
      <c r="C19" t="s">
        <v>2580</v>
      </c>
      <c r="D19" t="s">
        <v>2581</v>
      </c>
      <c r="E19" t="s">
        <v>2580</v>
      </c>
      <c r="F19">
        <v>44000</v>
      </c>
      <c r="G19" t="s">
        <v>2656</v>
      </c>
      <c r="H19" s="3">
        <v>42775</v>
      </c>
      <c r="I19" t="s">
        <v>278</v>
      </c>
      <c r="J19">
        <v>40000</v>
      </c>
      <c r="K19" s="1"/>
      <c r="M19" s="3">
        <v>42775</v>
      </c>
      <c r="N19" t="s">
        <v>54</v>
      </c>
      <c r="P19" t="s">
        <v>56</v>
      </c>
      <c r="Q19">
        <v>34500</v>
      </c>
      <c r="R19" s="3">
        <v>42825</v>
      </c>
      <c r="S19" t="s">
        <v>54</v>
      </c>
      <c r="U19" t="s">
        <v>60</v>
      </c>
      <c r="V19">
        <v>1800</v>
      </c>
      <c r="W19" s="3">
        <v>42825</v>
      </c>
      <c r="X19" t="s">
        <v>57</v>
      </c>
      <c r="Z19" t="s">
        <v>60</v>
      </c>
      <c r="AA19">
        <v>3100</v>
      </c>
      <c r="AG19" t="s">
        <v>2657</v>
      </c>
      <c r="AH19" s="3">
        <v>42816</v>
      </c>
      <c r="AI19">
        <v>44000</v>
      </c>
      <c r="AJ19">
        <v>2000</v>
      </c>
      <c r="AK19" t="s">
        <v>2658</v>
      </c>
      <c r="AL19" s="3">
        <v>42915</v>
      </c>
      <c r="AM19">
        <v>2000</v>
      </c>
      <c r="AN19">
        <v>4000</v>
      </c>
      <c r="AS19" t="s">
        <v>2659</v>
      </c>
      <c r="AT19" s="3">
        <v>42909</v>
      </c>
      <c r="AU19">
        <v>42000</v>
      </c>
      <c r="AV19">
        <v>0</v>
      </c>
      <c r="AW19">
        <v>0</v>
      </c>
      <c r="AX19">
        <v>2000</v>
      </c>
      <c r="BQ19" t="s">
        <v>72</v>
      </c>
      <c r="BR19" t="s">
        <v>2660</v>
      </c>
    </row>
    <row r="20" spans="1:71" x14ac:dyDescent="0.25">
      <c r="A20" s="10" t="s">
        <v>2661</v>
      </c>
      <c r="B20" s="3">
        <v>42782</v>
      </c>
      <c r="C20" t="s">
        <v>2580</v>
      </c>
      <c r="D20" t="s">
        <v>2581</v>
      </c>
      <c r="E20" t="s">
        <v>2580</v>
      </c>
      <c r="F20">
        <v>79000</v>
      </c>
      <c r="G20" t="s">
        <v>2662</v>
      </c>
      <c r="H20" s="3">
        <v>42782</v>
      </c>
      <c r="I20" t="s">
        <v>2444</v>
      </c>
      <c r="J20">
        <v>70000</v>
      </c>
      <c r="K20" s="1"/>
      <c r="M20" s="3">
        <v>42783</v>
      </c>
      <c r="N20" t="s">
        <v>54</v>
      </c>
      <c r="P20" t="s">
        <v>56</v>
      </c>
      <c r="Q20">
        <v>64500</v>
      </c>
      <c r="R20" s="3">
        <v>42825</v>
      </c>
      <c r="S20" t="s">
        <v>54</v>
      </c>
      <c r="U20" t="s">
        <v>60</v>
      </c>
      <c r="V20">
        <v>4900</v>
      </c>
      <c r="AG20" t="s">
        <v>2663</v>
      </c>
      <c r="AH20" s="3">
        <v>42816</v>
      </c>
      <c r="AI20">
        <v>79000</v>
      </c>
      <c r="AJ20">
        <v>1000</v>
      </c>
      <c r="AK20" t="s">
        <v>2647</v>
      </c>
      <c r="AL20" s="3">
        <v>42915</v>
      </c>
      <c r="AM20">
        <v>1000</v>
      </c>
      <c r="AN20">
        <v>4000</v>
      </c>
      <c r="AS20" t="s">
        <v>2648</v>
      </c>
      <c r="AT20" s="3">
        <v>42886</v>
      </c>
      <c r="AU20">
        <v>78000</v>
      </c>
      <c r="AV20">
        <v>0</v>
      </c>
      <c r="AW20">
        <v>0</v>
      </c>
      <c r="AX20">
        <v>1000</v>
      </c>
      <c r="BQ20" t="s">
        <v>72</v>
      </c>
      <c r="BR20" t="s">
        <v>2649</v>
      </c>
    </row>
    <row r="21" spans="1:71" x14ac:dyDescent="0.25">
      <c r="A21" s="10" t="s">
        <v>2664</v>
      </c>
      <c r="B21" s="3">
        <v>42782</v>
      </c>
      <c r="C21" t="s">
        <v>2580</v>
      </c>
      <c r="D21" t="s">
        <v>2581</v>
      </c>
      <c r="E21" t="s">
        <v>2580</v>
      </c>
      <c r="F21">
        <v>44000</v>
      </c>
      <c r="G21" t="s">
        <v>2665</v>
      </c>
      <c r="H21" s="3">
        <v>42782</v>
      </c>
      <c r="I21" t="s">
        <v>2444</v>
      </c>
      <c r="J21">
        <v>38000</v>
      </c>
      <c r="K21" s="1"/>
      <c r="M21" s="3">
        <v>42783</v>
      </c>
      <c r="N21" t="s">
        <v>54</v>
      </c>
      <c r="P21" t="s">
        <v>56</v>
      </c>
      <c r="Q21">
        <v>34500</v>
      </c>
      <c r="R21" s="3">
        <v>42825</v>
      </c>
      <c r="S21" t="s">
        <v>54</v>
      </c>
      <c r="U21" t="s">
        <v>60</v>
      </c>
      <c r="V21">
        <v>2900</v>
      </c>
      <c r="AG21" t="s">
        <v>2666</v>
      </c>
      <c r="AH21" s="3">
        <v>42816</v>
      </c>
      <c r="AI21">
        <v>44000</v>
      </c>
      <c r="AJ21">
        <v>2000</v>
      </c>
      <c r="AK21" t="s">
        <v>2647</v>
      </c>
      <c r="AL21" s="3">
        <v>42915</v>
      </c>
      <c r="AM21">
        <v>2000</v>
      </c>
      <c r="AN21">
        <v>4000</v>
      </c>
      <c r="AS21" t="s">
        <v>2648</v>
      </c>
      <c r="AT21" s="3">
        <v>42886</v>
      </c>
      <c r="AU21">
        <v>42000</v>
      </c>
      <c r="AV21">
        <v>0</v>
      </c>
      <c r="AW21">
        <v>0</v>
      </c>
      <c r="AX21">
        <v>2000</v>
      </c>
      <c r="BQ21" t="s">
        <v>72</v>
      </c>
      <c r="BR21" t="s">
        <v>2649</v>
      </c>
    </row>
    <row r="22" spans="1:71" x14ac:dyDescent="0.25">
      <c r="A22" s="12" t="s">
        <v>2667</v>
      </c>
      <c r="B22" s="3">
        <v>42789</v>
      </c>
      <c r="C22" t="s">
        <v>2580</v>
      </c>
      <c r="D22" t="s">
        <v>2581</v>
      </c>
      <c r="E22" t="s">
        <v>2580</v>
      </c>
      <c r="F22">
        <v>44000</v>
      </c>
      <c r="G22" t="s">
        <v>2668</v>
      </c>
      <c r="H22" s="3">
        <v>42789</v>
      </c>
      <c r="I22" t="s">
        <v>2444</v>
      </c>
      <c r="J22">
        <v>38000</v>
      </c>
      <c r="K22" s="1"/>
      <c r="M22" s="3">
        <v>42790</v>
      </c>
      <c r="N22" t="s">
        <v>54</v>
      </c>
      <c r="P22" t="s">
        <v>56</v>
      </c>
      <c r="Q22">
        <v>34500</v>
      </c>
      <c r="R22" s="3">
        <v>42825</v>
      </c>
      <c r="S22" t="s">
        <v>57</v>
      </c>
      <c r="U22" t="s">
        <v>60</v>
      </c>
      <c r="V22">
        <v>2900</v>
      </c>
      <c r="AG22" t="s">
        <v>2669</v>
      </c>
      <c r="AH22" s="3">
        <v>42816</v>
      </c>
      <c r="AI22">
        <v>44000</v>
      </c>
      <c r="AJ22">
        <v>2000</v>
      </c>
      <c r="AK22" t="s">
        <v>2658</v>
      </c>
      <c r="AL22" s="3">
        <v>42915</v>
      </c>
      <c r="AM22">
        <v>2000</v>
      </c>
      <c r="AN22">
        <v>4000</v>
      </c>
      <c r="AS22" t="s">
        <v>2659</v>
      </c>
      <c r="AT22" s="3">
        <v>42909</v>
      </c>
      <c r="AU22">
        <v>42000</v>
      </c>
      <c r="AV22">
        <v>0</v>
      </c>
      <c r="AW22">
        <v>0</v>
      </c>
      <c r="AX22">
        <v>2000</v>
      </c>
      <c r="BQ22" t="s">
        <v>72</v>
      </c>
      <c r="BR22" t="s">
        <v>2660</v>
      </c>
    </row>
    <row r="23" spans="1:71" hidden="1" x14ac:dyDescent="0.25">
      <c r="A23" s="12" t="s">
        <v>2670</v>
      </c>
      <c r="B23" s="3">
        <v>42811</v>
      </c>
      <c r="C23" t="s">
        <v>2580</v>
      </c>
      <c r="D23" t="s">
        <v>2581</v>
      </c>
      <c r="E23" t="s">
        <v>2580</v>
      </c>
      <c r="F23">
        <v>43000</v>
      </c>
      <c r="G23" t="s">
        <v>2671</v>
      </c>
      <c r="H23" s="3">
        <v>42811</v>
      </c>
      <c r="I23" t="s">
        <v>2640</v>
      </c>
      <c r="J23">
        <v>38000</v>
      </c>
      <c r="K23" s="1"/>
      <c r="M23" s="3">
        <v>42811</v>
      </c>
      <c r="N23" t="s">
        <v>54</v>
      </c>
      <c r="P23" t="s">
        <v>56</v>
      </c>
      <c r="Q23">
        <v>32500</v>
      </c>
      <c r="R23" s="3">
        <v>42836</v>
      </c>
      <c r="S23" t="s">
        <v>54</v>
      </c>
      <c r="T23" t="s">
        <v>2672</v>
      </c>
      <c r="U23" t="s">
        <v>60</v>
      </c>
      <c r="V23">
        <v>4900</v>
      </c>
      <c r="AG23" t="s">
        <v>2652</v>
      </c>
      <c r="AH23" s="3">
        <v>42835</v>
      </c>
      <c r="AI23">
        <v>43000</v>
      </c>
      <c r="AJ23">
        <v>0</v>
      </c>
      <c r="AS23" s="13" t="s">
        <v>2653</v>
      </c>
      <c r="AT23" s="3">
        <v>42944</v>
      </c>
      <c r="AU23">
        <v>116000</v>
      </c>
      <c r="AV23">
        <v>0</v>
      </c>
      <c r="AW23">
        <v>0</v>
      </c>
      <c r="AX23">
        <v>0</v>
      </c>
      <c r="BQ23" t="s">
        <v>72</v>
      </c>
      <c r="BR23" t="s">
        <v>2654</v>
      </c>
    </row>
    <row r="24" spans="1:71" hidden="1" x14ac:dyDescent="0.25">
      <c r="A24" s="12" t="s">
        <v>2673</v>
      </c>
      <c r="B24" s="3">
        <v>42867</v>
      </c>
      <c r="C24" t="s">
        <v>2580</v>
      </c>
      <c r="D24" t="s">
        <v>2581</v>
      </c>
      <c r="E24" t="s">
        <v>2580</v>
      </c>
      <c r="F24">
        <v>73000</v>
      </c>
      <c r="G24" t="s">
        <v>2674</v>
      </c>
      <c r="H24" s="3">
        <v>42867</v>
      </c>
      <c r="I24" t="s">
        <v>1305</v>
      </c>
      <c r="J24">
        <v>66000</v>
      </c>
      <c r="K24" s="1"/>
      <c r="M24" s="3">
        <v>42867</v>
      </c>
      <c r="N24" t="s">
        <v>54</v>
      </c>
      <c r="O24" t="s">
        <v>1306</v>
      </c>
      <c r="P24" t="s">
        <v>56</v>
      </c>
      <c r="Q24">
        <v>55200</v>
      </c>
      <c r="R24" s="3">
        <v>42963</v>
      </c>
      <c r="S24" t="s">
        <v>54</v>
      </c>
      <c r="T24" t="s">
        <v>1306</v>
      </c>
      <c r="U24" t="s">
        <v>60</v>
      </c>
      <c r="V24">
        <v>9850</v>
      </c>
      <c r="AG24" t="s">
        <v>2675</v>
      </c>
      <c r="AH24" s="3">
        <v>42915</v>
      </c>
      <c r="AI24">
        <v>73000</v>
      </c>
      <c r="AJ24">
        <v>0</v>
      </c>
      <c r="AS24" t="s">
        <v>2676</v>
      </c>
      <c r="AT24" s="3">
        <v>42975</v>
      </c>
      <c r="AU24">
        <v>73000</v>
      </c>
      <c r="AV24">
        <v>0</v>
      </c>
      <c r="AW24">
        <v>0</v>
      </c>
      <c r="AX24">
        <v>0</v>
      </c>
      <c r="BQ24" t="s">
        <v>72</v>
      </c>
      <c r="BR24" t="s">
        <v>2677</v>
      </c>
    </row>
    <row r="25" spans="1:71" hidden="1" x14ac:dyDescent="0.25">
      <c r="A25" s="12" t="s">
        <v>2678</v>
      </c>
      <c r="B25" s="3">
        <v>42874</v>
      </c>
      <c r="C25" t="s">
        <v>2580</v>
      </c>
      <c r="D25" t="s">
        <v>2581</v>
      </c>
      <c r="E25" t="s">
        <v>2580</v>
      </c>
      <c r="F25">
        <v>73000</v>
      </c>
      <c r="G25" t="s">
        <v>2679</v>
      </c>
      <c r="H25" s="3">
        <v>42874</v>
      </c>
      <c r="I25" t="s">
        <v>2444</v>
      </c>
      <c r="J25">
        <v>47000</v>
      </c>
      <c r="K25" s="1"/>
      <c r="M25" s="3">
        <v>42875</v>
      </c>
      <c r="N25" t="s">
        <v>54</v>
      </c>
      <c r="O25" t="s">
        <v>279</v>
      </c>
      <c r="P25" t="s">
        <v>56</v>
      </c>
      <c r="Q25">
        <v>40500</v>
      </c>
      <c r="R25" s="3">
        <v>42892</v>
      </c>
      <c r="S25" t="s">
        <v>54</v>
      </c>
      <c r="T25" t="s">
        <v>2680</v>
      </c>
      <c r="U25" t="s">
        <v>60</v>
      </c>
      <c r="V25">
        <v>5900</v>
      </c>
      <c r="AG25" t="s">
        <v>2681</v>
      </c>
      <c r="AH25" s="3">
        <v>42906</v>
      </c>
      <c r="AI25">
        <v>73000</v>
      </c>
      <c r="AJ25">
        <v>0</v>
      </c>
      <c r="AS25" t="s">
        <v>2653</v>
      </c>
      <c r="AT25" s="3">
        <v>42944</v>
      </c>
      <c r="AU25">
        <v>73000</v>
      </c>
      <c r="AV25">
        <v>0</v>
      </c>
      <c r="AW25">
        <v>0</v>
      </c>
      <c r="AX25">
        <v>0</v>
      </c>
      <c r="BQ25" t="s">
        <v>72</v>
      </c>
      <c r="BR25" t="s">
        <v>2654</v>
      </c>
    </row>
    <row r="26" spans="1:71" hidden="1" x14ac:dyDescent="0.25">
      <c r="A26" s="12" t="s">
        <v>2682</v>
      </c>
      <c r="B26" s="3">
        <v>42882</v>
      </c>
      <c r="C26" t="s">
        <v>2580</v>
      </c>
      <c r="D26" t="s">
        <v>2581</v>
      </c>
      <c r="E26" t="s">
        <v>2580</v>
      </c>
      <c r="F26">
        <v>147000</v>
      </c>
      <c r="G26" t="s">
        <v>2683</v>
      </c>
      <c r="H26" s="3">
        <v>42882</v>
      </c>
      <c r="I26" t="s">
        <v>1305</v>
      </c>
      <c r="J26">
        <v>128000</v>
      </c>
      <c r="K26" s="1"/>
      <c r="M26" s="3">
        <v>42882</v>
      </c>
      <c r="N26" t="s">
        <v>1336</v>
      </c>
      <c r="O26" t="s">
        <v>1306</v>
      </c>
      <c r="P26" t="s">
        <v>56</v>
      </c>
      <c r="Q26">
        <v>20000</v>
      </c>
      <c r="R26" s="3">
        <v>42882</v>
      </c>
      <c r="S26" t="s">
        <v>54</v>
      </c>
      <c r="U26" t="s">
        <v>56</v>
      </c>
      <c r="V26">
        <v>87200</v>
      </c>
      <c r="W26" s="3">
        <v>42950</v>
      </c>
      <c r="X26" t="s">
        <v>54</v>
      </c>
      <c r="Y26" t="s">
        <v>2684</v>
      </c>
      <c r="Z26" t="s">
        <v>60</v>
      </c>
      <c r="AA26">
        <v>19700</v>
      </c>
      <c r="AG26" t="s">
        <v>2685</v>
      </c>
      <c r="AH26" s="3">
        <v>42915</v>
      </c>
      <c r="AI26">
        <v>147000</v>
      </c>
      <c r="AJ26">
        <v>0</v>
      </c>
      <c r="AS26" t="s">
        <v>2676</v>
      </c>
      <c r="AT26" s="3">
        <v>42975</v>
      </c>
      <c r="AU26">
        <v>147000</v>
      </c>
      <c r="AV26">
        <v>0</v>
      </c>
      <c r="AW26">
        <v>0</v>
      </c>
      <c r="AX26">
        <v>0</v>
      </c>
      <c r="BQ26" t="s">
        <v>72</v>
      </c>
      <c r="BR26" t="s">
        <v>2677</v>
      </c>
    </row>
    <row r="27" spans="1:71" x14ac:dyDescent="0.25">
      <c r="A27" t="s">
        <v>2686</v>
      </c>
      <c r="B27" s="3">
        <v>42908</v>
      </c>
      <c r="C27" t="s">
        <v>2580</v>
      </c>
      <c r="D27" t="s">
        <v>2581</v>
      </c>
      <c r="E27" t="s">
        <v>2580</v>
      </c>
      <c r="F27">
        <v>43000</v>
      </c>
      <c r="G27" t="s">
        <v>2687</v>
      </c>
      <c r="H27" s="3">
        <v>42908</v>
      </c>
      <c r="I27" t="s">
        <v>2444</v>
      </c>
      <c r="J27">
        <v>39000</v>
      </c>
      <c r="K27" s="1"/>
      <c r="M27" s="3">
        <v>42909</v>
      </c>
      <c r="N27" t="s">
        <v>54</v>
      </c>
      <c r="O27" t="s">
        <v>297</v>
      </c>
      <c r="P27" t="s">
        <v>56</v>
      </c>
      <c r="Q27">
        <v>34500</v>
      </c>
      <c r="R27" s="3">
        <v>42935</v>
      </c>
      <c r="S27" t="s">
        <v>54</v>
      </c>
      <c r="T27" t="s">
        <v>2688</v>
      </c>
      <c r="U27" t="s">
        <v>60</v>
      </c>
      <c r="V27">
        <v>3950</v>
      </c>
      <c r="AG27" t="s">
        <v>2689</v>
      </c>
      <c r="AH27" s="3">
        <v>43057</v>
      </c>
      <c r="AI27">
        <v>43000</v>
      </c>
      <c r="AJ27">
        <v>1000</v>
      </c>
      <c r="AK27" t="s">
        <v>2690</v>
      </c>
      <c r="AL27" s="3">
        <v>43111</v>
      </c>
      <c r="AM27">
        <v>1000</v>
      </c>
      <c r="AN27">
        <v>0</v>
      </c>
      <c r="AS27" t="s">
        <v>2642</v>
      </c>
      <c r="AT27" s="3">
        <v>43111</v>
      </c>
      <c r="AU27">
        <v>42000</v>
      </c>
      <c r="AV27">
        <v>0</v>
      </c>
      <c r="AW27">
        <v>0</v>
      </c>
      <c r="AX27">
        <v>1000</v>
      </c>
      <c r="AY27" t="s">
        <v>2691</v>
      </c>
      <c r="AZ27" s="3">
        <v>43137</v>
      </c>
      <c r="BA27">
        <v>1000</v>
      </c>
      <c r="BB27">
        <v>0</v>
      </c>
      <c r="BC27">
        <v>0</v>
      </c>
      <c r="BD27">
        <v>0</v>
      </c>
      <c r="BQ27" t="s">
        <v>72</v>
      </c>
      <c r="BR27" t="s">
        <v>2692</v>
      </c>
      <c r="BS27" t="s">
        <v>1419</v>
      </c>
    </row>
    <row r="28" spans="1:71" hidden="1" x14ac:dyDescent="0.25">
      <c r="A28" t="s">
        <v>2693</v>
      </c>
      <c r="B28" s="3">
        <v>42916</v>
      </c>
      <c r="C28" t="s">
        <v>2580</v>
      </c>
      <c r="D28" t="s">
        <v>2581</v>
      </c>
      <c r="E28" t="s">
        <v>2580</v>
      </c>
      <c r="F28">
        <v>73000</v>
      </c>
      <c r="G28" t="s">
        <v>2694</v>
      </c>
      <c r="H28" s="3">
        <v>42916</v>
      </c>
      <c r="I28" t="s">
        <v>1305</v>
      </c>
      <c r="J28">
        <v>63000</v>
      </c>
      <c r="K28" s="1"/>
      <c r="M28" s="3">
        <v>42916</v>
      </c>
      <c r="N28" t="s">
        <v>54</v>
      </c>
      <c r="O28" t="s">
        <v>1306</v>
      </c>
      <c r="P28" t="s">
        <v>56</v>
      </c>
      <c r="Q28">
        <v>52200</v>
      </c>
      <c r="R28" s="3">
        <v>42950</v>
      </c>
      <c r="S28" t="s">
        <v>54</v>
      </c>
      <c r="T28" t="s">
        <v>2684</v>
      </c>
      <c r="U28" t="s">
        <v>60</v>
      </c>
      <c r="V28">
        <v>9800</v>
      </c>
      <c r="AG28" t="s">
        <v>2695</v>
      </c>
      <c r="AH28" s="3">
        <v>42916</v>
      </c>
      <c r="AI28">
        <v>73000</v>
      </c>
      <c r="AJ28">
        <v>0</v>
      </c>
      <c r="AS28" t="s">
        <v>2696</v>
      </c>
      <c r="AT28" s="3">
        <v>43017</v>
      </c>
      <c r="AU28">
        <v>73000</v>
      </c>
      <c r="AV28">
        <v>0</v>
      </c>
      <c r="AW28">
        <v>0</v>
      </c>
      <c r="AX28">
        <v>0</v>
      </c>
      <c r="BQ28" t="s">
        <v>72</v>
      </c>
      <c r="BR28" t="s">
        <v>2697</v>
      </c>
    </row>
    <row r="29" spans="1:71" hidden="1" x14ac:dyDescent="0.25">
      <c r="A29" t="s">
        <v>2698</v>
      </c>
      <c r="B29" s="3">
        <v>42922</v>
      </c>
      <c r="C29" t="s">
        <v>2580</v>
      </c>
      <c r="D29" t="s">
        <v>2699</v>
      </c>
      <c r="E29" t="s">
        <v>2580</v>
      </c>
      <c r="F29">
        <v>73000</v>
      </c>
      <c r="G29" t="s">
        <v>2700</v>
      </c>
      <c r="H29" s="3">
        <v>42922</v>
      </c>
      <c r="I29" t="s">
        <v>1305</v>
      </c>
      <c r="J29">
        <v>65000</v>
      </c>
      <c r="K29" s="1"/>
      <c r="M29" s="3">
        <v>42924</v>
      </c>
      <c r="N29" t="s">
        <v>54</v>
      </c>
      <c r="O29" t="s">
        <v>1306</v>
      </c>
      <c r="P29" t="s">
        <v>56</v>
      </c>
      <c r="Q29">
        <v>54200</v>
      </c>
      <c r="R29" s="3">
        <v>42950</v>
      </c>
      <c r="S29" t="s">
        <v>54</v>
      </c>
      <c r="T29" t="s">
        <v>2684</v>
      </c>
      <c r="U29" t="s">
        <v>60</v>
      </c>
      <c r="V29">
        <v>9800</v>
      </c>
      <c r="AG29" t="s">
        <v>2701</v>
      </c>
      <c r="AH29" s="3">
        <v>42922</v>
      </c>
      <c r="AI29">
        <v>73000</v>
      </c>
      <c r="AJ29">
        <v>0</v>
      </c>
      <c r="AS29" t="s">
        <v>2696</v>
      </c>
      <c r="AT29" s="3">
        <v>43017</v>
      </c>
      <c r="AU29">
        <v>73000</v>
      </c>
      <c r="AV29">
        <v>0</v>
      </c>
      <c r="AW29">
        <v>0</v>
      </c>
      <c r="AX29">
        <v>0</v>
      </c>
      <c r="BQ29" t="s">
        <v>72</v>
      </c>
      <c r="BR29" t="s">
        <v>2697</v>
      </c>
    </row>
    <row r="30" spans="1:71" hidden="1" x14ac:dyDescent="0.25">
      <c r="A30" t="s">
        <v>2702</v>
      </c>
      <c r="B30" s="3">
        <v>43116</v>
      </c>
      <c r="C30" t="s">
        <v>2703</v>
      </c>
      <c r="D30" t="s">
        <v>2699</v>
      </c>
      <c r="E30" t="s">
        <v>2580</v>
      </c>
      <c r="F30">
        <v>36000</v>
      </c>
      <c r="G30" t="s">
        <v>2704</v>
      </c>
      <c r="H30" s="3">
        <v>43116</v>
      </c>
      <c r="I30" t="s">
        <v>2009</v>
      </c>
      <c r="J30">
        <v>34000</v>
      </c>
      <c r="K30" s="1"/>
      <c r="M30" s="3">
        <v>43117</v>
      </c>
      <c r="N30" t="s">
        <v>1336</v>
      </c>
      <c r="O30" t="s">
        <v>280</v>
      </c>
      <c r="P30" t="s">
        <v>56</v>
      </c>
      <c r="Q30">
        <v>10000</v>
      </c>
      <c r="R30" s="3">
        <v>43117</v>
      </c>
      <c r="S30" t="s">
        <v>54</v>
      </c>
      <c r="T30" t="s">
        <v>2705</v>
      </c>
      <c r="U30" t="s">
        <v>56</v>
      </c>
      <c r="V30">
        <v>21500</v>
      </c>
      <c r="W30" s="3">
        <v>43215</v>
      </c>
      <c r="X30" t="s">
        <v>54</v>
      </c>
      <c r="Y30" t="s">
        <v>297</v>
      </c>
      <c r="Z30" t="s">
        <v>60</v>
      </c>
      <c r="AA30">
        <v>1950</v>
      </c>
      <c r="AG30" t="s">
        <v>2706</v>
      </c>
      <c r="AH30" s="3">
        <v>43190</v>
      </c>
      <c r="AI30">
        <v>36000</v>
      </c>
      <c r="AJ30">
        <v>0</v>
      </c>
      <c r="AS30" t="s">
        <v>2707</v>
      </c>
      <c r="AT30" s="3">
        <v>43340</v>
      </c>
      <c r="AU30">
        <v>36000</v>
      </c>
      <c r="AV30">
        <v>0</v>
      </c>
      <c r="AW30">
        <v>0</v>
      </c>
      <c r="AX30">
        <v>0</v>
      </c>
      <c r="BQ30" t="s">
        <v>72</v>
      </c>
      <c r="BR30" t="s">
        <v>2708</v>
      </c>
    </row>
    <row r="31" spans="1:71" hidden="1" x14ac:dyDescent="0.25">
      <c r="A31" t="s">
        <v>2709</v>
      </c>
      <c r="B31" s="3">
        <v>43318</v>
      </c>
      <c r="C31" t="s">
        <v>2580</v>
      </c>
      <c r="D31" t="s">
        <v>2710</v>
      </c>
      <c r="E31" t="s">
        <v>2580</v>
      </c>
      <c r="F31">
        <v>80000</v>
      </c>
      <c r="G31" t="s">
        <v>2711</v>
      </c>
      <c r="H31" s="3">
        <v>43318</v>
      </c>
      <c r="I31" t="s">
        <v>53</v>
      </c>
      <c r="J31">
        <v>73000</v>
      </c>
      <c r="K31" s="1"/>
      <c r="M31" s="3">
        <v>43318</v>
      </c>
      <c r="N31" t="s">
        <v>54</v>
      </c>
      <c r="O31" t="s">
        <v>2712</v>
      </c>
      <c r="P31" t="s">
        <v>56</v>
      </c>
      <c r="Q31">
        <v>62200</v>
      </c>
      <c r="R31" s="3">
        <v>43393</v>
      </c>
      <c r="S31" t="s">
        <v>54</v>
      </c>
      <c r="T31" t="s">
        <v>2713</v>
      </c>
      <c r="U31" t="s">
        <v>60</v>
      </c>
      <c r="V31">
        <v>9800</v>
      </c>
      <c r="AG31" t="s">
        <v>2714</v>
      </c>
      <c r="AH31" s="3">
        <v>43363</v>
      </c>
      <c r="AI31">
        <v>80000</v>
      </c>
      <c r="AJ31">
        <v>0</v>
      </c>
      <c r="AS31" t="s">
        <v>2715</v>
      </c>
      <c r="AT31" s="3">
        <v>43494</v>
      </c>
      <c r="AU31">
        <v>156800</v>
      </c>
      <c r="AV31">
        <v>0</v>
      </c>
      <c r="AW31">
        <v>3200</v>
      </c>
      <c r="AX31">
        <v>0</v>
      </c>
      <c r="BQ31" t="s">
        <v>72</v>
      </c>
      <c r="BR31" t="s">
        <v>2716</v>
      </c>
    </row>
    <row r="32" spans="1:71" hidden="1" x14ac:dyDescent="0.25">
      <c r="A32" t="s">
        <v>2717</v>
      </c>
      <c r="B32" s="3">
        <v>43318</v>
      </c>
      <c r="C32" t="s">
        <v>2580</v>
      </c>
      <c r="D32" t="s">
        <v>2710</v>
      </c>
      <c r="E32" t="s">
        <v>2580</v>
      </c>
      <c r="F32">
        <v>80000</v>
      </c>
      <c r="G32" t="s">
        <v>2718</v>
      </c>
      <c r="H32" s="3">
        <v>43318</v>
      </c>
      <c r="I32" t="s">
        <v>53</v>
      </c>
      <c r="J32">
        <v>78000</v>
      </c>
      <c r="K32" s="1"/>
      <c r="M32" s="3">
        <v>43318</v>
      </c>
      <c r="N32" t="s">
        <v>54</v>
      </c>
      <c r="O32" t="s">
        <v>55</v>
      </c>
      <c r="P32" t="s">
        <v>56</v>
      </c>
      <c r="Q32">
        <v>67200</v>
      </c>
      <c r="R32" s="3">
        <v>43393</v>
      </c>
      <c r="S32" t="s">
        <v>54</v>
      </c>
      <c r="T32" t="s">
        <v>2713</v>
      </c>
      <c r="U32" t="s">
        <v>60</v>
      </c>
      <c r="V32">
        <v>9800</v>
      </c>
      <c r="AG32" t="s">
        <v>2714</v>
      </c>
      <c r="AH32" s="3">
        <v>43363</v>
      </c>
      <c r="AI32">
        <v>80000</v>
      </c>
      <c r="AJ32">
        <v>0</v>
      </c>
      <c r="AS32" s="13" t="s">
        <v>2715</v>
      </c>
      <c r="AT32" s="3">
        <v>43494</v>
      </c>
      <c r="AU32">
        <v>156800</v>
      </c>
      <c r="AV32">
        <v>0</v>
      </c>
      <c r="AW32">
        <v>3200</v>
      </c>
      <c r="AX32">
        <v>0</v>
      </c>
      <c r="BQ32" t="s">
        <v>72</v>
      </c>
      <c r="BR32" t="s">
        <v>2716</v>
      </c>
    </row>
    <row r="33" spans="1:36" x14ac:dyDescent="0.25">
      <c r="A33" t="s">
        <v>2719</v>
      </c>
      <c r="B33" s="3">
        <v>43326</v>
      </c>
      <c r="C33" t="s">
        <v>2580</v>
      </c>
      <c r="D33" t="s">
        <v>2710</v>
      </c>
      <c r="E33" t="s">
        <v>2580</v>
      </c>
      <c r="F33">
        <v>80000</v>
      </c>
      <c r="G33" t="s">
        <v>2720</v>
      </c>
      <c r="H33" s="3">
        <v>43326</v>
      </c>
      <c r="I33" t="s">
        <v>502</v>
      </c>
      <c r="J33">
        <v>72000</v>
      </c>
      <c r="K33" s="1"/>
      <c r="M33" s="3">
        <v>43326</v>
      </c>
      <c r="N33" t="s">
        <v>1336</v>
      </c>
      <c r="O33" t="s">
        <v>2721</v>
      </c>
      <c r="P33" t="s">
        <v>56</v>
      </c>
      <c r="Q33">
        <v>20000</v>
      </c>
      <c r="R33" s="3">
        <v>43326</v>
      </c>
      <c r="S33" t="s">
        <v>54</v>
      </c>
      <c r="T33" t="s">
        <v>2722</v>
      </c>
      <c r="U33" t="s">
        <v>56</v>
      </c>
      <c r="V33">
        <v>41300</v>
      </c>
      <c r="W33" s="3">
        <v>43358</v>
      </c>
      <c r="X33" t="s">
        <v>54</v>
      </c>
      <c r="Y33" t="s">
        <v>524</v>
      </c>
      <c r="Z33" t="s">
        <v>60</v>
      </c>
      <c r="AA33">
        <v>9800</v>
      </c>
      <c r="AG33" t="s">
        <v>2723</v>
      </c>
      <c r="AH33" s="3">
        <v>43370</v>
      </c>
      <c r="AI33">
        <v>80000</v>
      </c>
      <c r="AJ33">
        <v>80000</v>
      </c>
    </row>
  </sheetData>
  <autoFilter ref="A1:BV33">
    <filterColumn colId="35">
      <filters>
        <filter val="1000"/>
        <filter val="2000"/>
        <filter val="3000"/>
        <filter val="80000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V40"/>
  <sheetViews>
    <sheetView workbookViewId="0">
      <pane xSplit="6" ySplit="1" topLeftCell="AA2" activePane="bottomRight" state="frozen"/>
      <selection pane="topRight" activeCell="G1" sqref="G1"/>
      <selection pane="bottomLeft" activeCell="A2" sqref="A2"/>
      <selection pane="bottomRight" activeCell="V1" sqref="V1:V1048576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hidden="1" x14ac:dyDescent="0.25">
      <c r="A2" s="4" t="s">
        <v>2724</v>
      </c>
      <c r="B2" s="3">
        <v>42812</v>
      </c>
      <c r="C2" t="s">
        <v>75</v>
      </c>
      <c r="D2" t="s">
        <v>2725</v>
      </c>
      <c r="E2" t="s">
        <v>75</v>
      </c>
      <c r="F2">
        <v>115000</v>
      </c>
      <c r="G2" t="s">
        <v>2726</v>
      </c>
      <c r="H2" s="3">
        <v>42812</v>
      </c>
      <c r="I2" t="s">
        <v>107</v>
      </c>
      <c r="J2">
        <v>102000</v>
      </c>
      <c r="K2" s="1" t="s">
        <v>67</v>
      </c>
      <c r="M2" s="3">
        <v>42812</v>
      </c>
      <c r="N2" t="s">
        <v>54</v>
      </c>
      <c r="P2" t="s">
        <v>56</v>
      </c>
      <c r="Q2">
        <v>79000</v>
      </c>
      <c r="R2" s="3">
        <v>42875</v>
      </c>
      <c r="S2" t="s">
        <v>54</v>
      </c>
      <c r="T2" t="s">
        <v>1306</v>
      </c>
      <c r="U2" t="s">
        <v>60</v>
      </c>
      <c r="V2">
        <v>21700</v>
      </c>
      <c r="AG2" s="5" t="s">
        <v>2727</v>
      </c>
      <c r="AH2" s="3">
        <v>42874</v>
      </c>
      <c r="AI2" s="4">
        <v>115000</v>
      </c>
      <c r="AJ2">
        <v>0</v>
      </c>
      <c r="AS2" t="s">
        <v>2728</v>
      </c>
      <c r="AT2" s="3">
        <v>42991</v>
      </c>
      <c r="AU2">
        <v>115000</v>
      </c>
      <c r="AV2">
        <v>0</v>
      </c>
      <c r="AW2">
        <v>0</v>
      </c>
      <c r="AX2">
        <v>0</v>
      </c>
      <c r="BQ2" t="s">
        <v>72</v>
      </c>
      <c r="BR2" t="s">
        <v>2729</v>
      </c>
    </row>
    <row r="3" spans="1:74" hidden="1" x14ac:dyDescent="0.25">
      <c r="A3" s="4" t="s">
        <v>2730</v>
      </c>
      <c r="B3" s="3">
        <v>42818</v>
      </c>
      <c r="C3" t="s">
        <v>75</v>
      </c>
      <c r="D3" t="s">
        <v>2725</v>
      </c>
      <c r="E3" t="s">
        <v>75</v>
      </c>
      <c r="F3">
        <v>108000</v>
      </c>
      <c r="G3" t="s">
        <v>2731</v>
      </c>
      <c r="H3" s="3">
        <v>42818</v>
      </c>
      <c r="I3" t="s">
        <v>107</v>
      </c>
      <c r="J3">
        <v>98000</v>
      </c>
      <c r="K3" s="1" t="s">
        <v>67</v>
      </c>
      <c r="M3" s="3">
        <v>42821</v>
      </c>
      <c r="N3" t="s">
        <v>54</v>
      </c>
      <c r="P3" t="s">
        <v>56</v>
      </c>
      <c r="Q3">
        <v>80000</v>
      </c>
      <c r="R3" s="3">
        <v>42920</v>
      </c>
      <c r="S3" t="s">
        <v>54</v>
      </c>
      <c r="T3" t="s">
        <v>68</v>
      </c>
      <c r="U3" t="s">
        <v>60</v>
      </c>
      <c r="V3">
        <v>15700</v>
      </c>
      <c r="AG3" s="5" t="s">
        <v>2732</v>
      </c>
      <c r="AH3" s="3">
        <v>42874</v>
      </c>
      <c r="AI3" s="4">
        <v>108000</v>
      </c>
      <c r="AJ3">
        <v>0</v>
      </c>
      <c r="AS3" t="s">
        <v>2733</v>
      </c>
      <c r="AT3" s="3">
        <v>42970</v>
      </c>
      <c r="AU3">
        <v>105840</v>
      </c>
      <c r="AV3">
        <v>0</v>
      </c>
      <c r="AW3">
        <v>2160</v>
      </c>
      <c r="AX3">
        <v>0</v>
      </c>
      <c r="BQ3" t="s">
        <v>72</v>
      </c>
      <c r="BR3" t="s">
        <v>2729</v>
      </c>
    </row>
    <row r="4" spans="1:74" hidden="1" x14ac:dyDescent="0.25">
      <c r="A4" s="4" t="s">
        <v>2734</v>
      </c>
      <c r="B4" s="3">
        <v>42961</v>
      </c>
      <c r="C4" t="s">
        <v>75</v>
      </c>
      <c r="D4" t="s">
        <v>2735</v>
      </c>
      <c r="E4" t="s">
        <v>75</v>
      </c>
      <c r="F4">
        <v>135000</v>
      </c>
      <c r="G4" t="s">
        <v>2736</v>
      </c>
      <c r="H4" s="3">
        <v>42961</v>
      </c>
      <c r="I4" t="s">
        <v>1375</v>
      </c>
      <c r="J4">
        <v>122000</v>
      </c>
      <c r="K4" s="1" t="s">
        <v>67</v>
      </c>
      <c r="M4" s="3">
        <v>42968</v>
      </c>
      <c r="N4" t="s">
        <v>54</v>
      </c>
      <c r="O4" t="s">
        <v>2737</v>
      </c>
      <c r="P4" t="s">
        <v>56</v>
      </c>
      <c r="Q4">
        <v>106000</v>
      </c>
      <c r="R4" s="3">
        <v>43006</v>
      </c>
      <c r="S4" t="s">
        <v>54</v>
      </c>
      <c r="T4" t="s">
        <v>2738</v>
      </c>
      <c r="U4" t="s">
        <v>60</v>
      </c>
      <c r="V4">
        <v>14800</v>
      </c>
      <c r="AG4" s="5" t="s">
        <v>2739</v>
      </c>
      <c r="AH4" s="3">
        <v>43011</v>
      </c>
      <c r="AI4" s="4">
        <v>135000</v>
      </c>
      <c r="AJ4">
        <v>0</v>
      </c>
      <c r="AS4" t="s">
        <v>2740</v>
      </c>
      <c r="AT4" s="3">
        <v>43133</v>
      </c>
      <c r="AU4">
        <v>135000</v>
      </c>
      <c r="AV4">
        <v>0</v>
      </c>
      <c r="AW4">
        <v>0</v>
      </c>
      <c r="AX4">
        <v>0</v>
      </c>
      <c r="BQ4" t="s">
        <v>72</v>
      </c>
      <c r="BR4" t="s">
        <v>2741</v>
      </c>
    </row>
    <row r="5" spans="1:74" hidden="1" x14ac:dyDescent="0.25">
      <c r="A5" s="4" t="s">
        <v>2742</v>
      </c>
      <c r="B5" s="3">
        <v>42966</v>
      </c>
      <c r="C5" t="s">
        <v>75</v>
      </c>
      <c r="D5" t="s">
        <v>2735</v>
      </c>
      <c r="E5" t="s">
        <v>75</v>
      </c>
      <c r="F5">
        <v>107000</v>
      </c>
      <c r="G5" t="s">
        <v>2743</v>
      </c>
      <c r="H5" s="3">
        <v>42966</v>
      </c>
      <c r="I5" t="s">
        <v>1375</v>
      </c>
      <c r="J5">
        <v>96000</v>
      </c>
      <c r="K5" s="1" t="s">
        <v>67</v>
      </c>
      <c r="M5" s="3">
        <v>42971</v>
      </c>
      <c r="N5" t="s">
        <v>54</v>
      </c>
      <c r="O5" t="s">
        <v>2737</v>
      </c>
      <c r="P5" t="s">
        <v>56</v>
      </c>
      <c r="Q5">
        <v>80000</v>
      </c>
      <c r="R5" s="3">
        <v>43015</v>
      </c>
      <c r="S5" t="s">
        <v>54</v>
      </c>
      <c r="T5" t="s">
        <v>2744</v>
      </c>
      <c r="U5" t="s">
        <v>60</v>
      </c>
      <c r="V5">
        <v>14700</v>
      </c>
      <c r="AG5" s="5" t="s">
        <v>2745</v>
      </c>
      <c r="AH5" s="3">
        <v>43011</v>
      </c>
      <c r="AI5" s="4">
        <v>107000</v>
      </c>
      <c r="AJ5">
        <v>0</v>
      </c>
      <c r="AS5" t="s">
        <v>2746</v>
      </c>
      <c r="AT5" s="3">
        <v>43117</v>
      </c>
      <c r="AU5">
        <v>104860</v>
      </c>
      <c r="AV5">
        <v>0</v>
      </c>
      <c r="AW5">
        <v>2140</v>
      </c>
      <c r="AX5">
        <v>0</v>
      </c>
      <c r="BQ5" t="s">
        <v>72</v>
      </c>
      <c r="BR5" t="s">
        <v>2747</v>
      </c>
    </row>
    <row r="6" spans="1:74" hidden="1" x14ac:dyDescent="0.25">
      <c r="A6" s="4" t="s">
        <v>2748</v>
      </c>
      <c r="B6" s="3">
        <v>42993</v>
      </c>
      <c r="C6" t="s">
        <v>75</v>
      </c>
      <c r="D6" t="s">
        <v>2735</v>
      </c>
      <c r="E6" t="s">
        <v>75</v>
      </c>
      <c r="F6">
        <v>99000</v>
      </c>
      <c r="G6" t="s">
        <v>2749</v>
      </c>
      <c r="H6" s="3">
        <v>42993</v>
      </c>
      <c r="I6" t="s">
        <v>66</v>
      </c>
      <c r="J6">
        <v>91000</v>
      </c>
      <c r="K6" s="1" t="s">
        <v>67</v>
      </c>
      <c r="M6" s="3">
        <v>42993</v>
      </c>
      <c r="N6" t="s">
        <v>54</v>
      </c>
      <c r="O6" t="s">
        <v>66</v>
      </c>
      <c r="P6" t="s">
        <v>56</v>
      </c>
      <c r="Q6">
        <v>80000</v>
      </c>
      <c r="R6" s="3">
        <v>43035</v>
      </c>
      <c r="S6" t="s">
        <v>54</v>
      </c>
      <c r="T6" t="s">
        <v>69</v>
      </c>
      <c r="U6" t="s">
        <v>60</v>
      </c>
      <c r="V6">
        <v>9800</v>
      </c>
      <c r="AG6" s="5" t="s">
        <v>2750</v>
      </c>
      <c r="AH6" s="3">
        <v>43035</v>
      </c>
      <c r="AI6" s="4">
        <v>99000</v>
      </c>
      <c r="AJ6">
        <v>0</v>
      </c>
      <c r="AS6" t="s">
        <v>2746</v>
      </c>
      <c r="AT6" s="3">
        <v>43117</v>
      </c>
      <c r="AU6">
        <v>97020</v>
      </c>
      <c r="AV6">
        <v>0</v>
      </c>
      <c r="AW6">
        <v>1980</v>
      </c>
      <c r="AX6">
        <v>0</v>
      </c>
      <c r="BQ6" t="s">
        <v>72</v>
      </c>
      <c r="BR6" t="s">
        <v>2747</v>
      </c>
    </row>
    <row r="7" spans="1:74" hidden="1" x14ac:dyDescent="0.25">
      <c r="A7" s="4" t="s">
        <v>2751</v>
      </c>
      <c r="B7" s="3">
        <v>43011</v>
      </c>
      <c r="C7" t="s">
        <v>75</v>
      </c>
      <c r="D7" t="s">
        <v>2735</v>
      </c>
      <c r="E7" t="s">
        <v>75</v>
      </c>
      <c r="F7">
        <v>115000</v>
      </c>
      <c r="G7" t="s">
        <v>2752</v>
      </c>
      <c r="H7" s="3">
        <v>43011</v>
      </c>
      <c r="I7" t="s">
        <v>66</v>
      </c>
      <c r="J7">
        <v>103000</v>
      </c>
      <c r="K7" s="1" t="s">
        <v>67</v>
      </c>
      <c r="M7" s="3">
        <v>43017</v>
      </c>
      <c r="N7" t="s">
        <v>54</v>
      </c>
      <c r="O7" t="s">
        <v>77</v>
      </c>
      <c r="P7" t="s">
        <v>56</v>
      </c>
      <c r="Q7">
        <v>81000</v>
      </c>
      <c r="R7" s="3">
        <v>43061</v>
      </c>
      <c r="S7" t="s">
        <v>54</v>
      </c>
      <c r="T7" t="s">
        <v>69</v>
      </c>
      <c r="U7" t="s">
        <v>60</v>
      </c>
      <c r="V7">
        <v>20500</v>
      </c>
      <c r="AG7" s="5" t="s">
        <v>2753</v>
      </c>
      <c r="AH7" s="3">
        <v>43057</v>
      </c>
      <c r="AI7" s="4">
        <v>115000</v>
      </c>
      <c r="AJ7">
        <v>0</v>
      </c>
      <c r="AS7" t="s">
        <v>2754</v>
      </c>
      <c r="AT7" s="3">
        <v>43160</v>
      </c>
      <c r="AU7">
        <v>115000</v>
      </c>
      <c r="AV7">
        <v>0</v>
      </c>
      <c r="AW7">
        <v>0</v>
      </c>
      <c r="AX7">
        <v>0</v>
      </c>
      <c r="BQ7" t="s">
        <v>72</v>
      </c>
      <c r="BR7" t="s">
        <v>2729</v>
      </c>
    </row>
    <row r="8" spans="1:74" hidden="1" x14ac:dyDescent="0.25">
      <c r="A8" s="4" t="s">
        <v>2755</v>
      </c>
      <c r="B8" s="3">
        <v>43031</v>
      </c>
      <c r="C8" t="s">
        <v>75</v>
      </c>
      <c r="D8" t="s">
        <v>2735</v>
      </c>
      <c r="E8" t="s">
        <v>75</v>
      </c>
      <c r="F8">
        <v>145000</v>
      </c>
      <c r="G8" t="s">
        <v>2756</v>
      </c>
      <c r="H8" s="3">
        <v>43031</v>
      </c>
      <c r="I8" t="s">
        <v>66</v>
      </c>
      <c r="J8">
        <v>132000</v>
      </c>
      <c r="K8" s="1" t="s">
        <v>67</v>
      </c>
      <c r="M8" s="3">
        <v>43033</v>
      </c>
      <c r="N8" t="s">
        <v>54</v>
      </c>
      <c r="O8" t="s">
        <v>69</v>
      </c>
      <c r="P8" t="s">
        <v>56</v>
      </c>
      <c r="Q8">
        <v>109000</v>
      </c>
      <c r="R8" s="3">
        <v>43095</v>
      </c>
      <c r="S8" t="s">
        <v>54</v>
      </c>
      <c r="T8" t="s">
        <v>69</v>
      </c>
      <c r="U8" t="s">
        <v>60</v>
      </c>
      <c r="V8">
        <v>21500</v>
      </c>
      <c r="AG8" s="5" t="s">
        <v>2757</v>
      </c>
      <c r="AH8" s="3">
        <v>43084</v>
      </c>
      <c r="AI8" s="4">
        <v>145000</v>
      </c>
      <c r="AJ8">
        <v>0</v>
      </c>
      <c r="AS8" t="s">
        <v>2758</v>
      </c>
      <c r="AT8" s="3">
        <v>43171</v>
      </c>
      <c r="AU8">
        <v>145000</v>
      </c>
      <c r="AV8">
        <v>0</v>
      </c>
      <c r="AW8">
        <v>0</v>
      </c>
      <c r="AX8">
        <v>0</v>
      </c>
      <c r="BQ8" t="s">
        <v>72</v>
      </c>
      <c r="BR8" t="s">
        <v>2741</v>
      </c>
    </row>
    <row r="9" spans="1:74" hidden="1" x14ac:dyDescent="0.25">
      <c r="A9" s="4" t="s">
        <v>2759</v>
      </c>
      <c r="B9" s="3">
        <v>43043</v>
      </c>
      <c r="C9" t="s">
        <v>75</v>
      </c>
      <c r="D9" t="s">
        <v>2760</v>
      </c>
      <c r="E9" t="s">
        <v>75</v>
      </c>
      <c r="F9">
        <v>130000</v>
      </c>
      <c r="G9" t="s">
        <v>2761</v>
      </c>
      <c r="H9" s="3">
        <v>43043</v>
      </c>
      <c r="I9" t="s">
        <v>66</v>
      </c>
      <c r="J9">
        <v>118000</v>
      </c>
      <c r="K9" s="1" t="s">
        <v>67</v>
      </c>
      <c r="M9" s="3">
        <v>43043</v>
      </c>
      <c r="N9" t="s">
        <v>54</v>
      </c>
      <c r="O9" t="s">
        <v>69</v>
      </c>
      <c r="P9" t="s">
        <v>56</v>
      </c>
      <c r="Q9">
        <v>104000</v>
      </c>
      <c r="R9" s="3">
        <v>43112</v>
      </c>
      <c r="S9" t="s">
        <v>54</v>
      </c>
      <c r="T9" t="s">
        <v>69</v>
      </c>
      <c r="U9" t="s">
        <v>60</v>
      </c>
      <c r="V9">
        <v>12400</v>
      </c>
      <c r="AG9" s="5" t="s">
        <v>2762</v>
      </c>
      <c r="AH9" s="3">
        <v>43106</v>
      </c>
      <c r="AI9" s="4">
        <v>130000</v>
      </c>
      <c r="AJ9">
        <v>0</v>
      </c>
      <c r="AS9" t="s">
        <v>2763</v>
      </c>
      <c r="AT9" s="3">
        <v>43190</v>
      </c>
      <c r="AU9">
        <v>130000</v>
      </c>
      <c r="AV9">
        <v>0</v>
      </c>
      <c r="AW9">
        <v>0</v>
      </c>
      <c r="AX9">
        <v>0</v>
      </c>
      <c r="BQ9" t="s">
        <v>72</v>
      </c>
      <c r="BR9" t="s">
        <v>2729</v>
      </c>
    </row>
    <row r="10" spans="1:74" hidden="1" x14ac:dyDescent="0.25">
      <c r="A10" s="4" t="s">
        <v>2764</v>
      </c>
      <c r="B10" s="3">
        <v>43052</v>
      </c>
      <c r="C10" t="s">
        <v>75</v>
      </c>
      <c r="D10" t="s">
        <v>2735</v>
      </c>
      <c r="E10" t="s">
        <v>75</v>
      </c>
      <c r="F10">
        <v>150000</v>
      </c>
      <c r="G10" t="s">
        <v>2765</v>
      </c>
      <c r="H10" s="3">
        <v>43052</v>
      </c>
      <c r="I10" t="s">
        <v>66</v>
      </c>
      <c r="J10">
        <v>147000</v>
      </c>
      <c r="K10" s="1" t="s">
        <v>67</v>
      </c>
      <c r="M10" s="3">
        <v>43053</v>
      </c>
      <c r="N10" t="s">
        <v>54</v>
      </c>
      <c r="O10" t="s">
        <v>69</v>
      </c>
      <c r="P10" t="s">
        <v>56</v>
      </c>
      <c r="Q10">
        <v>135000</v>
      </c>
      <c r="R10" s="3">
        <v>43112</v>
      </c>
      <c r="S10" t="s">
        <v>54</v>
      </c>
      <c r="T10" t="s">
        <v>69</v>
      </c>
      <c r="U10" t="s">
        <v>60</v>
      </c>
      <c r="V10">
        <v>10500</v>
      </c>
      <c r="AG10" s="5" t="s">
        <v>2766</v>
      </c>
      <c r="AH10" s="3">
        <v>43106</v>
      </c>
      <c r="AI10" s="4">
        <v>150000</v>
      </c>
      <c r="AJ10">
        <v>0</v>
      </c>
      <c r="AS10" t="s">
        <v>2767</v>
      </c>
      <c r="AT10" s="3">
        <v>43220</v>
      </c>
      <c r="AU10">
        <v>150000</v>
      </c>
      <c r="AV10">
        <v>0</v>
      </c>
      <c r="AW10">
        <v>0</v>
      </c>
      <c r="AX10">
        <v>0</v>
      </c>
      <c r="BQ10" t="s">
        <v>72</v>
      </c>
      <c r="BR10" t="s">
        <v>2729</v>
      </c>
    </row>
    <row r="11" spans="1:74" hidden="1" x14ac:dyDescent="0.25">
      <c r="A11" s="4" t="s">
        <v>2768</v>
      </c>
      <c r="B11" s="3">
        <v>43064</v>
      </c>
      <c r="C11" t="s">
        <v>75</v>
      </c>
      <c r="D11" t="s">
        <v>2735</v>
      </c>
      <c r="E11" t="s">
        <v>75</v>
      </c>
      <c r="F11">
        <v>113000</v>
      </c>
      <c r="G11" t="s">
        <v>2769</v>
      </c>
      <c r="H11" s="3">
        <v>43064</v>
      </c>
      <c r="I11" t="s">
        <v>502</v>
      </c>
      <c r="J11">
        <v>103000</v>
      </c>
      <c r="K11" s="1" t="s">
        <v>67</v>
      </c>
      <c r="M11" s="3">
        <v>43064</v>
      </c>
      <c r="N11" t="s">
        <v>54</v>
      </c>
      <c r="O11" t="s">
        <v>2495</v>
      </c>
      <c r="P11" t="s">
        <v>56</v>
      </c>
      <c r="Q11">
        <v>79200</v>
      </c>
      <c r="R11" s="3">
        <v>43125</v>
      </c>
      <c r="S11" t="s">
        <v>54</v>
      </c>
      <c r="T11" t="s">
        <v>77</v>
      </c>
      <c r="U11" t="s">
        <v>60</v>
      </c>
      <c r="V11">
        <v>22500</v>
      </c>
      <c r="AG11" s="5" t="s">
        <v>2770</v>
      </c>
      <c r="AH11" s="3">
        <v>43119</v>
      </c>
      <c r="AI11" s="4">
        <v>113000</v>
      </c>
      <c r="AJ11">
        <v>0</v>
      </c>
      <c r="AS11" t="s">
        <v>2771</v>
      </c>
      <c r="AT11" s="3">
        <v>43228</v>
      </c>
      <c r="AU11">
        <v>113000</v>
      </c>
      <c r="AV11">
        <v>0</v>
      </c>
      <c r="AW11">
        <v>0</v>
      </c>
      <c r="AX11">
        <v>0</v>
      </c>
      <c r="BQ11" t="s">
        <v>72</v>
      </c>
      <c r="BR11" t="s">
        <v>2772</v>
      </c>
    </row>
    <row r="12" spans="1:74" hidden="1" x14ac:dyDescent="0.25">
      <c r="A12" s="4" t="s">
        <v>2773</v>
      </c>
      <c r="B12" s="3">
        <v>43064</v>
      </c>
      <c r="C12" t="s">
        <v>75</v>
      </c>
      <c r="D12" t="s">
        <v>2774</v>
      </c>
      <c r="E12" t="s">
        <v>75</v>
      </c>
      <c r="F12">
        <v>80000</v>
      </c>
      <c r="G12" t="s">
        <v>2775</v>
      </c>
      <c r="H12" s="3">
        <v>43064</v>
      </c>
      <c r="I12" t="s">
        <v>66</v>
      </c>
      <c r="J12">
        <v>72000</v>
      </c>
      <c r="K12" s="1" t="s">
        <v>67</v>
      </c>
      <c r="M12" s="3">
        <v>43064</v>
      </c>
      <c r="N12" t="s">
        <v>54</v>
      </c>
      <c r="O12" t="s">
        <v>69</v>
      </c>
      <c r="P12" t="s">
        <v>56</v>
      </c>
      <c r="Q12">
        <v>65500</v>
      </c>
      <c r="R12" s="3">
        <v>43112</v>
      </c>
      <c r="S12" t="s">
        <v>54</v>
      </c>
      <c r="T12" t="s">
        <v>69</v>
      </c>
      <c r="U12" t="s">
        <v>60</v>
      </c>
      <c r="V12">
        <v>5850</v>
      </c>
      <c r="AG12" s="5" t="s">
        <v>2776</v>
      </c>
      <c r="AH12" s="3">
        <v>43106</v>
      </c>
      <c r="AI12" s="4">
        <v>80000</v>
      </c>
      <c r="AJ12">
        <v>0</v>
      </c>
      <c r="AS12" t="s">
        <v>2777</v>
      </c>
      <c r="AT12" s="3">
        <v>43181</v>
      </c>
      <c r="AU12">
        <v>80000</v>
      </c>
      <c r="AV12">
        <v>0</v>
      </c>
      <c r="AW12">
        <v>0</v>
      </c>
      <c r="AX12">
        <v>0</v>
      </c>
      <c r="BQ12" t="s">
        <v>72</v>
      </c>
      <c r="BR12" t="s">
        <v>2741</v>
      </c>
    </row>
    <row r="13" spans="1:74" hidden="1" x14ac:dyDescent="0.25">
      <c r="A13" s="4" t="s">
        <v>2778</v>
      </c>
      <c r="B13" s="3">
        <v>43064</v>
      </c>
      <c r="C13" t="s">
        <v>75</v>
      </c>
      <c r="D13" t="s">
        <v>2774</v>
      </c>
      <c r="E13" t="s">
        <v>75</v>
      </c>
      <c r="F13">
        <v>80000</v>
      </c>
      <c r="G13" t="s">
        <v>2779</v>
      </c>
      <c r="H13" s="3">
        <v>43064</v>
      </c>
      <c r="I13" t="s">
        <v>66</v>
      </c>
      <c r="J13">
        <v>72000</v>
      </c>
      <c r="K13" s="1" t="s">
        <v>67</v>
      </c>
      <c r="M13" s="3">
        <v>43064</v>
      </c>
      <c r="N13" t="s">
        <v>54</v>
      </c>
      <c r="O13" t="s">
        <v>69</v>
      </c>
      <c r="P13" t="s">
        <v>56</v>
      </c>
      <c r="Q13">
        <v>65500</v>
      </c>
      <c r="R13" s="3">
        <v>43125</v>
      </c>
      <c r="S13" t="s">
        <v>54</v>
      </c>
      <c r="T13" t="s">
        <v>77</v>
      </c>
      <c r="U13" t="s">
        <v>60</v>
      </c>
      <c r="V13">
        <v>5900</v>
      </c>
      <c r="AG13" s="5" t="s">
        <v>2780</v>
      </c>
      <c r="AH13" s="3">
        <v>43117</v>
      </c>
      <c r="AI13" s="4">
        <v>80000</v>
      </c>
      <c r="AJ13">
        <v>0</v>
      </c>
      <c r="AS13" t="s">
        <v>2781</v>
      </c>
      <c r="AT13" s="3">
        <v>43220</v>
      </c>
      <c r="AU13">
        <v>80000</v>
      </c>
      <c r="AV13">
        <v>0</v>
      </c>
      <c r="AW13">
        <v>0</v>
      </c>
      <c r="AX13">
        <v>0</v>
      </c>
      <c r="BQ13" t="s">
        <v>72</v>
      </c>
      <c r="BR13" t="s">
        <v>2729</v>
      </c>
    </row>
    <row r="14" spans="1:74" hidden="1" x14ac:dyDescent="0.25">
      <c r="A14" s="4" t="s">
        <v>2782</v>
      </c>
      <c r="B14" s="3">
        <v>43090</v>
      </c>
      <c r="C14" t="s">
        <v>75</v>
      </c>
      <c r="D14" t="s">
        <v>2774</v>
      </c>
      <c r="E14" t="s">
        <v>75</v>
      </c>
      <c r="F14">
        <v>120000</v>
      </c>
      <c r="G14" t="s">
        <v>2783</v>
      </c>
      <c r="H14" s="3">
        <v>43090</v>
      </c>
      <c r="I14" t="s">
        <v>66</v>
      </c>
      <c r="J14">
        <v>108000</v>
      </c>
      <c r="K14" s="1" t="s">
        <v>67</v>
      </c>
      <c r="M14" s="3">
        <v>43095</v>
      </c>
      <c r="N14" t="s">
        <v>54</v>
      </c>
      <c r="O14" t="s">
        <v>77</v>
      </c>
      <c r="P14" t="s">
        <v>56</v>
      </c>
      <c r="Q14">
        <v>94000</v>
      </c>
      <c r="R14" s="3">
        <v>43146</v>
      </c>
      <c r="S14" t="s">
        <v>54</v>
      </c>
      <c r="T14" t="s">
        <v>68</v>
      </c>
      <c r="U14" t="s">
        <v>60</v>
      </c>
      <c r="V14">
        <v>12800</v>
      </c>
      <c r="AG14" s="5" t="s">
        <v>2784</v>
      </c>
      <c r="AH14" s="3">
        <v>43134</v>
      </c>
      <c r="AI14" s="4">
        <v>120000</v>
      </c>
      <c r="AJ14">
        <v>0</v>
      </c>
      <c r="AS14" t="s">
        <v>2785</v>
      </c>
      <c r="AT14" s="3">
        <v>43235</v>
      </c>
      <c r="AU14">
        <v>120000</v>
      </c>
      <c r="AV14">
        <v>0</v>
      </c>
      <c r="AW14">
        <v>0</v>
      </c>
      <c r="AX14">
        <v>0</v>
      </c>
      <c r="BQ14" t="s">
        <v>72</v>
      </c>
      <c r="BR14" t="s">
        <v>2786</v>
      </c>
    </row>
    <row r="15" spans="1:74" hidden="1" x14ac:dyDescent="0.25">
      <c r="A15" s="4" t="s">
        <v>2787</v>
      </c>
      <c r="B15" s="3">
        <v>43090</v>
      </c>
      <c r="C15" t="s">
        <v>75</v>
      </c>
      <c r="D15" t="s">
        <v>2774</v>
      </c>
      <c r="E15" t="s">
        <v>75</v>
      </c>
      <c r="F15">
        <v>120000</v>
      </c>
      <c r="G15" t="s">
        <v>2788</v>
      </c>
      <c r="H15" s="3">
        <v>43090</v>
      </c>
      <c r="I15" t="s">
        <v>66</v>
      </c>
      <c r="J15">
        <v>108000</v>
      </c>
      <c r="K15" s="1" t="s">
        <v>67</v>
      </c>
      <c r="M15" s="3">
        <v>43095</v>
      </c>
      <c r="N15" t="s">
        <v>54</v>
      </c>
      <c r="O15" t="s">
        <v>77</v>
      </c>
      <c r="P15" t="s">
        <v>56</v>
      </c>
      <c r="Q15">
        <v>94000</v>
      </c>
      <c r="R15" s="3">
        <v>43137</v>
      </c>
      <c r="S15" t="s">
        <v>54</v>
      </c>
      <c r="T15" t="s">
        <v>68</v>
      </c>
      <c r="U15" t="s">
        <v>60</v>
      </c>
      <c r="V15">
        <v>12800</v>
      </c>
      <c r="AG15" s="5" t="s">
        <v>2789</v>
      </c>
      <c r="AH15" s="3">
        <v>43134</v>
      </c>
      <c r="AI15" s="4">
        <v>120000</v>
      </c>
      <c r="AJ15">
        <v>0</v>
      </c>
      <c r="AS15" t="s">
        <v>2790</v>
      </c>
      <c r="AT15" s="3">
        <v>43237</v>
      </c>
      <c r="AU15">
        <v>120000</v>
      </c>
      <c r="AV15">
        <v>0</v>
      </c>
      <c r="AW15">
        <v>0</v>
      </c>
      <c r="AX15">
        <v>0</v>
      </c>
      <c r="BQ15" t="s">
        <v>72</v>
      </c>
      <c r="BR15" t="s">
        <v>2791</v>
      </c>
    </row>
    <row r="16" spans="1:74" hidden="1" x14ac:dyDescent="0.25">
      <c r="A16" s="4" t="s">
        <v>2792</v>
      </c>
      <c r="B16" s="3">
        <v>43123</v>
      </c>
      <c r="C16" t="s">
        <v>75</v>
      </c>
      <c r="D16" t="s">
        <v>2774</v>
      </c>
      <c r="E16" t="s">
        <v>75</v>
      </c>
      <c r="F16">
        <v>125000</v>
      </c>
      <c r="G16" t="s">
        <v>2793</v>
      </c>
      <c r="H16" s="3">
        <v>43123</v>
      </c>
      <c r="I16" t="s">
        <v>66</v>
      </c>
      <c r="J16">
        <v>115000</v>
      </c>
      <c r="K16" s="1" t="s">
        <v>67</v>
      </c>
      <c r="M16" s="3">
        <v>43125</v>
      </c>
      <c r="N16" t="s">
        <v>54</v>
      </c>
      <c r="O16" t="s">
        <v>69</v>
      </c>
      <c r="P16" t="s">
        <v>56</v>
      </c>
      <c r="Q16">
        <v>99000</v>
      </c>
      <c r="R16" s="3">
        <v>43162</v>
      </c>
      <c r="S16" t="s">
        <v>54</v>
      </c>
      <c r="T16" t="s">
        <v>69</v>
      </c>
      <c r="U16" t="s">
        <v>60</v>
      </c>
      <c r="V16">
        <v>14500</v>
      </c>
      <c r="AG16" s="5" t="s">
        <v>2794</v>
      </c>
      <c r="AH16" s="3">
        <v>43162</v>
      </c>
      <c r="AI16" s="4">
        <v>125000</v>
      </c>
      <c r="AJ16">
        <v>0</v>
      </c>
      <c r="AS16" t="s">
        <v>2795</v>
      </c>
      <c r="AT16" s="3">
        <v>43258</v>
      </c>
      <c r="AU16">
        <v>125000</v>
      </c>
      <c r="AV16">
        <v>0</v>
      </c>
      <c r="AW16">
        <v>0</v>
      </c>
      <c r="AX16">
        <v>0</v>
      </c>
      <c r="BQ16" t="s">
        <v>72</v>
      </c>
      <c r="BR16" t="s">
        <v>2729</v>
      </c>
    </row>
    <row r="17" spans="1:70" hidden="1" x14ac:dyDescent="0.25">
      <c r="A17" s="4" t="s">
        <v>2796</v>
      </c>
      <c r="B17" s="3">
        <v>43123</v>
      </c>
      <c r="C17" t="s">
        <v>75</v>
      </c>
      <c r="D17" t="s">
        <v>2774</v>
      </c>
      <c r="E17" t="s">
        <v>75</v>
      </c>
      <c r="F17">
        <v>125000</v>
      </c>
      <c r="G17" t="s">
        <v>2797</v>
      </c>
      <c r="H17" s="3">
        <v>43123</v>
      </c>
      <c r="I17" t="s">
        <v>66</v>
      </c>
      <c r="J17">
        <v>115000</v>
      </c>
      <c r="K17" s="1" t="s">
        <v>67</v>
      </c>
      <c r="M17" s="3">
        <v>43125</v>
      </c>
      <c r="N17" t="s">
        <v>54</v>
      </c>
      <c r="O17" t="s">
        <v>69</v>
      </c>
      <c r="P17" t="s">
        <v>56</v>
      </c>
      <c r="Q17">
        <v>99000</v>
      </c>
      <c r="R17" s="3">
        <v>43182</v>
      </c>
      <c r="S17" t="s">
        <v>54</v>
      </c>
      <c r="T17" t="s">
        <v>77</v>
      </c>
      <c r="U17" t="s">
        <v>60</v>
      </c>
      <c r="V17">
        <v>14700</v>
      </c>
      <c r="AG17" s="5" t="s">
        <v>2798</v>
      </c>
      <c r="AH17" s="3">
        <v>43173</v>
      </c>
      <c r="AI17" s="4">
        <v>125000</v>
      </c>
      <c r="AJ17">
        <v>0</v>
      </c>
      <c r="AS17" t="s">
        <v>2799</v>
      </c>
      <c r="AT17" s="3">
        <v>43271</v>
      </c>
      <c r="AU17">
        <v>125000</v>
      </c>
      <c r="AV17">
        <v>0</v>
      </c>
      <c r="AW17">
        <v>0</v>
      </c>
      <c r="AX17">
        <v>0</v>
      </c>
      <c r="BQ17" t="s">
        <v>72</v>
      </c>
      <c r="BR17" t="s">
        <v>2800</v>
      </c>
    </row>
    <row r="18" spans="1:70" hidden="1" x14ac:dyDescent="0.25">
      <c r="A18" s="4" t="s">
        <v>2801</v>
      </c>
      <c r="B18" s="3">
        <v>43160</v>
      </c>
      <c r="C18" t="s">
        <v>75</v>
      </c>
      <c r="D18" t="s">
        <v>1274</v>
      </c>
      <c r="E18" t="s">
        <v>75</v>
      </c>
      <c r="F18">
        <v>38000</v>
      </c>
      <c r="G18" t="s">
        <v>2802</v>
      </c>
      <c r="H18" s="3">
        <v>43160</v>
      </c>
      <c r="I18" t="s">
        <v>344</v>
      </c>
      <c r="J18">
        <v>35000</v>
      </c>
      <c r="K18" s="1" t="s">
        <v>67</v>
      </c>
      <c r="M18" s="3">
        <v>43160</v>
      </c>
      <c r="N18" t="s">
        <v>54</v>
      </c>
      <c r="O18" t="s">
        <v>455</v>
      </c>
      <c r="P18" t="s">
        <v>56</v>
      </c>
      <c r="Q18">
        <v>32400</v>
      </c>
      <c r="R18" s="3">
        <v>43273</v>
      </c>
      <c r="S18" t="s">
        <v>54</v>
      </c>
      <c r="T18" t="s">
        <v>1371</v>
      </c>
      <c r="U18" t="s">
        <v>60</v>
      </c>
      <c r="V18">
        <v>2100</v>
      </c>
      <c r="AG18" s="5" t="s">
        <v>2803</v>
      </c>
      <c r="AH18" s="3">
        <v>43234</v>
      </c>
      <c r="AI18" s="4">
        <v>38000</v>
      </c>
      <c r="AJ18">
        <v>0</v>
      </c>
      <c r="AS18" t="s">
        <v>2804</v>
      </c>
      <c r="AT18" s="3">
        <v>43347</v>
      </c>
      <c r="AU18">
        <v>38000</v>
      </c>
      <c r="AV18">
        <v>0</v>
      </c>
      <c r="AW18">
        <v>0</v>
      </c>
      <c r="AX18">
        <v>0</v>
      </c>
      <c r="BQ18" t="s">
        <v>72</v>
      </c>
      <c r="BR18" t="s">
        <v>2805</v>
      </c>
    </row>
    <row r="19" spans="1:70" hidden="1" x14ac:dyDescent="0.25">
      <c r="A19" s="4" t="s">
        <v>2806</v>
      </c>
      <c r="B19" s="3">
        <v>43169</v>
      </c>
      <c r="C19" t="s">
        <v>75</v>
      </c>
      <c r="D19" t="s">
        <v>2774</v>
      </c>
      <c r="E19" t="s">
        <v>75</v>
      </c>
      <c r="F19">
        <v>118000</v>
      </c>
      <c r="G19" t="s">
        <v>2807</v>
      </c>
      <c r="H19" s="3">
        <v>43169</v>
      </c>
      <c r="I19" t="s">
        <v>514</v>
      </c>
      <c r="J19">
        <v>105000</v>
      </c>
      <c r="K19" s="1" t="s">
        <v>67</v>
      </c>
      <c r="M19" s="3">
        <v>43173</v>
      </c>
      <c r="N19" t="s">
        <v>54</v>
      </c>
      <c r="O19" t="s">
        <v>524</v>
      </c>
      <c r="P19" t="s">
        <v>56</v>
      </c>
      <c r="Q19">
        <v>94200</v>
      </c>
      <c r="R19" s="3">
        <v>43251</v>
      </c>
      <c r="S19" t="s">
        <v>54</v>
      </c>
      <c r="T19" t="s">
        <v>1646</v>
      </c>
      <c r="U19" t="s">
        <v>60</v>
      </c>
      <c r="V19">
        <v>9800</v>
      </c>
      <c r="AG19" s="5" t="s">
        <v>2808</v>
      </c>
      <c r="AH19" s="3">
        <v>43234</v>
      </c>
      <c r="AI19" s="4">
        <v>118000</v>
      </c>
      <c r="AJ19">
        <v>0</v>
      </c>
      <c r="AS19" t="s">
        <v>2809</v>
      </c>
      <c r="AT19" s="3">
        <v>43344</v>
      </c>
      <c r="AU19">
        <v>118000</v>
      </c>
      <c r="AV19">
        <v>0</v>
      </c>
      <c r="AW19">
        <v>0</v>
      </c>
      <c r="AX19">
        <v>0</v>
      </c>
      <c r="BQ19" t="s">
        <v>72</v>
      </c>
      <c r="BR19" t="s">
        <v>2729</v>
      </c>
    </row>
    <row r="20" spans="1:70" hidden="1" x14ac:dyDescent="0.25">
      <c r="A20" s="4" t="s">
        <v>2810</v>
      </c>
      <c r="B20" s="3">
        <v>43171</v>
      </c>
      <c r="C20" t="s">
        <v>75</v>
      </c>
      <c r="D20" t="s">
        <v>2811</v>
      </c>
      <c r="E20" t="s">
        <v>75</v>
      </c>
      <c r="F20">
        <v>80000</v>
      </c>
      <c r="G20" t="s">
        <v>2812</v>
      </c>
      <c r="H20" s="3">
        <v>43171</v>
      </c>
      <c r="I20" t="s">
        <v>66</v>
      </c>
      <c r="J20">
        <v>70000</v>
      </c>
      <c r="K20" s="1" t="s">
        <v>67</v>
      </c>
      <c r="M20" s="3">
        <v>43173</v>
      </c>
      <c r="N20" t="s">
        <v>54</v>
      </c>
      <c r="O20" t="s">
        <v>68</v>
      </c>
      <c r="P20" t="s">
        <v>56</v>
      </c>
      <c r="Q20">
        <v>10000</v>
      </c>
      <c r="R20" s="3">
        <v>43173</v>
      </c>
      <c r="S20" t="s">
        <v>54</v>
      </c>
      <c r="T20" t="s">
        <v>68</v>
      </c>
      <c r="U20" t="s">
        <v>56</v>
      </c>
      <c r="V20">
        <v>49200</v>
      </c>
      <c r="W20" s="3">
        <v>43215</v>
      </c>
      <c r="X20" t="s">
        <v>54</v>
      </c>
      <c r="Y20" t="s">
        <v>1191</v>
      </c>
      <c r="Z20" t="s">
        <v>60</v>
      </c>
      <c r="AA20">
        <v>9800</v>
      </c>
      <c r="AG20" s="5" t="s">
        <v>2813</v>
      </c>
      <c r="AH20" s="3">
        <v>43227</v>
      </c>
      <c r="AI20" s="4">
        <v>80000</v>
      </c>
      <c r="AJ20">
        <v>0</v>
      </c>
      <c r="AS20" t="s">
        <v>2814</v>
      </c>
      <c r="AT20" s="3">
        <v>43272</v>
      </c>
      <c r="AU20">
        <v>80000</v>
      </c>
      <c r="AV20">
        <v>0</v>
      </c>
      <c r="AW20">
        <v>0</v>
      </c>
      <c r="AX20">
        <v>0</v>
      </c>
      <c r="BQ20" t="s">
        <v>72</v>
      </c>
      <c r="BR20" t="s">
        <v>2729</v>
      </c>
    </row>
    <row r="21" spans="1:70" hidden="1" x14ac:dyDescent="0.25">
      <c r="A21" s="4" t="s">
        <v>2815</v>
      </c>
      <c r="B21" s="3">
        <v>43175</v>
      </c>
      <c r="C21" t="s">
        <v>75</v>
      </c>
      <c r="D21" t="s">
        <v>2816</v>
      </c>
      <c r="E21" t="s">
        <v>75</v>
      </c>
      <c r="F21">
        <v>62000</v>
      </c>
      <c r="G21" t="s">
        <v>2817</v>
      </c>
      <c r="H21" s="3">
        <v>43175</v>
      </c>
      <c r="I21" t="s">
        <v>66</v>
      </c>
      <c r="J21">
        <v>55000</v>
      </c>
      <c r="K21" s="1" t="s">
        <v>67</v>
      </c>
      <c r="M21" s="3">
        <v>43182</v>
      </c>
      <c r="N21" t="s">
        <v>54</v>
      </c>
      <c r="O21" t="s">
        <v>77</v>
      </c>
      <c r="P21" t="s">
        <v>56</v>
      </c>
      <c r="Q21">
        <v>49500</v>
      </c>
      <c r="R21" s="3">
        <v>43281</v>
      </c>
      <c r="S21" t="s">
        <v>54</v>
      </c>
      <c r="T21" t="s">
        <v>69</v>
      </c>
      <c r="U21" t="s">
        <v>60</v>
      </c>
      <c r="V21">
        <v>4800</v>
      </c>
      <c r="AG21" s="5" t="s">
        <v>2818</v>
      </c>
      <c r="AH21" s="3">
        <v>43234</v>
      </c>
      <c r="AI21" s="4">
        <v>62000</v>
      </c>
      <c r="AJ21">
        <v>0</v>
      </c>
      <c r="AS21" t="s">
        <v>2804</v>
      </c>
      <c r="AT21" s="3">
        <v>43347</v>
      </c>
      <c r="AU21">
        <v>62000</v>
      </c>
      <c r="AV21">
        <v>0</v>
      </c>
      <c r="AW21">
        <v>0</v>
      </c>
      <c r="AX21">
        <v>0</v>
      </c>
      <c r="BQ21" t="s">
        <v>72</v>
      </c>
      <c r="BR21" t="s">
        <v>2805</v>
      </c>
    </row>
    <row r="22" spans="1:70" x14ac:dyDescent="0.25">
      <c r="A22" s="4" t="s">
        <v>2819</v>
      </c>
      <c r="B22" s="3">
        <v>43227</v>
      </c>
      <c r="C22" t="s">
        <v>75</v>
      </c>
      <c r="D22" t="s">
        <v>2820</v>
      </c>
      <c r="E22" t="s">
        <v>75</v>
      </c>
      <c r="F22">
        <v>98000</v>
      </c>
      <c r="G22" t="s">
        <v>2821</v>
      </c>
      <c r="H22" s="3">
        <v>43227</v>
      </c>
      <c r="I22" t="s">
        <v>66</v>
      </c>
      <c r="J22">
        <v>90000</v>
      </c>
      <c r="K22" s="1" t="s">
        <v>67</v>
      </c>
      <c r="M22" s="3">
        <v>43231</v>
      </c>
      <c r="N22" t="s">
        <v>54</v>
      </c>
      <c r="O22" t="s">
        <v>69</v>
      </c>
      <c r="P22" t="s">
        <v>56</v>
      </c>
      <c r="Q22">
        <v>79200</v>
      </c>
      <c r="R22" s="3">
        <v>43273</v>
      </c>
      <c r="S22" t="s">
        <v>54</v>
      </c>
      <c r="T22" t="s">
        <v>69</v>
      </c>
      <c r="U22" t="s">
        <v>60</v>
      </c>
      <c r="V22">
        <v>9800</v>
      </c>
      <c r="AG22" s="5" t="s">
        <v>2822</v>
      </c>
      <c r="AH22" s="3">
        <v>43286</v>
      </c>
      <c r="AI22" s="4">
        <v>98000</v>
      </c>
      <c r="AJ22">
        <v>98000</v>
      </c>
    </row>
    <row r="23" spans="1:70" x14ac:dyDescent="0.25">
      <c r="A23" s="4" t="s">
        <v>2823</v>
      </c>
      <c r="B23" s="3">
        <v>43228</v>
      </c>
      <c r="C23" t="s">
        <v>75</v>
      </c>
      <c r="D23" t="s">
        <v>51</v>
      </c>
      <c r="E23" t="s">
        <v>75</v>
      </c>
      <c r="F23">
        <v>94000</v>
      </c>
      <c r="G23" t="s">
        <v>2824</v>
      </c>
      <c r="H23" s="3">
        <v>43228</v>
      </c>
      <c r="I23" t="s">
        <v>66</v>
      </c>
      <c r="J23">
        <v>86000</v>
      </c>
      <c r="K23" s="1" t="s">
        <v>67</v>
      </c>
      <c r="M23" s="3">
        <v>43231</v>
      </c>
      <c r="N23" t="s">
        <v>54</v>
      </c>
      <c r="O23" t="s">
        <v>77</v>
      </c>
      <c r="P23" t="s">
        <v>56</v>
      </c>
      <c r="Q23">
        <v>75200</v>
      </c>
      <c r="R23" s="3">
        <v>43273</v>
      </c>
      <c r="S23" t="s">
        <v>54</v>
      </c>
      <c r="T23" t="s">
        <v>69</v>
      </c>
      <c r="U23" t="s">
        <v>60</v>
      </c>
      <c r="V23">
        <v>9800</v>
      </c>
      <c r="AG23" s="5" t="s">
        <v>2825</v>
      </c>
      <c r="AH23" s="3">
        <v>43286</v>
      </c>
      <c r="AI23" s="4">
        <v>94000</v>
      </c>
      <c r="AJ23">
        <v>94000</v>
      </c>
    </row>
    <row r="24" spans="1:70" x14ac:dyDescent="0.25">
      <c r="A24" s="4" t="s">
        <v>2826</v>
      </c>
      <c r="B24" s="3">
        <v>43229</v>
      </c>
      <c r="C24" t="s">
        <v>75</v>
      </c>
      <c r="D24" t="s">
        <v>51</v>
      </c>
      <c r="E24" t="s">
        <v>75</v>
      </c>
      <c r="F24">
        <v>94000</v>
      </c>
      <c r="G24" t="s">
        <v>2827</v>
      </c>
      <c r="H24" s="3">
        <v>43229</v>
      </c>
      <c r="I24" t="s">
        <v>66</v>
      </c>
      <c r="J24">
        <v>86000</v>
      </c>
      <c r="K24" s="1" t="s">
        <v>67</v>
      </c>
      <c r="M24" s="3">
        <v>43231</v>
      </c>
      <c r="N24" t="s">
        <v>54</v>
      </c>
      <c r="O24" t="s">
        <v>77</v>
      </c>
      <c r="P24" t="s">
        <v>56</v>
      </c>
      <c r="Q24">
        <v>75200</v>
      </c>
      <c r="R24" s="3">
        <v>43307</v>
      </c>
      <c r="S24" t="s">
        <v>54</v>
      </c>
      <c r="T24" t="s">
        <v>77</v>
      </c>
      <c r="U24" t="s">
        <v>60</v>
      </c>
      <c r="V24">
        <v>9800</v>
      </c>
      <c r="AG24" s="5" t="s">
        <v>2828</v>
      </c>
      <c r="AH24" s="3">
        <v>43297</v>
      </c>
      <c r="AI24" s="4">
        <v>94000</v>
      </c>
      <c r="AJ24">
        <v>94000</v>
      </c>
    </row>
    <row r="25" spans="1:70" x14ac:dyDescent="0.25">
      <c r="A25" s="4" t="s">
        <v>2829</v>
      </c>
      <c r="B25" s="3">
        <v>43255</v>
      </c>
      <c r="C25" t="s">
        <v>75</v>
      </c>
      <c r="D25" t="s">
        <v>2774</v>
      </c>
      <c r="E25" t="s">
        <v>75</v>
      </c>
      <c r="F25">
        <v>125000</v>
      </c>
      <c r="G25" t="s">
        <v>2830</v>
      </c>
      <c r="H25" s="3">
        <v>43255</v>
      </c>
      <c r="I25" t="s">
        <v>66</v>
      </c>
      <c r="J25">
        <v>112000</v>
      </c>
      <c r="K25" s="1" t="s">
        <v>67</v>
      </c>
      <c r="M25" s="3">
        <v>43257</v>
      </c>
      <c r="N25" t="s">
        <v>54</v>
      </c>
      <c r="O25" t="s">
        <v>77</v>
      </c>
      <c r="P25" t="s">
        <v>56</v>
      </c>
      <c r="Q25">
        <v>94200</v>
      </c>
      <c r="R25" s="3">
        <v>43318</v>
      </c>
      <c r="S25" t="s">
        <v>54</v>
      </c>
      <c r="T25" t="s">
        <v>69</v>
      </c>
      <c r="U25" t="s">
        <v>60</v>
      </c>
      <c r="V25">
        <v>16600</v>
      </c>
      <c r="AG25" s="5" t="s">
        <v>2831</v>
      </c>
      <c r="AH25" s="3">
        <v>43309</v>
      </c>
      <c r="AI25" s="4">
        <v>125000</v>
      </c>
      <c r="AJ25">
        <v>125000</v>
      </c>
    </row>
    <row r="26" spans="1:70" x14ac:dyDescent="0.25">
      <c r="A26" s="4" t="s">
        <v>2832</v>
      </c>
      <c r="B26" s="3">
        <v>43257</v>
      </c>
      <c r="C26" t="s">
        <v>75</v>
      </c>
      <c r="D26" t="s">
        <v>2774</v>
      </c>
      <c r="E26" t="s">
        <v>75</v>
      </c>
      <c r="F26">
        <v>125000</v>
      </c>
      <c r="G26" t="s">
        <v>2833</v>
      </c>
      <c r="H26" s="3">
        <v>43257</v>
      </c>
      <c r="I26" t="s">
        <v>66</v>
      </c>
      <c r="J26">
        <v>112000</v>
      </c>
      <c r="K26" s="1" t="s">
        <v>67</v>
      </c>
      <c r="M26" s="3">
        <v>43259</v>
      </c>
      <c r="N26" t="s">
        <v>54</v>
      </c>
      <c r="O26" t="s">
        <v>77</v>
      </c>
      <c r="P26" t="s">
        <v>56</v>
      </c>
      <c r="Q26">
        <v>89200</v>
      </c>
      <c r="R26" s="3">
        <v>43318</v>
      </c>
      <c r="S26" t="s">
        <v>54</v>
      </c>
      <c r="T26" t="s">
        <v>69</v>
      </c>
      <c r="U26" t="s">
        <v>60</v>
      </c>
      <c r="V26">
        <v>21500</v>
      </c>
      <c r="AG26" s="5" t="s">
        <v>2834</v>
      </c>
      <c r="AH26" s="3">
        <v>43309</v>
      </c>
      <c r="AI26" s="4">
        <v>125000</v>
      </c>
      <c r="AJ26">
        <v>125000</v>
      </c>
    </row>
    <row r="27" spans="1:70" x14ac:dyDescent="0.25">
      <c r="A27" s="4" t="s">
        <v>2835</v>
      </c>
      <c r="B27" s="3">
        <v>43271</v>
      </c>
      <c r="C27" t="s">
        <v>75</v>
      </c>
      <c r="D27" t="s">
        <v>2774</v>
      </c>
      <c r="E27" t="s">
        <v>75</v>
      </c>
      <c r="F27">
        <v>105000</v>
      </c>
      <c r="G27" t="s">
        <v>2836</v>
      </c>
      <c r="H27" s="3">
        <v>43271</v>
      </c>
      <c r="I27" t="s">
        <v>66</v>
      </c>
      <c r="J27">
        <v>95000</v>
      </c>
      <c r="K27" s="1" t="s">
        <v>67</v>
      </c>
      <c r="M27" s="3">
        <v>43271</v>
      </c>
      <c r="N27" t="s">
        <v>54</v>
      </c>
      <c r="O27" t="s">
        <v>69</v>
      </c>
      <c r="P27" t="s">
        <v>56</v>
      </c>
      <c r="Q27">
        <v>79200</v>
      </c>
      <c r="R27" s="3">
        <v>43318</v>
      </c>
      <c r="S27" t="s">
        <v>54</v>
      </c>
      <c r="T27" t="s">
        <v>1313</v>
      </c>
      <c r="U27" t="s">
        <v>60</v>
      </c>
      <c r="V27">
        <v>14700</v>
      </c>
      <c r="AG27" s="5" t="s">
        <v>2837</v>
      </c>
      <c r="AH27" s="3">
        <v>43315</v>
      </c>
      <c r="AI27" s="4">
        <v>105000</v>
      </c>
      <c r="AJ27">
        <v>105000</v>
      </c>
    </row>
    <row r="28" spans="1:70" x14ac:dyDescent="0.25">
      <c r="A28" s="4" t="s">
        <v>2838</v>
      </c>
      <c r="B28" s="3">
        <v>43273</v>
      </c>
      <c r="C28" t="s">
        <v>75</v>
      </c>
      <c r="D28" t="s">
        <v>2839</v>
      </c>
      <c r="E28" t="s">
        <v>75</v>
      </c>
      <c r="F28">
        <v>105000</v>
      </c>
      <c r="G28" t="s">
        <v>2840</v>
      </c>
      <c r="H28" s="3">
        <v>43273</v>
      </c>
      <c r="I28" t="s">
        <v>66</v>
      </c>
      <c r="J28">
        <v>98000</v>
      </c>
      <c r="K28" s="1" t="s">
        <v>67</v>
      </c>
      <c r="M28" s="3">
        <v>43281</v>
      </c>
      <c r="N28" t="s">
        <v>54</v>
      </c>
      <c r="O28" t="s">
        <v>69</v>
      </c>
      <c r="P28" t="s">
        <v>56</v>
      </c>
      <c r="Q28">
        <v>89100</v>
      </c>
      <c r="R28" s="3">
        <v>43326</v>
      </c>
      <c r="S28" t="s">
        <v>54</v>
      </c>
      <c r="T28" t="s">
        <v>2841</v>
      </c>
      <c r="U28" t="s">
        <v>60</v>
      </c>
      <c r="V28">
        <v>7800</v>
      </c>
      <c r="AG28" s="5" t="s">
        <v>2842</v>
      </c>
      <c r="AH28" s="3">
        <v>43322</v>
      </c>
      <c r="AI28" s="4">
        <v>105000</v>
      </c>
      <c r="AJ28">
        <v>105000</v>
      </c>
    </row>
    <row r="29" spans="1:70" x14ac:dyDescent="0.25">
      <c r="A29" s="4" t="s">
        <v>2843</v>
      </c>
      <c r="B29" s="3">
        <v>43279</v>
      </c>
      <c r="C29" t="s">
        <v>75</v>
      </c>
      <c r="D29" t="s">
        <v>2839</v>
      </c>
      <c r="E29" t="s">
        <v>75</v>
      </c>
      <c r="F29">
        <v>105000</v>
      </c>
      <c r="G29" t="s">
        <v>2844</v>
      </c>
      <c r="H29" s="3">
        <v>43279</v>
      </c>
      <c r="I29" t="s">
        <v>66</v>
      </c>
      <c r="J29">
        <v>98000</v>
      </c>
      <c r="K29" s="1" t="s">
        <v>67</v>
      </c>
      <c r="M29" s="3">
        <v>43281</v>
      </c>
      <c r="N29" t="s">
        <v>54</v>
      </c>
      <c r="O29" t="s">
        <v>77</v>
      </c>
      <c r="P29" t="s">
        <v>56</v>
      </c>
      <c r="Q29">
        <v>89100</v>
      </c>
      <c r="R29" s="3">
        <v>43343</v>
      </c>
      <c r="S29" t="s">
        <v>54</v>
      </c>
      <c r="T29" t="s">
        <v>69</v>
      </c>
      <c r="U29" t="s">
        <v>60</v>
      </c>
      <c r="V29">
        <v>7800</v>
      </c>
      <c r="AG29" s="5" t="s">
        <v>2845</v>
      </c>
      <c r="AH29" s="3">
        <v>43329</v>
      </c>
      <c r="AI29" s="4">
        <v>105000</v>
      </c>
      <c r="AJ29">
        <v>105000</v>
      </c>
    </row>
    <row r="30" spans="1:70" x14ac:dyDescent="0.25">
      <c r="A30" s="4" t="s">
        <v>2846</v>
      </c>
      <c r="B30" s="3">
        <v>43279</v>
      </c>
      <c r="C30" t="s">
        <v>75</v>
      </c>
      <c r="D30" t="s">
        <v>2774</v>
      </c>
      <c r="E30" t="s">
        <v>75</v>
      </c>
      <c r="F30">
        <v>125000</v>
      </c>
      <c r="G30" t="s">
        <v>2847</v>
      </c>
      <c r="H30" s="3">
        <v>43279</v>
      </c>
      <c r="I30" t="s">
        <v>66</v>
      </c>
      <c r="J30">
        <v>105000</v>
      </c>
      <c r="K30" s="1" t="s">
        <v>67</v>
      </c>
      <c r="M30" s="3">
        <v>43281</v>
      </c>
      <c r="N30" t="s">
        <v>54</v>
      </c>
      <c r="O30" t="s">
        <v>1191</v>
      </c>
      <c r="P30" t="s">
        <v>56</v>
      </c>
      <c r="Q30">
        <v>94200</v>
      </c>
      <c r="R30" s="3">
        <v>43326</v>
      </c>
      <c r="S30" t="s">
        <v>54</v>
      </c>
      <c r="T30" t="s">
        <v>2841</v>
      </c>
      <c r="U30" t="s">
        <v>60</v>
      </c>
      <c r="V30">
        <v>9800</v>
      </c>
      <c r="AG30" s="5" t="s">
        <v>2848</v>
      </c>
      <c r="AH30" s="3">
        <v>43322</v>
      </c>
      <c r="AI30" s="4">
        <v>125000</v>
      </c>
      <c r="AJ30">
        <v>125000</v>
      </c>
    </row>
    <row r="31" spans="1:70" x14ac:dyDescent="0.25">
      <c r="A31" s="4" t="s">
        <v>2849</v>
      </c>
      <c r="B31" s="3">
        <v>43294</v>
      </c>
      <c r="C31" t="s">
        <v>75</v>
      </c>
      <c r="D31" t="s">
        <v>2774</v>
      </c>
      <c r="E31" t="s">
        <v>75</v>
      </c>
      <c r="F31">
        <v>115000</v>
      </c>
      <c r="G31" t="s">
        <v>2850</v>
      </c>
      <c r="H31" s="3">
        <v>43294</v>
      </c>
      <c r="I31" t="s">
        <v>66</v>
      </c>
      <c r="J31">
        <v>102000</v>
      </c>
      <c r="K31" s="1" t="s">
        <v>67</v>
      </c>
      <c r="M31" s="3">
        <v>43297</v>
      </c>
      <c r="N31" t="s">
        <v>54</v>
      </c>
      <c r="O31" t="s">
        <v>77</v>
      </c>
      <c r="P31" t="s">
        <v>56</v>
      </c>
      <c r="Q31">
        <v>89200</v>
      </c>
      <c r="R31" s="3">
        <v>43372</v>
      </c>
      <c r="S31" t="s">
        <v>54</v>
      </c>
      <c r="T31" t="s">
        <v>69</v>
      </c>
      <c r="U31" t="s">
        <v>60</v>
      </c>
      <c r="V31">
        <v>11500</v>
      </c>
      <c r="AG31" s="5" t="s">
        <v>2851</v>
      </c>
      <c r="AH31" s="3">
        <v>43360</v>
      </c>
      <c r="AI31" s="4">
        <v>115000</v>
      </c>
      <c r="AJ31">
        <v>115000</v>
      </c>
    </row>
    <row r="32" spans="1:70" x14ac:dyDescent="0.25">
      <c r="A32" s="4" t="s">
        <v>2852</v>
      </c>
      <c r="B32" s="3">
        <v>43294</v>
      </c>
      <c r="C32" t="s">
        <v>75</v>
      </c>
      <c r="D32" t="s">
        <v>2774</v>
      </c>
      <c r="E32" t="s">
        <v>75</v>
      </c>
      <c r="F32">
        <v>61000</v>
      </c>
      <c r="G32" t="s">
        <v>2853</v>
      </c>
      <c r="H32" s="3">
        <v>43294</v>
      </c>
      <c r="I32" t="s">
        <v>66</v>
      </c>
      <c r="J32">
        <v>55000</v>
      </c>
      <c r="K32" s="1" t="s">
        <v>67</v>
      </c>
      <c r="M32" s="3">
        <v>43297</v>
      </c>
      <c r="N32" t="s">
        <v>54</v>
      </c>
      <c r="O32" t="s">
        <v>77</v>
      </c>
      <c r="P32" t="s">
        <v>56</v>
      </c>
      <c r="Q32">
        <v>42300</v>
      </c>
      <c r="R32" s="3">
        <v>43314</v>
      </c>
      <c r="S32" t="s">
        <v>54</v>
      </c>
      <c r="T32" t="s">
        <v>69</v>
      </c>
      <c r="U32" t="s">
        <v>60</v>
      </c>
      <c r="V32">
        <v>11800</v>
      </c>
      <c r="AG32" s="5" t="s">
        <v>2854</v>
      </c>
      <c r="AH32" s="3">
        <v>43309</v>
      </c>
      <c r="AI32" s="4">
        <v>61000</v>
      </c>
      <c r="AJ32">
        <v>61000</v>
      </c>
    </row>
    <row r="33" spans="1:36" x14ac:dyDescent="0.25">
      <c r="A33" s="4" t="s">
        <v>2855</v>
      </c>
      <c r="B33" s="3">
        <v>43295</v>
      </c>
      <c r="C33" t="s">
        <v>75</v>
      </c>
      <c r="D33" t="s">
        <v>51</v>
      </c>
      <c r="E33" t="s">
        <v>75</v>
      </c>
      <c r="F33">
        <v>98000</v>
      </c>
      <c r="G33" t="s">
        <v>2856</v>
      </c>
      <c r="H33" s="3">
        <v>43295</v>
      </c>
      <c r="I33" t="s">
        <v>66</v>
      </c>
      <c r="J33">
        <v>90000</v>
      </c>
      <c r="K33" s="1" t="s">
        <v>67</v>
      </c>
      <c r="M33" s="3">
        <v>43297</v>
      </c>
      <c r="N33" t="s">
        <v>54</v>
      </c>
      <c r="O33" t="s">
        <v>77</v>
      </c>
      <c r="P33" t="s">
        <v>56</v>
      </c>
      <c r="Q33">
        <v>74200</v>
      </c>
      <c r="R33" s="3">
        <v>43344</v>
      </c>
      <c r="S33" t="s">
        <v>54</v>
      </c>
      <c r="T33" t="s">
        <v>77</v>
      </c>
      <c r="U33" t="s">
        <v>60</v>
      </c>
      <c r="V33">
        <v>14500</v>
      </c>
      <c r="AG33" s="5" t="s">
        <v>2857</v>
      </c>
      <c r="AH33" s="3">
        <v>43344</v>
      </c>
      <c r="AI33" s="4">
        <v>98000</v>
      </c>
      <c r="AJ33">
        <v>98000</v>
      </c>
    </row>
    <row r="34" spans="1:36" x14ac:dyDescent="0.25">
      <c r="A34" s="4" t="s">
        <v>2858</v>
      </c>
      <c r="B34" s="3">
        <v>43312</v>
      </c>
      <c r="C34" t="s">
        <v>75</v>
      </c>
      <c r="D34" t="s">
        <v>2839</v>
      </c>
      <c r="E34" t="s">
        <v>75</v>
      </c>
      <c r="F34">
        <v>105000</v>
      </c>
      <c r="G34" t="s">
        <v>2859</v>
      </c>
      <c r="H34" s="3">
        <v>43312</v>
      </c>
      <c r="I34" t="s">
        <v>66</v>
      </c>
      <c r="J34">
        <v>95000</v>
      </c>
      <c r="K34" s="1" t="s">
        <v>67</v>
      </c>
      <c r="M34" s="3">
        <v>43312</v>
      </c>
      <c r="N34" t="s">
        <v>54</v>
      </c>
      <c r="O34" t="s">
        <v>69</v>
      </c>
      <c r="P34" t="s">
        <v>56</v>
      </c>
      <c r="Q34">
        <v>79400</v>
      </c>
      <c r="R34" s="3">
        <v>43363</v>
      </c>
      <c r="S34" t="s">
        <v>54</v>
      </c>
      <c r="T34" t="s">
        <v>77</v>
      </c>
      <c r="U34" t="s">
        <v>60</v>
      </c>
      <c r="V34">
        <v>14500</v>
      </c>
      <c r="AG34" s="5" t="s">
        <v>2860</v>
      </c>
      <c r="AH34" s="3">
        <v>43360</v>
      </c>
      <c r="AI34" s="4">
        <v>105000</v>
      </c>
      <c r="AJ34">
        <v>105000</v>
      </c>
    </row>
    <row r="35" spans="1:36" x14ac:dyDescent="0.25">
      <c r="A35" s="4" t="s">
        <v>2861</v>
      </c>
      <c r="B35" s="3">
        <v>43312</v>
      </c>
      <c r="C35" t="s">
        <v>75</v>
      </c>
      <c r="D35" t="s">
        <v>2839</v>
      </c>
      <c r="E35" t="s">
        <v>75</v>
      </c>
      <c r="F35">
        <v>60000</v>
      </c>
      <c r="G35" t="s">
        <v>2862</v>
      </c>
      <c r="H35" s="3">
        <v>43312</v>
      </c>
      <c r="I35" t="s">
        <v>66</v>
      </c>
      <c r="J35">
        <v>54000</v>
      </c>
      <c r="K35" s="1" t="s">
        <v>67</v>
      </c>
      <c r="M35" s="3">
        <v>43312</v>
      </c>
      <c r="N35" t="s">
        <v>54</v>
      </c>
      <c r="O35" t="s">
        <v>69</v>
      </c>
      <c r="P35" t="s">
        <v>56</v>
      </c>
      <c r="Q35">
        <v>43400</v>
      </c>
      <c r="R35" s="3">
        <v>43372</v>
      </c>
      <c r="S35" t="s">
        <v>54</v>
      </c>
      <c r="T35" t="s">
        <v>69</v>
      </c>
      <c r="U35" t="s">
        <v>60</v>
      </c>
      <c r="V35">
        <v>9800</v>
      </c>
      <c r="AG35" s="5" t="s">
        <v>2863</v>
      </c>
      <c r="AH35" s="3">
        <v>43361</v>
      </c>
      <c r="AI35" s="4">
        <v>60000</v>
      </c>
      <c r="AJ35">
        <v>60000</v>
      </c>
    </row>
    <row r="36" spans="1:36" x14ac:dyDescent="0.25">
      <c r="A36" s="4" t="s">
        <v>2864</v>
      </c>
      <c r="B36" s="3">
        <v>43318</v>
      </c>
      <c r="C36" t="s">
        <v>75</v>
      </c>
      <c r="D36" t="s">
        <v>1274</v>
      </c>
      <c r="E36" t="s">
        <v>75</v>
      </c>
      <c r="F36">
        <v>60000</v>
      </c>
      <c r="G36" t="s">
        <v>2865</v>
      </c>
      <c r="H36" s="3">
        <v>43318</v>
      </c>
      <c r="I36" t="s">
        <v>66</v>
      </c>
      <c r="J36">
        <v>55000</v>
      </c>
      <c r="K36" s="1" t="s">
        <v>67</v>
      </c>
      <c r="M36" s="3">
        <v>43318</v>
      </c>
      <c r="N36" t="s">
        <v>54</v>
      </c>
      <c r="O36" t="s">
        <v>69</v>
      </c>
      <c r="P36" t="s">
        <v>56</v>
      </c>
      <c r="Q36">
        <v>49200</v>
      </c>
      <c r="R36" s="3">
        <v>43399</v>
      </c>
      <c r="S36" t="s">
        <v>54</v>
      </c>
      <c r="T36" t="s">
        <v>68</v>
      </c>
      <c r="U36" t="s">
        <v>60</v>
      </c>
      <c r="V36">
        <v>4900</v>
      </c>
      <c r="AG36" s="5" t="s">
        <v>2866</v>
      </c>
      <c r="AH36" s="3">
        <v>43374</v>
      </c>
      <c r="AI36" s="4">
        <v>60000</v>
      </c>
      <c r="AJ36">
        <v>60000</v>
      </c>
    </row>
    <row r="37" spans="1:36" x14ac:dyDescent="0.25">
      <c r="A37" s="4" t="s">
        <v>2867</v>
      </c>
      <c r="B37" s="3">
        <v>43318</v>
      </c>
      <c r="C37" t="s">
        <v>75</v>
      </c>
      <c r="D37" t="s">
        <v>1274</v>
      </c>
      <c r="E37" t="s">
        <v>75</v>
      </c>
      <c r="F37">
        <v>60000</v>
      </c>
      <c r="G37" t="s">
        <v>2868</v>
      </c>
      <c r="H37" s="3">
        <v>43318</v>
      </c>
      <c r="I37" t="s">
        <v>66</v>
      </c>
      <c r="J37">
        <v>55000</v>
      </c>
      <c r="K37" s="1" t="s">
        <v>67</v>
      </c>
      <c r="M37" s="3">
        <v>43318</v>
      </c>
      <c r="N37" t="s">
        <v>54</v>
      </c>
      <c r="O37" t="s">
        <v>69</v>
      </c>
      <c r="P37" t="s">
        <v>56</v>
      </c>
      <c r="Q37">
        <v>49200</v>
      </c>
      <c r="R37" s="3">
        <v>43372</v>
      </c>
      <c r="S37" t="s">
        <v>54</v>
      </c>
      <c r="T37" t="s">
        <v>69</v>
      </c>
      <c r="U37" t="s">
        <v>60</v>
      </c>
      <c r="V37">
        <v>4900</v>
      </c>
      <c r="AG37" s="5" t="s">
        <v>2869</v>
      </c>
      <c r="AH37" s="3">
        <v>43374</v>
      </c>
      <c r="AI37" s="4">
        <v>60000</v>
      </c>
      <c r="AJ37">
        <v>60000</v>
      </c>
    </row>
    <row r="38" spans="1:36" x14ac:dyDescent="0.25">
      <c r="A38" s="4" t="s">
        <v>2870</v>
      </c>
      <c r="B38" s="3">
        <v>43346</v>
      </c>
      <c r="C38" t="s">
        <v>75</v>
      </c>
      <c r="D38" t="s">
        <v>2871</v>
      </c>
      <c r="E38" t="s">
        <v>75</v>
      </c>
      <c r="F38">
        <v>60000</v>
      </c>
      <c r="G38" t="s">
        <v>2872</v>
      </c>
      <c r="H38" s="3">
        <v>43346</v>
      </c>
      <c r="I38" t="s">
        <v>66</v>
      </c>
      <c r="J38">
        <v>55000</v>
      </c>
      <c r="K38" s="1" t="s">
        <v>67</v>
      </c>
      <c r="M38" s="3">
        <v>43346</v>
      </c>
      <c r="N38" t="s">
        <v>54</v>
      </c>
      <c r="O38" t="s">
        <v>69</v>
      </c>
      <c r="P38" t="s">
        <v>56</v>
      </c>
      <c r="Q38">
        <v>49200</v>
      </c>
      <c r="R38" s="3">
        <v>43434</v>
      </c>
      <c r="S38" t="s">
        <v>54</v>
      </c>
      <c r="T38" t="s">
        <v>66</v>
      </c>
      <c r="U38" t="s">
        <v>60</v>
      </c>
      <c r="V38">
        <v>4900</v>
      </c>
      <c r="AG38" s="5" t="s">
        <v>2873</v>
      </c>
      <c r="AH38" s="3">
        <v>43426</v>
      </c>
      <c r="AI38" s="4">
        <v>60000</v>
      </c>
      <c r="AJ38">
        <v>60000</v>
      </c>
    </row>
    <row r="39" spans="1:36" x14ac:dyDescent="0.25">
      <c r="A39" s="4" t="s">
        <v>2874</v>
      </c>
      <c r="B39" s="3">
        <v>43349</v>
      </c>
      <c r="C39" t="s">
        <v>75</v>
      </c>
      <c r="D39" t="s">
        <v>51</v>
      </c>
      <c r="E39" t="s">
        <v>75</v>
      </c>
      <c r="F39">
        <v>66000</v>
      </c>
      <c r="G39" t="s">
        <v>2875</v>
      </c>
      <c r="H39" s="3">
        <v>43349</v>
      </c>
      <c r="I39" t="s">
        <v>66</v>
      </c>
      <c r="J39">
        <v>60000</v>
      </c>
      <c r="K39" s="1" t="s">
        <v>67</v>
      </c>
      <c r="M39" s="3">
        <v>43350</v>
      </c>
      <c r="N39" t="s">
        <v>54</v>
      </c>
      <c r="O39" t="s">
        <v>77</v>
      </c>
      <c r="P39" t="s">
        <v>56</v>
      </c>
      <c r="Q39">
        <v>54200</v>
      </c>
      <c r="R39" s="3">
        <v>43434</v>
      </c>
      <c r="S39" t="s">
        <v>54</v>
      </c>
      <c r="T39" t="s">
        <v>66</v>
      </c>
      <c r="U39" t="s">
        <v>60</v>
      </c>
      <c r="V39">
        <v>4900</v>
      </c>
      <c r="AG39" s="5" t="s">
        <v>2876</v>
      </c>
      <c r="AH39" s="3">
        <v>43426</v>
      </c>
      <c r="AI39" s="4">
        <v>66000</v>
      </c>
      <c r="AJ39">
        <v>66000</v>
      </c>
    </row>
    <row r="40" spans="1:36" x14ac:dyDescent="0.25">
      <c r="A40" s="4" t="s">
        <v>2877</v>
      </c>
      <c r="B40" s="3">
        <v>43349</v>
      </c>
      <c r="C40" t="s">
        <v>75</v>
      </c>
      <c r="D40" t="s">
        <v>51</v>
      </c>
      <c r="E40" t="s">
        <v>75</v>
      </c>
      <c r="F40">
        <v>66000</v>
      </c>
      <c r="G40" t="s">
        <v>2878</v>
      </c>
      <c r="H40" s="3">
        <v>43349</v>
      </c>
      <c r="I40" t="s">
        <v>66</v>
      </c>
      <c r="J40">
        <v>60000</v>
      </c>
      <c r="K40" s="1" t="s">
        <v>67</v>
      </c>
      <c r="M40" s="3">
        <v>43350</v>
      </c>
      <c r="N40" t="s">
        <v>54</v>
      </c>
      <c r="O40" t="s">
        <v>77</v>
      </c>
      <c r="P40" t="s">
        <v>56</v>
      </c>
      <c r="Q40">
        <v>54200</v>
      </c>
      <c r="R40" s="3">
        <v>43434</v>
      </c>
      <c r="S40" t="s">
        <v>54</v>
      </c>
      <c r="T40" t="s">
        <v>66</v>
      </c>
      <c r="U40" t="s">
        <v>60</v>
      </c>
      <c r="V40">
        <v>4900</v>
      </c>
      <c r="AG40" s="5" t="s">
        <v>2879</v>
      </c>
      <c r="AH40" s="3">
        <v>43426</v>
      </c>
      <c r="AI40" s="4">
        <v>66000</v>
      </c>
      <c r="AJ40">
        <v>66000</v>
      </c>
    </row>
  </sheetData>
  <autoFilter ref="A1:BV40">
    <filterColumn colId="35">
      <filters>
        <filter val="105000"/>
        <filter val="115000"/>
        <filter val="125000"/>
        <filter val="60000"/>
        <filter val="61000"/>
        <filter val="66000"/>
        <filter val="94000"/>
        <filter val="98000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2" sqref="A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2880</v>
      </c>
      <c r="B2" s="3">
        <v>43180</v>
      </c>
      <c r="C2" t="s">
        <v>1400</v>
      </c>
      <c r="D2" t="s">
        <v>2881</v>
      </c>
      <c r="E2" t="s">
        <v>2881</v>
      </c>
      <c r="F2">
        <v>103000</v>
      </c>
      <c r="G2" t="s">
        <v>2882</v>
      </c>
      <c r="H2" s="3">
        <v>43180</v>
      </c>
      <c r="I2" t="s">
        <v>502</v>
      </c>
      <c r="J2">
        <v>93000</v>
      </c>
      <c r="K2" s="1"/>
      <c r="M2" s="3">
        <v>43182</v>
      </c>
      <c r="N2" t="s">
        <v>54</v>
      </c>
      <c r="O2" t="s">
        <v>524</v>
      </c>
      <c r="P2" t="s">
        <v>56</v>
      </c>
      <c r="Q2">
        <v>57400</v>
      </c>
      <c r="R2" s="3">
        <v>43182</v>
      </c>
      <c r="S2" t="s">
        <v>54</v>
      </c>
      <c r="T2" t="s">
        <v>524</v>
      </c>
      <c r="U2" t="s">
        <v>56</v>
      </c>
      <c r="V2">
        <v>5100</v>
      </c>
      <c r="W2" s="3">
        <v>43182</v>
      </c>
      <c r="X2" t="s">
        <v>1336</v>
      </c>
      <c r="Z2" t="s">
        <v>56</v>
      </c>
      <c r="AA2">
        <v>20000</v>
      </c>
      <c r="AB2" s="3">
        <v>43208</v>
      </c>
      <c r="AC2" t="s">
        <v>54</v>
      </c>
      <c r="AD2" t="s">
        <v>524</v>
      </c>
      <c r="AE2" t="s">
        <v>60</v>
      </c>
      <c r="AF2">
        <v>9800</v>
      </c>
      <c r="AG2" t="s">
        <v>2883</v>
      </c>
      <c r="AH2" s="3">
        <v>43190</v>
      </c>
      <c r="AI2">
        <v>103000</v>
      </c>
      <c r="AJ2">
        <v>0</v>
      </c>
      <c r="AS2" t="s">
        <v>2884</v>
      </c>
      <c r="AT2" s="3">
        <v>43220</v>
      </c>
      <c r="AU2">
        <v>100940</v>
      </c>
      <c r="AV2">
        <v>0</v>
      </c>
      <c r="AW2">
        <v>2060</v>
      </c>
      <c r="AX2">
        <v>0</v>
      </c>
      <c r="BQ2" t="s">
        <v>72</v>
      </c>
      <c r="BR2" t="s">
        <v>2885</v>
      </c>
    </row>
    <row r="3" spans="1:74" x14ac:dyDescent="0.25">
      <c r="A3" t="s">
        <v>2886</v>
      </c>
      <c r="B3" s="3">
        <v>43180</v>
      </c>
      <c r="C3" t="s">
        <v>1400</v>
      </c>
      <c r="D3" t="s">
        <v>2881</v>
      </c>
      <c r="E3" t="s">
        <v>2881</v>
      </c>
      <c r="F3">
        <v>0</v>
      </c>
      <c r="K3" s="1"/>
    </row>
    <row r="4" spans="1:74" x14ac:dyDescent="0.25">
      <c r="A4" s="4" t="s">
        <v>2887</v>
      </c>
      <c r="B4" s="3">
        <v>43208</v>
      </c>
      <c r="C4" t="s">
        <v>1400</v>
      </c>
      <c r="D4" t="s">
        <v>2881</v>
      </c>
      <c r="E4" t="s">
        <v>2881</v>
      </c>
      <c r="F4">
        <v>110000</v>
      </c>
      <c r="G4" t="s">
        <v>2888</v>
      </c>
      <c r="H4" s="3">
        <v>43208</v>
      </c>
      <c r="I4" t="s">
        <v>66</v>
      </c>
      <c r="J4">
        <v>98000</v>
      </c>
      <c r="K4" s="1" t="s">
        <v>67</v>
      </c>
      <c r="M4" s="3">
        <v>43215</v>
      </c>
      <c r="N4" t="s">
        <v>54</v>
      </c>
      <c r="O4" t="s">
        <v>2889</v>
      </c>
      <c r="P4" t="s">
        <v>56</v>
      </c>
      <c r="Q4">
        <v>84100</v>
      </c>
      <c r="R4" s="3">
        <v>43259</v>
      </c>
      <c r="S4" t="s">
        <v>54</v>
      </c>
      <c r="T4" t="s">
        <v>77</v>
      </c>
      <c r="U4" t="s">
        <v>60</v>
      </c>
      <c r="V4">
        <v>12800</v>
      </c>
      <c r="AG4" s="4" t="s">
        <v>2890</v>
      </c>
      <c r="AH4" s="3">
        <v>43265</v>
      </c>
      <c r="AI4" s="4">
        <v>110000</v>
      </c>
      <c r="AJ4">
        <v>110000</v>
      </c>
    </row>
    <row r="5" spans="1:74" x14ac:dyDescent="0.25">
      <c r="A5" s="4" t="s">
        <v>2891</v>
      </c>
      <c r="B5" s="3">
        <v>43208</v>
      </c>
      <c r="C5" t="s">
        <v>1400</v>
      </c>
      <c r="D5" t="s">
        <v>2881</v>
      </c>
      <c r="E5" t="s">
        <v>2881</v>
      </c>
      <c r="F5">
        <v>66000</v>
      </c>
      <c r="G5" t="s">
        <v>2892</v>
      </c>
      <c r="H5" s="3">
        <v>43208</v>
      </c>
      <c r="I5" t="s">
        <v>66</v>
      </c>
      <c r="J5">
        <v>60000</v>
      </c>
      <c r="K5" s="1" t="s">
        <v>67</v>
      </c>
      <c r="M5" s="3">
        <v>43215</v>
      </c>
      <c r="N5" t="s">
        <v>54</v>
      </c>
      <c r="O5" t="s">
        <v>66</v>
      </c>
      <c r="P5" t="s">
        <v>56</v>
      </c>
      <c r="Q5">
        <v>54500</v>
      </c>
      <c r="R5" s="3">
        <v>43253</v>
      </c>
      <c r="S5" t="s">
        <v>54</v>
      </c>
      <c r="T5" t="s">
        <v>77</v>
      </c>
      <c r="U5" t="s">
        <v>60</v>
      </c>
      <c r="V5">
        <v>4900</v>
      </c>
      <c r="AG5" s="4" t="s">
        <v>2893</v>
      </c>
      <c r="AH5" s="3">
        <v>43252</v>
      </c>
      <c r="AI5" s="4">
        <v>66000</v>
      </c>
      <c r="AJ5">
        <v>66000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BI2" activePane="bottomRight" state="frozen"/>
      <selection pane="topRight" activeCell="G1" sqref="G1"/>
      <selection pane="bottomLeft" activeCell="A2" sqref="A2"/>
      <selection pane="bottomRight" activeCell="F4" sqref="F4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2894</v>
      </c>
      <c r="B2" s="3">
        <v>43111</v>
      </c>
      <c r="C2" t="s">
        <v>1325</v>
      </c>
      <c r="D2" t="s">
        <v>2895</v>
      </c>
      <c r="E2" t="s">
        <v>2895</v>
      </c>
      <c r="F2">
        <v>33000</v>
      </c>
      <c r="G2" t="s">
        <v>2896</v>
      </c>
      <c r="H2" s="3">
        <v>43111</v>
      </c>
      <c r="I2" t="s">
        <v>344</v>
      </c>
      <c r="J2">
        <v>30000</v>
      </c>
      <c r="K2" s="1"/>
      <c r="M2" s="3">
        <v>43112</v>
      </c>
      <c r="N2" t="s">
        <v>1336</v>
      </c>
      <c r="O2" t="s">
        <v>579</v>
      </c>
      <c r="P2" t="s">
        <v>56</v>
      </c>
      <c r="Q2">
        <v>10000</v>
      </c>
      <c r="R2" s="3">
        <v>43112</v>
      </c>
      <c r="S2" t="s">
        <v>54</v>
      </c>
      <c r="T2" t="s">
        <v>480</v>
      </c>
      <c r="U2" t="s">
        <v>56</v>
      </c>
      <c r="V2">
        <v>16700</v>
      </c>
      <c r="W2" s="3">
        <v>43133</v>
      </c>
      <c r="X2" t="s">
        <v>54</v>
      </c>
      <c r="Y2" t="s">
        <v>538</v>
      </c>
      <c r="Z2" t="s">
        <v>60</v>
      </c>
      <c r="AA2">
        <v>2950</v>
      </c>
      <c r="AG2" t="s">
        <v>2897</v>
      </c>
      <c r="AH2" s="3">
        <v>43154</v>
      </c>
      <c r="AI2">
        <v>33000</v>
      </c>
      <c r="AJ2">
        <v>33000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93"/>
  <sheetViews>
    <sheetView workbookViewId="0">
      <pane xSplit="6" ySplit="1" topLeftCell="AM2" activePane="bottomRight" state="frozen"/>
      <selection pane="topRight" activeCell="G1" sqref="G1"/>
      <selection pane="bottomLeft" activeCell="A2" sqref="A2"/>
      <selection pane="bottomRight" activeCell="AM2" sqref="AM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4" t="s">
        <v>2915</v>
      </c>
      <c r="B2" s="3">
        <v>42256</v>
      </c>
      <c r="C2" t="s">
        <v>50</v>
      </c>
      <c r="D2" t="s">
        <v>2916</v>
      </c>
      <c r="E2" t="s">
        <v>50</v>
      </c>
      <c r="F2">
        <v>52500</v>
      </c>
      <c r="G2" t="s">
        <v>2917</v>
      </c>
      <c r="H2" s="3">
        <v>42256</v>
      </c>
      <c r="I2" t="s">
        <v>107</v>
      </c>
      <c r="J2">
        <v>49500</v>
      </c>
      <c r="K2" s="1" t="s">
        <v>67</v>
      </c>
      <c r="M2" s="3">
        <v>42256</v>
      </c>
      <c r="N2" t="s">
        <v>57</v>
      </c>
      <c r="P2" t="s">
        <v>56</v>
      </c>
      <c r="Q2">
        <v>34500</v>
      </c>
      <c r="R2" s="3">
        <v>42257</v>
      </c>
      <c r="S2" t="s">
        <v>57</v>
      </c>
      <c r="U2" t="s">
        <v>56</v>
      </c>
      <c r="V2">
        <v>9500</v>
      </c>
      <c r="W2" s="3">
        <v>42270</v>
      </c>
      <c r="X2" t="s">
        <v>54</v>
      </c>
      <c r="Z2" t="s">
        <v>60</v>
      </c>
      <c r="AA2">
        <v>4900</v>
      </c>
      <c r="AG2" s="5" t="s">
        <v>2918</v>
      </c>
      <c r="AH2" s="3">
        <v>42269</v>
      </c>
      <c r="AI2" s="5">
        <v>52500</v>
      </c>
      <c r="AJ2">
        <v>0</v>
      </c>
      <c r="AS2" t="s">
        <v>2919</v>
      </c>
      <c r="AT2" s="3">
        <v>42447</v>
      </c>
      <c r="AU2">
        <v>52000</v>
      </c>
      <c r="AV2">
        <v>0</v>
      </c>
      <c r="AW2">
        <v>500</v>
      </c>
      <c r="AX2">
        <v>0</v>
      </c>
      <c r="BQ2" t="s">
        <v>1610</v>
      </c>
      <c r="BR2" t="s">
        <v>2920</v>
      </c>
    </row>
    <row r="3" spans="1:74" x14ac:dyDescent="0.25">
      <c r="A3" s="4" t="s">
        <v>2940</v>
      </c>
      <c r="B3" s="3">
        <v>42265</v>
      </c>
      <c r="C3" t="s">
        <v>50</v>
      </c>
      <c r="D3" t="s">
        <v>2941</v>
      </c>
      <c r="E3" t="s">
        <v>50</v>
      </c>
      <c r="F3">
        <v>10000</v>
      </c>
      <c r="G3" t="s">
        <v>2942</v>
      </c>
      <c r="H3" s="3">
        <v>42266</v>
      </c>
      <c r="I3" t="s">
        <v>107</v>
      </c>
      <c r="J3">
        <v>8500</v>
      </c>
      <c r="K3" s="1" t="s">
        <v>67</v>
      </c>
      <c r="M3" s="3">
        <v>42266</v>
      </c>
      <c r="N3" t="s">
        <v>57</v>
      </c>
      <c r="P3" t="s">
        <v>56</v>
      </c>
      <c r="Q3">
        <v>7200</v>
      </c>
      <c r="R3" s="3">
        <v>42277</v>
      </c>
      <c r="S3" t="s">
        <v>57</v>
      </c>
      <c r="U3" t="s">
        <v>60</v>
      </c>
      <c r="V3">
        <v>970</v>
      </c>
      <c r="AG3" s="5" t="s">
        <v>2943</v>
      </c>
      <c r="AH3" s="3">
        <v>42315</v>
      </c>
      <c r="AI3" s="5">
        <v>10000</v>
      </c>
      <c r="AJ3">
        <v>0</v>
      </c>
      <c r="AS3" t="s">
        <v>2944</v>
      </c>
      <c r="AT3" s="3">
        <v>42478</v>
      </c>
      <c r="AU3">
        <v>10000</v>
      </c>
      <c r="AV3">
        <v>0</v>
      </c>
      <c r="AW3">
        <v>0</v>
      </c>
      <c r="AX3">
        <v>0</v>
      </c>
      <c r="BQ3" t="s">
        <v>72</v>
      </c>
      <c r="BR3" t="s">
        <v>2945</v>
      </c>
    </row>
    <row r="4" spans="1:74" x14ac:dyDescent="0.25">
      <c r="A4" s="4" t="s">
        <v>2946</v>
      </c>
      <c r="B4" s="3">
        <v>42270</v>
      </c>
      <c r="C4" t="s">
        <v>50</v>
      </c>
      <c r="D4" t="s">
        <v>2947</v>
      </c>
      <c r="E4" t="s">
        <v>50</v>
      </c>
      <c r="F4">
        <v>33000</v>
      </c>
      <c r="G4" t="s">
        <v>2948</v>
      </c>
      <c r="H4" s="3">
        <v>42270</v>
      </c>
      <c r="I4" t="s">
        <v>2949</v>
      </c>
      <c r="J4">
        <v>30000</v>
      </c>
      <c r="K4" s="1" t="s">
        <v>67</v>
      </c>
      <c r="M4" s="3">
        <v>42270</v>
      </c>
      <c r="N4" t="s">
        <v>57</v>
      </c>
      <c r="P4" t="s">
        <v>56</v>
      </c>
      <c r="Q4">
        <v>26000</v>
      </c>
      <c r="R4" s="3">
        <v>42286</v>
      </c>
      <c r="S4" t="s">
        <v>54</v>
      </c>
      <c r="U4" t="s">
        <v>60</v>
      </c>
      <c r="V4">
        <v>3350</v>
      </c>
      <c r="AG4" s="5" t="s">
        <v>2950</v>
      </c>
      <c r="AH4" s="3">
        <v>42290</v>
      </c>
      <c r="AI4" s="5">
        <v>33000</v>
      </c>
      <c r="AJ4">
        <v>0</v>
      </c>
      <c r="AS4" t="s">
        <v>2944</v>
      </c>
      <c r="AT4" s="3">
        <v>42478</v>
      </c>
      <c r="AU4">
        <v>33000</v>
      </c>
      <c r="AV4">
        <v>0</v>
      </c>
      <c r="AW4">
        <v>0</v>
      </c>
      <c r="AX4">
        <v>0</v>
      </c>
      <c r="BQ4" t="s">
        <v>72</v>
      </c>
      <c r="BR4" t="s">
        <v>2945</v>
      </c>
    </row>
    <row r="5" spans="1:74" x14ac:dyDescent="0.25">
      <c r="A5" s="4" t="s">
        <v>2951</v>
      </c>
      <c r="B5" s="3">
        <v>42270</v>
      </c>
      <c r="C5" t="s">
        <v>50</v>
      </c>
      <c r="D5" t="s">
        <v>2947</v>
      </c>
      <c r="E5" t="s">
        <v>50</v>
      </c>
      <c r="F5">
        <v>33000</v>
      </c>
      <c r="G5" t="s">
        <v>2952</v>
      </c>
      <c r="H5" s="3">
        <v>42270</v>
      </c>
      <c r="I5" t="s">
        <v>2949</v>
      </c>
      <c r="J5">
        <v>30000</v>
      </c>
      <c r="K5" s="1" t="s">
        <v>67</v>
      </c>
      <c r="M5" s="3">
        <v>42270</v>
      </c>
      <c r="N5" t="s">
        <v>57</v>
      </c>
      <c r="P5" t="s">
        <v>56</v>
      </c>
      <c r="Q5">
        <v>26000</v>
      </c>
      <c r="R5" s="3">
        <v>42286</v>
      </c>
      <c r="S5" t="s">
        <v>54</v>
      </c>
      <c r="U5" t="s">
        <v>60</v>
      </c>
      <c r="V5">
        <v>3350</v>
      </c>
      <c r="AG5" s="5" t="s">
        <v>2953</v>
      </c>
      <c r="AH5" s="3">
        <v>42290</v>
      </c>
      <c r="AI5" s="5">
        <v>33000</v>
      </c>
      <c r="AJ5">
        <v>0</v>
      </c>
      <c r="AS5" t="s">
        <v>2944</v>
      </c>
      <c r="AT5" s="3">
        <v>42478</v>
      </c>
      <c r="AU5">
        <v>33000</v>
      </c>
      <c r="AV5">
        <v>0</v>
      </c>
      <c r="AW5">
        <v>0</v>
      </c>
      <c r="AX5">
        <v>0</v>
      </c>
      <c r="BQ5" t="s">
        <v>72</v>
      </c>
      <c r="BR5" t="s">
        <v>2945</v>
      </c>
    </row>
    <row r="6" spans="1:74" x14ac:dyDescent="0.25">
      <c r="A6" s="4" t="s">
        <v>3036</v>
      </c>
      <c r="B6" s="3">
        <v>42313</v>
      </c>
      <c r="C6" t="s">
        <v>50</v>
      </c>
      <c r="D6" t="s">
        <v>3037</v>
      </c>
      <c r="E6" t="s">
        <v>50</v>
      </c>
      <c r="F6">
        <v>36000</v>
      </c>
      <c r="G6" t="s">
        <v>3038</v>
      </c>
      <c r="H6" s="3">
        <v>42313</v>
      </c>
      <c r="I6" t="s">
        <v>1416</v>
      </c>
      <c r="J6">
        <v>33000</v>
      </c>
      <c r="K6" s="1" t="s">
        <v>67</v>
      </c>
      <c r="M6" s="3">
        <v>42313</v>
      </c>
      <c r="N6" t="s">
        <v>57</v>
      </c>
      <c r="P6" t="s">
        <v>56</v>
      </c>
      <c r="Q6">
        <v>28500</v>
      </c>
      <c r="R6" s="3">
        <v>42341</v>
      </c>
      <c r="S6" t="s">
        <v>54</v>
      </c>
      <c r="U6" t="s">
        <v>60</v>
      </c>
      <c r="V6">
        <v>3900</v>
      </c>
      <c r="AG6" s="5" t="s">
        <v>3039</v>
      </c>
      <c r="AH6" s="3">
        <v>42371</v>
      </c>
      <c r="AI6" s="4">
        <v>36000</v>
      </c>
      <c r="AJ6">
        <v>0</v>
      </c>
      <c r="AS6" t="s">
        <v>3040</v>
      </c>
      <c r="AT6" s="3">
        <v>42499</v>
      </c>
      <c r="AU6">
        <v>36000</v>
      </c>
      <c r="AV6">
        <v>0</v>
      </c>
      <c r="AW6">
        <v>0</v>
      </c>
      <c r="AX6">
        <v>0</v>
      </c>
      <c r="BQ6" t="s">
        <v>72</v>
      </c>
      <c r="BR6" t="s">
        <v>3041</v>
      </c>
    </row>
    <row r="7" spans="1:74" x14ac:dyDescent="0.25">
      <c r="A7" s="4" t="s">
        <v>3042</v>
      </c>
      <c r="B7" s="3">
        <v>42313</v>
      </c>
      <c r="C7" t="s">
        <v>50</v>
      </c>
      <c r="D7" t="s">
        <v>3037</v>
      </c>
      <c r="E7" t="s">
        <v>50</v>
      </c>
      <c r="F7">
        <v>36000</v>
      </c>
      <c r="G7" t="s">
        <v>3043</v>
      </c>
      <c r="H7" s="3">
        <v>42313</v>
      </c>
      <c r="I7" t="s">
        <v>1416</v>
      </c>
      <c r="J7">
        <v>33000</v>
      </c>
      <c r="K7" s="1" t="s">
        <v>67</v>
      </c>
      <c r="M7" s="3">
        <v>42313</v>
      </c>
      <c r="N7" t="s">
        <v>57</v>
      </c>
      <c r="P7" t="s">
        <v>56</v>
      </c>
      <c r="Q7">
        <v>28500</v>
      </c>
      <c r="R7" s="3">
        <v>42341</v>
      </c>
      <c r="S7" t="s">
        <v>54</v>
      </c>
      <c r="U7" t="s">
        <v>60</v>
      </c>
      <c r="V7">
        <v>3900</v>
      </c>
      <c r="AG7" s="5" t="s">
        <v>3044</v>
      </c>
      <c r="AH7" s="3">
        <v>42371</v>
      </c>
      <c r="AI7" s="4">
        <v>36000</v>
      </c>
      <c r="AJ7">
        <v>0</v>
      </c>
      <c r="AS7" t="s">
        <v>3040</v>
      </c>
      <c r="AT7" s="3">
        <v>42499</v>
      </c>
      <c r="AU7">
        <v>36000</v>
      </c>
      <c r="AV7">
        <v>0</v>
      </c>
      <c r="AW7">
        <v>0</v>
      </c>
      <c r="AX7">
        <v>0</v>
      </c>
      <c r="BQ7" t="s">
        <v>72</v>
      </c>
      <c r="BR7" t="s">
        <v>3041</v>
      </c>
    </row>
    <row r="8" spans="1:74" x14ac:dyDescent="0.25">
      <c r="A8" s="4" t="s">
        <v>3045</v>
      </c>
      <c r="B8" s="3">
        <v>42325</v>
      </c>
      <c r="C8" t="s">
        <v>50</v>
      </c>
      <c r="D8" t="s">
        <v>3046</v>
      </c>
      <c r="E8" t="s">
        <v>50</v>
      </c>
      <c r="F8">
        <v>56000</v>
      </c>
      <c r="G8" t="s">
        <v>3047</v>
      </c>
      <c r="H8" s="3">
        <v>42325</v>
      </c>
      <c r="I8" t="s">
        <v>107</v>
      </c>
      <c r="J8">
        <v>53000</v>
      </c>
      <c r="K8" s="1" t="s">
        <v>67</v>
      </c>
      <c r="M8" s="3">
        <v>42325</v>
      </c>
      <c r="N8" t="s">
        <v>57</v>
      </c>
      <c r="P8" t="s">
        <v>56</v>
      </c>
      <c r="Q8">
        <v>19600</v>
      </c>
      <c r="R8" s="3">
        <v>42356</v>
      </c>
      <c r="S8" t="s">
        <v>54</v>
      </c>
      <c r="U8" t="s">
        <v>60</v>
      </c>
      <c r="V8">
        <v>32700</v>
      </c>
      <c r="AG8" s="5" t="s">
        <v>3048</v>
      </c>
      <c r="AH8" s="3">
        <v>42371</v>
      </c>
      <c r="AI8" s="4">
        <v>56000</v>
      </c>
      <c r="AJ8">
        <v>0</v>
      </c>
      <c r="AS8" t="s">
        <v>3049</v>
      </c>
      <c r="AT8" s="3">
        <v>42508</v>
      </c>
      <c r="AU8">
        <v>56000</v>
      </c>
      <c r="AV8">
        <v>0</v>
      </c>
      <c r="AW8">
        <v>0</v>
      </c>
      <c r="AX8">
        <v>0</v>
      </c>
      <c r="BQ8" t="s">
        <v>72</v>
      </c>
      <c r="BR8" t="s">
        <v>3050</v>
      </c>
    </row>
    <row r="9" spans="1:74" x14ac:dyDescent="0.25">
      <c r="A9" s="4" t="s">
        <v>3086</v>
      </c>
      <c r="B9" s="3">
        <v>42348</v>
      </c>
      <c r="C9" t="s">
        <v>50</v>
      </c>
      <c r="D9" t="s">
        <v>3087</v>
      </c>
      <c r="E9" t="s">
        <v>50</v>
      </c>
      <c r="F9">
        <v>52000</v>
      </c>
      <c r="G9" t="s">
        <v>3088</v>
      </c>
      <c r="H9" s="3">
        <v>42348</v>
      </c>
      <c r="I9" t="s">
        <v>107</v>
      </c>
      <c r="J9">
        <v>48000</v>
      </c>
      <c r="K9" s="1" t="s">
        <v>67</v>
      </c>
      <c r="M9" s="3">
        <v>42348</v>
      </c>
      <c r="N9" t="s">
        <v>57</v>
      </c>
      <c r="P9" t="s">
        <v>56</v>
      </c>
      <c r="Q9">
        <v>33720</v>
      </c>
      <c r="R9" s="3">
        <v>42356</v>
      </c>
      <c r="S9" t="s">
        <v>54</v>
      </c>
      <c r="U9" t="s">
        <v>60</v>
      </c>
      <c r="V9">
        <v>12800</v>
      </c>
      <c r="AG9" s="5" t="s">
        <v>3089</v>
      </c>
      <c r="AH9" s="3">
        <v>42417</v>
      </c>
      <c r="AI9" s="4">
        <v>52000</v>
      </c>
      <c r="AJ9">
        <v>0</v>
      </c>
      <c r="AS9" t="s">
        <v>3090</v>
      </c>
      <c r="AT9" s="3">
        <v>42555</v>
      </c>
      <c r="AU9">
        <v>50960</v>
      </c>
      <c r="AV9">
        <v>0</v>
      </c>
      <c r="AW9">
        <v>1040</v>
      </c>
      <c r="AX9">
        <v>0</v>
      </c>
      <c r="BQ9" t="s">
        <v>72</v>
      </c>
      <c r="BR9" t="s">
        <v>3091</v>
      </c>
    </row>
    <row r="10" spans="1:74" x14ac:dyDescent="0.25">
      <c r="A10" s="4" t="s">
        <v>3101</v>
      </c>
      <c r="B10" s="3">
        <v>42352</v>
      </c>
      <c r="C10" t="s">
        <v>50</v>
      </c>
      <c r="D10" t="s">
        <v>3102</v>
      </c>
      <c r="E10" t="s">
        <v>50</v>
      </c>
      <c r="F10">
        <v>16000</v>
      </c>
      <c r="G10" t="s">
        <v>3103</v>
      </c>
      <c r="H10" s="3">
        <v>42352</v>
      </c>
      <c r="I10" t="s">
        <v>3104</v>
      </c>
      <c r="J10">
        <v>14500</v>
      </c>
      <c r="K10" s="1" t="s">
        <v>67</v>
      </c>
      <c r="M10" s="3">
        <v>42352</v>
      </c>
      <c r="N10" t="s">
        <v>57</v>
      </c>
      <c r="P10" t="s">
        <v>56</v>
      </c>
      <c r="Q10">
        <v>11150</v>
      </c>
      <c r="R10" s="3">
        <v>42356</v>
      </c>
      <c r="S10" t="s">
        <v>54</v>
      </c>
      <c r="U10" t="s">
        <v>60</v>
      </c>
      <c r="V10">
        <v>2950</v>
      </c>
      <c r="AG10" s="5" t="s">
        <v>3105</v>
      </c>
      <c r="AH10" s="3">
        <v>42362</v>
      </c>
      <c r="AI10" s="5">
        <v>16000</v>
      </c>
      <c r="AJ10">
        <v>0</v>
      </c>
      <c r="AS10" t="s">
        <v>3106</v>
      </c>
      <c r="AT10" s="3">
        <v>42380</v>
      </c>
      <c r="AU10">
        <v>16000</v>
      </c>
      <c r="AV10">
        <v>0</v>
      </c>
      <c r="AW10">
        <v>0</v>
      </c>
      <c r="AX10">
        <v>0</v>
      </c>
      <c r="BQ10" t="s">
        <v>72</v>
      </c>
      <c r="BR10" t="s">
        <v>3107</v>
      </c>
    </row>
    <row r="11" spans="1:74" x14ac:dyDescent="0.25">
      <c r="A11" s="4" t="s">
        <v>3113</v>
      </c>
      <c r="B11" s="3">
        <v>42357</v>
      </c>
      <c r="C11" t="s">
        <v>50</v>
      </c>
      <c r="D11" t="s">
        <v>3114</v>
      </c>
      <c r="E11" t="s">
        <v>50</v>
      </c>
      <c r="F11">
        <v>26500</v>
      </c>
      <c r="G11" t="s">
        <v>3115</v>
      </c>
      <c r="H11" s="3">
        <v>42357</v>
      </c>
      <c r="I11" t="s">
        <v>3116</v>
      </c>
      <c r="J11">
        <v>24500</v>
      </c>
      <c r="K11" s="1" t="s">
        <v>67</v>
      </c>
      <c r="M11" s="3">
        <v>42357</v>
      </c>
      <c r="N11" t="s">
        <v>57</v>
      </c>
      <c r="P11" t="s">
        <v>56</v>
      </c>
      <c r="Q11">
        <v>19500</v>
      </c>
      <c r="R11" s="3">
        <v>42368</v>
      </c>
      <c r="S11" t="s">
        <v>54</v>
      </c>
      <c r="U11" t="s">
        <v>60</v>
      </c>
      <c r="V11">
        <v>4400</v>
      </c>
      <c r="AG11" s="5" t="s">
        <v>3117</v>
      </c>
      <c r="AH11" s="3">
        <v>42368</v>
      </c>
      <c r="AI11" s="5">
        <v>26500</v>
      </c>
      <c r="AJ11">
        <v>0</v>
      </c>
      <c r="AS11" t="s">
        <v>3118</v>
      </c>
      <c r="AT11" s="3">
        <v>42368</v>
      </c>
      <c r="AU11">
        <v>26500</v>
      </c>
      <c r="AV11">
        <v>0</v>
      </c>
      <c r="AW11">
        <v>0</v>
      </c>
      <c r="AX11">
        <v>0</v>
      </c>
      <c r="BQ11" t="s">
        <v>72</v>
      </c>
      <c r="BR11" t="s">
        <v>3119</v>
      </c>
    </row>
    <row r="12" spans="1:74" x14ac:dyDescent="0.25">
      <c r="A12" s="4" t="s">
        <v>3148</v>
      </c>
      <c r="B12" s="3">
        <v>42380</v>
      </c>
      <c r="C12" t="s">
        <v>50</v>
      </c>
      <c r="D12" t="s">
        <v>2983</v>
      </c>
      <c r="E12" t="s">
        <v>50</v>
      </c>
      <c r="F12">
        <v>33000</v>
      </c>
      <c r="G12" t="s">
        <v>3149</v>
      </c>
      <c r="H12" s="3">
        <v>42380</v>
      </c>
      <c r="I12" t="s">
        <v>107</v>
      </c>
      <c r="J12">
        <v>30000</v>
      </c>
      <c r="K12" s="1" t="s">
        <v>67</v>
      </c>
      <c r="M12" s="3">
        <v>42380</v>
      </c>
      <c r="N12" t="s">
        <v>57</v>
      </c>
      <c r="P12" t="s">
        <v>56</v>
      </c>
      <c r="Q12">
        <v>24200</v>
      </c>
      <c r="R12" s="3">
        <v>42444</v>
      </c>
      <c r="S12" t="s">
        <v>54</v>
      </c>
      <c r="U12" t="s">
        <v>60</v>
      </c>
      <c r="V12">
        <v>4900</v>
      </c>
      <c r="AG12" s="5" t="s">
        <v>3150</v>
      </c>
      <c r="AH12" s="3">
        <v>42427</v>
      </c>
      <c r="AI12" s="5">
        <v>33000</v>
      </c>
      <c r="AJ12">
        <v>0</v>
      </c>
      <c r="AS12" t="s">
        <v>3151</v>
      </c>
      <c r="AT12" s="3">
        <v>42527</v>
      </c>
      <c r="AU12">
        <v>33000</v>
      </c>
      <c r="AV12">
        <v>0</v>
      </c>
      <c r="AW12">
        <v>0</v>
      </c>
      <c r="AX12">
        <v>0</v>
      </c>
      <c r="BQ12" t="s">
        <v>72</v>
      </c>
      <c r="BR12" t="s">
        <v>3152</v>
      </c>
    </row>
    <row r="13" spans="1:74" x14ac:dyDescent="0.25">
      <c r="A13" s="4" t="s">
        <v>3153</v>
      </c>
      <c r="B13" s="3">
        <v>42380</v>
      </c>
      <c r="C13" t="s">
        <v>50</v>
      </c>
      <c r="D13" t="s">
        <v>2983</v>
      </c>
      <c r="E13" t="s">
        <v>50</v>
      </c>
      <c r="F13">
        <v>33000</v>
      </c>
      <c r="G13" t="s">
        <v>3154</v>
      </c>
      <c r="H13" s="3">
        <v>42380</v>
      </c>
      <c r="I13" t="s">
        <v>91</v>
      </c>
      <c r="J13">
        <v>30000</v>
      </c>
      <c r="K13" s="1" t="s">
        <v>67</v>
      </c>
      <c r="M13" s="3">
        <v>42380</v>
      </c>
      <c r="N13" t="s">
        <v>57</v>
      </c>
      <c r="P13" t="s">
        <v>56</v>
      </c>
      <c r="Q13">
        <v>24200</v>
      </c>
      <c r="R13" s="3">
        <v>42444</v>
      </c>
      <c r="S13" t="s">
        <v>54</v>
      </c>
      <c r="U13" t="s">
        <v>60</v>
      </c>
      <c r="V13">
        <v>4900</v>
      </c>
      <c r="AG13" s="5" t="s">
        <v>3155</v>
      </c>
      <c r="AH13" s="3">
        <v>42427</v>
      </c>
      <c r="AI13" s="5">
        <v>33000</v>
      </c>
      <c r="AJ13">
        <v>0</v>
      </c>
      <c r="AS13" t="s">
        <v>3151</v>
      </c>
      <c r="AT13" s="3">
        <v>42527</v>
      </c>
      <c r="AU13">
        <v>33000</v>
      </c>
      <c r="AV13">
        <v>0</v>
      </c>
      <c r="AW13">
        <v>0</v>
      </c>
      <c r="AX13">
        <v>0</v>
      </c>
      <c r="BQ13" t="s">
        <v>72</v>
      </c>
      <c r="BR13" t="s">
        <v>3152</v>
      </c>
    </row>
    <row r="14" spans="1:74" x14ac:dyDescent="0.25">
      <c r="A14" s="4" t="s">
        <v>3162</v>
      </c>
      <c r="B14" s="3">
        <v>42388</v>
      </c>
      <c r="C14" t="s">
        <v>50</v>
      </c>
      <c r="D14" t="s">
        <v>3163</v>
      </c>
      <c r="E14" t="s">
        <v>50</v>
      </c>
      <c r="F14">
        <v>66000</v>
      </c>
      <c r="G14" t="s">
        <v>3164</v>
      </c>
      <c r="H14" s="3">
        <v>42388</v>
      </c>
      <c r="I14" t="s">
        <v>107</v>
      </c>
      <c r="J14">
        <v>60000</v>
      </c>
      <c r="K14" s="1" t="s">
        <v>67</v>
      </c>
      <c r="M14" s="3">
        <v>42388</v>
      </c>
      <c r="N14" t="s">
        <v>57</v>
      </c>
      <c r="P14" t="s">
        <v>56</v>
      </c>
      <c r="Q14">
        <v>34250</v>
      </c>
      <c r="R14" s="3">
        <v>42448</v>
      </c>
      <c r="S14" t="s">
        <v>54</v>
      </c>
      <c r="U14" t="s">
        <v>60</v>
      </c>
      <c r="V14">
        <v>24800</v>
      </c>
      <c r="AG14" s="5" t="s">
        <v>3165</v>
      </c>
      <c r="AH14" s="3">
        <v>42427</v>
      </c>
      <c r="AI14" s="4">
        <v>66000</v>
      </c>
      <c r="AJ14">
        <v>0</v>
      </c>
      <c r="AS14" t="s">
        <v>3166</v>
      </c>
      <c r="AT14" s="3">
        <v>42569</v>
      </c>
      <c r="AU14">
        <v>64680</v>
      </c>
      <c r="AV14">
        <v>0</v>
      </c>
      <c r="AW14">
        <v>1320</v>
      </c>
      <c r="AX14">
        <v>0</v>
      </c>
      <c r="BQ14" t="s">
        <v>72</v>
      </c>
      <c r="BR14" t="s">
        <v>3167</v>
      </c>
    </row>
    <row r="15" spans="1:74" x14ac:dyDescent="0.25">
      <c r="A15" s="4" t="s">
        <v>3168</v>
      </c>
      <c r="B15" s="3">
        <v>42396</v>
      </c>
      <c r="C15" t="s">
        <v>50</v>
      </c>
      <c r="D15" t="s">
        <v>3169</v>
      </c>
      <c r="E15" t="s">
        <v>50</v>
      </c>
      <c r="F15">
        <v>139600</v>
      </c>
      <c r="G15" t="s">
        <v>3170</v>
      </c>
      <c r="H15" s="3">
        <v>42396</v>
      </c>
      <c r="I15" t="s">
        <v>107</v>
      </c>
      <c r="J15">
        <v>119000</v>
      </c>
      <c r="K15" s="1" t="s">
        <v>67</v>
      </c>
      <c r="M15" s="3">
        <v>42396</v>
      </c>
      <c r="N15" t="s">
        <v>57</v>
      </c>
      <c r="P15" t="s">
        <v>56</v>
      </c>
      <c r="Q15">
        <v>23700</v>
      </c>
      <c r="R15" s="3">
        <v>42396</v>
      </c>
      <c r="S15" t="s">
        <v>54</v>
      </c>
      <c r="U15" t="s">
        <v>56</v>
      </c>
      <c r="V15">
        <v>65300</v>
      </c>
      <c r="W15" s="3">
        <v>42448</v>
      </c>
      <c r="X15" t="s">
        <v>54</v>
      </c>
      <c r="Z15" t="s">
        <v>60</v>
      </c>
      <c r="AA15">
        <v>28800</v>
      </c>
      <c r="AG15" s="5" t="s">
        <v>3171</v>
      </c>
      <c r="AH15" s="3">
        <v>42427</v>
      </c>
      <c r="AI15" s="4">
        <v>139600</v>
      </c>
      <c r="AJ15">
        <v>0</v>
      </c>
      <c r="AS15" t="s">
        <v>3172</v>
      </c>
      <c r="AT15" s="3">
        <v>42611</v>
      </c>
      <c r="AU15">
        <v>136808</v>
      </c>
      <c r="AV15">
        <v>0</v>
      </c>
      <c r="AW15">
        <v>2792</v>
      </c>
      <c r="AX15">
        <v>0</v>
      </c>
      <c r="BQ15" t="s">
        <v>1457</v>
      </c>
      <c r="BR15" t="s">
        <v>3173</v>
      </c>
    </row>
    <row r="16" spans="1:74" x14ac:dyDescent="0.25">
      <c r="A16" s="4" t="s">
        <v>3190</v>
      </c>
      <c r="B16" s="3">
        <v>42415</v>
      </c>
      <c r="C16" t="s">
        <v>50</v>
      </c>
      <c r="D16" t="s">
        <v>3163</v>
      </c>
      <c r="E16" t="s">
        <v>50</v>
      </c>
      <c r="F16">
        <v>45000</v>
      </c>
      <c r="G16" t="s">
        <v>3191</v>
      </c>
      <c r="H16" s="3">
        <v>42415</v>
      </c>
      <c r="I16" t="s">
        <v>91</v>
      </c>
      <c r="J16">
        <v>40000</v>
      </c>
      <c r="K16" s="1" t="s">
        <v>67</v>
      </c>
      <c r="M16" s="3">
        <v>42415</v>
      </c>
      <c r="N16" t="s">
        <v>57</v>
      </c>
      <c r="P16" t="s">
        <v>56</v>
      </c>
      <c r="Q16">
        <v>29500</v>
      </c>
      <c r="R16" s="3">
        <v>42472</v>
      </c>
      <c r="S16" t="s">
        <v>54</v>
      </c>
      <c r="U16" t="s">
        <v>60</v>
      </c>
      <c r="V16">
        <v>9800</v>
      </c>
      <c r="AG16" s="5" t="s">
        <v>3192</v>
      </c>
      <c r="AH16" s="3">
        <v>42458</v>
      </c>
      <c r="AI16" s="4">
        <v>45000</v>
      </c>
      <c r="AJ16">
        <v>0</v>
      </c>
      <c r="AS16" t="s">
        <v>3193</v>
      </c>
      <c r="AT16" s="3">
        <v>42600</v>
      </c>
      <c r="AU16">
        <v>44100</v>
      </c>
      <c r="AV16">
        <v>0</v>
      </c>
      <c r="AW16">
        <v>900</v>
      </c>
      <c r="AX16">
        <v>0</v>
      </c>
      <c r="BQ16" t="s">
        <v>72</v>
      </c>
      <c r="BR16" t="s">
        <v>3194</v>
      </c>
    </row>
    <row r="17" spans="1:70" x14ac:dyDescent="0.25">
      <c r="A17" s="4" t="s">
        <v>3195</v>
      </c>
      <c r="B17" s="3">
        <v>42417</v>
      </c>
      <c r="C17" t="s">
        <v>50</v>
      </c>
      <c r="D17" t="s">
        <v>3196</v>
      </c>
      <c r="E17" t="s">
        <v>50</v>
      </c>
      <c r="F17">
        <v>20000</v>
      </c>
      <c r="G17" t="s">
        <v>3197</v>
      </c>
      <c r="H17" s="3">
        <v>42417</v>
      </c>
      <c r="I17" t="s">
        <v>214</v>
      </c>
      <c r="J17">
        <v>19000</v>
      </c>
      <c r="K17" s="1" t="s">
        <v>67</v>
      </c>
      <c r="M17" s="3">
        <v>42417</v>
      </c>
      <c r="N17" t="s">
        <v>57</v>
      </c>
      <c r="P17" t="s">
        <v>56</v>
      </c>
      <c r="Q17">
        <v>15000</v>
      </c>
      <c r="R17" s="3">
        <v>42434</v>
      </c>
      <c r="S17" t="s">
        <v>54</v>
      </c>
      <c r="U17" t="s">
        <v>60</v>
      </c>
      <c r="V17">
        <v>3450</v>
      </c>
      <c r="AG17" s="5" t="s">
        <v>3198</v>
      </c>
      <c r="AH17" s="3">
        <v>42460</v>
      </c>
      <c r="AI17" s="4">
        <v>20000</v>
      </c>
      <c r="AJ17">
        <v>0</v>
      </c>
      <c r="AS17" t="s">
        <v>3199</v>
      </c>
      <c r="AT17" s="3">
        <v>42521</v>
      </c>
      <c r="AU17">
        <v>20000</v>
      </c>
      <c r="AV17">
        <v>0</v>
      </c>
      <c r="AW17">
        <v>0</v>
      </c>
      <c r="AX17">
        <v>0</v>
      </c>
      <c r="BQ17" t="s">
        <v>72</v>
      </c>
      <c r="BR17" t="s">
        <v>3200</v>
      </c>
    </row>
    <row r="18" spans="1:70" x14ac:dyDescent="0.25">
      <c r="A18" s="4" t="s">
        <v>3201</v>
      </c>
      <c r="B18" s="3">
        <v>42418</v>
      </c>
      <c r="C18" t="s">
        <v>50</v>
      </c>
      <c r="D18" t="s">
        <v>3202</v>
      </c>
      <c r="E18" t="s">
        <v>50</v>
      </c>
      <c r="F18">
        <v>12000</v>
      </c>
      <c r="G18" t="s">
        <v>3203</v>
      </c>
      <c r="H18" s="3">
        <v>42418</v>
      </c>
      <c r="I18" t="s">
        <v>1844</v>
      </c>
      <c r="J18">
        <v>11000</v>
      </c>
      <c r="K18" s="1" t="s">
        <v>67</v>
      </c>
      <c r="M18" s="3">
        <v>42418</v>
      </c>
      <c r="N18" t="s">
        <v>57</v>
      </c>
      <c r="P18" t="s">
        <v>56</v>
      </c>
      <c r="Q18">
        <v>9200</v>
      </c>
      <c r="R18" s="3">
        <v>42452</v>
      </c>
      <c r="S18" t="s">
        <v>57</v>
      </c>
      <c r="U18" t="s">
        <v>60</v>
      </c>
      <c r="V18">
        <v>1450</v>
      </c>
      <c r="AG18" s="5" t="s">
        <v>3204</v>
      </c>
      <c r="AH18" s="3">
        <v>42458</v>
      </c>
      <c r="AI18" s="4">
        <v>12000</v>
      </c>
      <c r="AJ18">
        <v>0</v>
      </c>
      <c r="AS18" t="s">
        <v>3205</v>
      </c>
      <c r="AT18" s="3">
        <v>42545</v>
      </c>
      <c r="AU18">
        <v>12000</v>
      </c>
      <c r="AV18">
        <v>0</v>
      </c>
      <c r="AW18">
        <v>0</v>
      </c>
      <c r="AX18">
        <v>0</v>
      </c>
      <c r="BQ18" t="s">
        <v>72</v>
      </c>
      <c r="BR18" t="s">
        <v>3206</v>
      </c>
    </row>
    <row r="19" spans="1:70" x14ac:dyDescent="0.25">
      <c r="A19" s="4" t="s">
        <v>3207</v>
      </c>
      <c r="B19" s="3">
        <v>42420</v>
      </c>
      <c r="C19" t="s">
        <v>50</v>
      </c>
      <c r="D19" t="s">
        <v>3208</v>
      </c>
      <c r="E19" t="s">
        <v>50</v>
      </c>
      <c r="F19">
        <v>15000</v>
      </c>
      <c r="G19" t="s">
        <v>3209</v>
      </c>
      <c r="H19" s="3">
        <v>42420</v>
      </c>
      <c r="I19" t="s">
        <v>3210</v>
      </c>
      <c r="J19">
        <v>13500</v>
      </c>
      <c r="K19" s="1" t="s">
        <v>67</v>
      </c>
      <c r="M19" s="3">
        <v>42420</v>
      </c>
      <c r="N19" t="s">
        <v>57</v>
      </c>
      <c r="P19" t="s">
        <v>56</v>
      </c>
      <c r="Q19">
        <v>11150</v>
      </c>
      <c r="R19" s="3">
        <v>42457</v>
      </c>
      <c r="S19" t="s">
        <v>54</v>
      </c>
      <c r="U19" t="s">
        <v>60</v>
      </c>
      <c r="V19">
        <v>1950</v>
      </c>
      <c r="AG19" s="5" t="s">
        <v>3211</v>
      </c>
      <c r="AH19" s="3">
        <v>42460</v>
      </c>
      <c r="AI19" s="4">
        <v>15000</v>
      </c>
      <c r="AJ19">
        <v>0</v>
      </c>
      <c r="AS19" t="s">
        <v>3212</v>
      </c>
      <c r="AT19" s="3">
        <v>42926</v>
      </c>
      <c r="AU19">
        <v>15000</v>
      </c>
      <c r="AV19">
        <v>0</v>
      </c>
      <c r="AW19">
        <v>0</v>
      </c>
      <c r="AX19">
        <v>0</v>
      </c>
      <c r="BQ19" t="s">
        <v>1419</v>
      </c>
      <c r="BR19" t="s">
        <v>3213</v>
      </c>
    </row>
    <row r="20" spans="1:70" x14ac:dyDescent="0.25">
      <c r="A20" s="4" t="s">
        <v>3214</v>
      </c>
      <c r="B20" s="3">
        <v>42420</v>
      </c>
      <c r="C20" t="s">
        <v>50</v>
      </c>
      <c r="D20" t="s">
        <v>3208</v>
      </c>
      <c r="E20" t="s">
        <v>50</v>
      </c>
      <c r="F20">
        <v>25000</v>
      </c>
      <c r="G20" t="s">
        <v>3215</v>
      </c>
      <c r="H20" s="3">
        <v>42420</v>
      </c>
      <c r="I20" t="s">
        <v>2434</v>
      </c>
      <c r="J20">
        <v>23000</v>
      </c>
      <c r="K20" s="1" t="s">
        <v>67</v>
      </c>
      <c r="M20" s="3">
        <v>42420</v>
      </c>
      <c r="N20" t="s">
        <v>57</v>
      </c>
      <c r="P20" t="s">
        <v>56</v>
      </c>
      <c r="Q20">
        <v>17500</v>
      </c>
      <c r="R20" s="3">
        <v>42446</v>
      </c>
      <c r="S20" t="s">
        <v>54</v>
      </c>
      <c r="U20" t="s">
        <v>60</v>
      </c>
      <c r="V20">
        <v>4900</v>
      </c>
      <c r="AG20" s="5" t="s">
        <v>3216</v>
      </c>
      <c r="AH20" s="3">
        <v>42460</v>
      </c>
      <c r="AI20" s="4">
        <v>25000</v>
      </c>
      <c r="AJ20">
        <v>0</v>
      </c>
      <c r="AS20" t="s">
        <v>3217</v>
      </c>
      <c r="AT20" s="3">
        <v>42984</v>
      </c>
      <c r="AU20">
        <v>25000</v>
      </c>
      <c r="AV20">
        <v>0</v>
      </c>
      <c r="AW20">
        <v>0</v>
      </c>
      <c r="AX20">
        <v>0</v>
      </c>
      <c r="BQ20" t="s">
        <v>72</v>
      </c>
      <c r="BR20" t="s">
        <v>3218</v>
      </c>
    </row>
    <row r="21" spans="1:70" x14ac:dyDescent="0.25">
      <c r="A21" s="4" t="s">
        <v>3219</v>
      </c>
      <c r="B21" s="3">
        <v>42423</v>
      </c>
      <c r="C21" t="s">
        <v>50</v>
      </c>
      <c r="D21" t="s">
        <v>3163</v>
      </c>
      <c r="E21" t="s">
        <v>50</v>
      </c>
      <c r="F21">
        <v>62000</v>
      </c>
      <c r="G21" t="s">
        <v>3220</v>
      </c>
      <c r="H21" s="3">
        <v>42423</v>
      </c>
      <c r="I21" t="s">
        <v>1416</v>
      </c>
      <c r="J21">
        <v>54000</v>
      </c>
      <c r="K21" s="1" t="s">
        <v>67</v>
      </c>
      <c r="M21" s="3">
        <v>42423</v>
      </c>
      <c r="N21" t="s">
        <v>57</v>
      </c>
      <c r="P21" t="s">
        <v>56</v>
      </c>
      <c r="Q21">
        <v>29300</v>
      </c>
      <c r="R21" s="3">
        <v>42472</v>
      </c>
      <c r="S21" t="s">
        <v>54</v>
      </c>
      <c r="U21" t="s">
        <v>60</v>
      </c>
      <c r="V21">
        <v>23700</v>
      </c>
      <c r="AG21" s="5" t="s">
        <v>3221</v>
      </c>
      <c r="AH21" s="3">
        <v>42460</v>
      </c>
      <c r="AI21" s="4">
        <v>62000</v>
      </c>
      <c r="AJ21">
        <v>0</v>
      </c>
      <c r="AS21" t="s">
        <v>2996</v>
      </c>
      <c r="AT21" s="3">
        <v>42578</v>
      </c>
      <c r="AU21">
        <v>62000</v>
      </c>
      <c r="AV21">
        <v>0</v>
      </c>
      <c r="AW21">
        <v>0</v>
      </c>
      <c r="AX21">
        <v>0</v>
      </c>
      <c r="BQ21" t="s">
        <v>72</v>
      </c>
      <c r="BR21" t="s">
        <v>2997</v>
      </c>
    </row>
    <row r="22" spans="1:70" x14ac:dyDescent="0.25">
      <c r="A22" s="4" t="s">
        <v>3230</v>
      </c>
      <c r="B22" s="3">
        <v>42436</v>
      </c>
      <c r="C22" t="s">
        <v>50</v>
      </c>
      <c r="D22" t="s">
        <v>3231</v>
      </c>
      <c r="E22" t="s">
        <v>50</v>
      </c>
      <c r="F22">
        <v>150000</v>
      </c>
      <c r="G22" t="s">
        <v>3232</v>
      </c>
      <c r="H22" s="3">
        <v>42436</v>
      </c>
      <c r="I22" t="s">
        <v>214</v>
      </c>
      <c r="J22">
        <v>135000</v>
      </c>
      <c r="K22" s="1" t="s">
        <v>67</v>
      </c>
      <c r="M22" s="3">
        <v>42437</v>
      </c>
      <c r="N22" t="s">
        <v>57</v>
      </c>
      <c r="P22" t="s">
        <v>56</v>
      </c>
      <c r="Q22">
        <v>29000</v>
      </c>
      <c r="R22" s="3">
        <v>42437</v>
      </c>
      <c r="S22" t="s">
        <v>54</v>
      </c>
      <c r="U22" t="s">
        <v>56</v>
      </c>
      <c r="V22">
        <v>70000</v>
      </c>
      <c r="W22" s="3">
        <v>42480</v>
      </c>
      <c r="X22" t="s">
        <v>54</v>
      </c>
      <c r="Z22" t="s">
        <v>60</v>
      </c>
      <c r="AA22">
        <v>34700</v>
      </c>
      <c r="AG22" s="5" t="s">
        <v>3233</v>
      </c>
      <c r="AH22" s="3">
        <v>42494</v>
      </c>
      <c r="AI22" s="4">
        <v>150000</v>
      </c>
      <c r="AJ22">
        <v>0</v>
      </c>
      <c r="AS22" t="s">
        <v>3234</v>
      </c>
      <c r="AT22" s="3">
        <v>43080</v>
      </c>
      <c r="AU22">
        <v>150000</v>
      </c>
      <c r="AV22">
        <v>0</v>
      </c>
      <c r="AW22">
        <v>0</v>
      </c>
      <c r="AX22">
        <v>0</v>
      </c>
      <c r="BQ22" t="s">
        <v>72</v>
      </c>
      <c r="BR22" t="s">
        <v>3235</v>
      </c>
    </row>
    <row r="23" spans="1:70" x14ac:dyDescent="0.25">
      <c r="A23" s="4" t="s">
        <v>3245</v>
      </c>
      <c r="B23" s="3">
        <v>42447</v>
      </c>
      <c r="C23" t="s">
        <v>50</v>
      </c>
      <c r="D23" t="s">
        <v>2900</v>
      </c>
      <c r="E23" t="s">
        <v>50</v>
      </c>
      <c r="F23">
        <v>19000</v>
      </c>
      <c r="G23" t="s">
        <v>3246</v>
      </c>
      <c r="H23" s="3">
        <v>42447</v>
      </c>
      <c r="I23" t="s">
        <v>214</v>
      </c>
      <c r="J23">
        <v>17500</v>
      </c>
      <c r="K23" s="1" t="s">
        <v>67</v>
      </c>
      <c r="M23" s="3">
        <v>42447</v>
      </c>
      <c r="N23" t="s">
        <v>57</v>
      </c>
      <c r="P23" t="s">
        <v>56</v>
      </c>
      <c r="Q23">
        <v>14600</v>
      </c>
      <c r="R23" s="3">
        <v>42460</v>
      </c>
      <c r="S23" t="s">
        <v>54</v>
      </c>
      <c r="U23" t="s">
        <v>60</v>
      </c>
      <c r="V23">
        <v>2450</v>
      </c>
      <c r="AG23" s="5" t="s">
        <v>3247</v>
      </c>
      <c r="AH23" s="3">
        <v>42458</v>
      </c>
      <c r="AI23" s="4">
        <v>19000</v>
      </c>
      <c r="AJ23">
        <v>0</v>
      </c>
      <c r="AS23" t="s">
        <v>3248</v>
      </c>
      <c r="AT23" s="3">
        <v>43020</v>
      </c>
      <c r="AU23">
        <v>19000</v>
      </c>
      <c r="AV23">
        <v>0</v>
      </c>
      <c r="AW23">
        <v>0</v>
      </c>
      <c r="AX23">
        <v>0</v>
      </c>
    </row>
    <row r="24" spans="1:70" x14ac:dyDescent="0.25">
      <c r="A24" s="4" t="s">
        <v>3253</v>
      </c>
      <c r="B24" s="3">
        <v>42452</v>
      </c>
      <c r="C24" t="s">
        <v>50</v>
      </c>
      <c r="D24" t="s">
        <v>2983</v>
      </c>
      <c r="E24" t="s">
        <v>50</v>
      </c>
      <c r="F24">
        <v>210000</v>
      </c>
      <c r="G24" t="s">
        <v>3254</v>
      </c>
      <c r="H24" s="3">
        <v>42452</v>
      </c>
      <c r="I24" t="s">
        <v>107</v>
      </c>
      <c r="J24">
        <v>190000</v>
      </c>
      <c r="K24" s="1" t="s">
        <v>67</v>
      </c>
      <c r="M24" s="3">
        <v>42452</v>
      </c>
      <c r="N24" t="s">
        <v>57</v>
      </c>
      <c r="P24" t="s">
        <v>56</v>
      </c>
      <c r="Q24">
        <v>30000</v>
      </c>
      <c r="R24" s="3">
        <v>42457</v>
      </c>
      <c r="S24" t="s">
        <v>54</v>
      </c>
      <c r="U24" t="s">
        <v>56</v>
      </c>
      <c r="V24">
        <v>110000</v>
      </c>
      <c r="W24" s="3">
        <v>42501</v>
      </c>
      <c r="X24" t="s">
        <v>54</v>
      </c>
      <c r="Z24" t="s">
        <v>60</v>
      </c>
      <c r="AA24">
        <v>49500</v>
      </c>
      <c r="AG24" s="5" t="s">
        <v>3255</v>
      </c>
      <c r="AH24" s="3">
        <v>42494</v>
      </c>
      <c r="AI24" s="4">
        <v>210000</v>
      </c>
      <c r="AJ24">
        <v>0</v>
      </c>
      <c r="AS24" t="s">
        <v>3256</v>
      </c>
      <c r="AT24" s="3">
        <v>43067</v>
      </c>
      <c r="AU24">
        <v>205800</v>
      </c>
      <c r="AV24">
        <v>0</v>
      </c>
      <c r="AW24">
        <v>4200</v>
      </c>
      <c r="AX24">
        <v>0</v>
      </c>
    </row>
    <row r="25" spans="1:70" x14ac:dyDescent="0.25">
      <c r="A25" s="4" t="s">
        <v>3277</v>
      </c>
      <c r="B25" s="3">
        <v>42458</v>
      </c>
      <c r="C25" t="s">
        <v>50</v>
      </c>
      <c r="D25" t="s">
        <v>3278</v>
      </c>
      <c r="E25" t="s">
        <v>50</v>
      </c>
      <c r="F25">
        <v>88000</v>
      </c>
      <c r="G25" t="s">
        <v>3279</v>
      </c>
      <c r="H25" s="3">
        <v>42458</v>
      </c>
      <c r="I25" t="s">
        <v>502</v>
      </c>
      <c r="J25">
        <v>80000</v>
      </c>
      <c r="K25" s="1" t="s">
        <v>67</v>
      </c>
      <c r="M25" s="3">
        <v>42458</v>
      </c>
      <c r="N25" t="s">
        <v>54</v>
      </c>
      <c r="P25" t="s">
        <v>56</v>
      </c>
      <c r="Q25">
        <v>49400</v>
      </c>
      <c r="R25" s="3">
        <v>42458</v>
      </c>
      <c r="S25" t="s">
        <v>57</v>
      </c>
      <c r="U25" t="s">
        <v>56</v>
      </c>
      <c r="V25">
        <v>20000</v>
      </c>
      <c r="W25" s="3">
        <v>42486</v>
      </c>
      <c r="X25" t="s">
        <v>54</v>
      </c>
      <c r="Z25" t="s">
        <v>60</v>
      </c>
      <c r="AA25">
        <v>9900</v>
      </c>
      <c r="AG25" s="5" t="s">
        <v>3280</v>
      </c>
      <c r="AH25" s="3">
        <v>42485</v>
      </c>
      <c r="AI25" s="4">
        <v>88000</v>
      </c>
      <c r="AJ25">
        <v>0</v>
      </c>
      <c r="AS25" t="s">
        <v>3281</v>
      </c>
      <c r="AT25" s="3">
        <v>42487</v>
      </c>
      <c r="AU25">
        <v>88000</v>
      </c>
      <c r="AV25">
        <v>0</v>
      </c>
      <c r="AW25">
        <v>0</v>
      </c>
      <c r="AX25">
        <v>0</v>
      </c>
    </row>
    <row r="26" spans="1:70" x14ac:dyDescent="0.25">
      <c r="A26" s="4" t="s">
        <v>3323</v>
      </c>
      <c r="B26" s="3">
        <v>42487</v>
      </c>
      <c r="C26" t="s">
        <v>50</v>
      </c>
      <c r="D26" t="s">
        <v>3324</v>
      </c>
      <c r="E26" t="s">
        <v>50</v>
      </c>
      <c r="F26">
        <v>19000</v>
      </c>
      <c r="G26" t="s">
        <v>3325</v>
      </c>
      <c r="H26" s="3">
        <v>42487</v>
      </c>
      <c r="I26" t="s">
        <v>1844</v>
      </c>
      <c r="J26">
        <v>17000</v>
      </c>
      <c r="K26" s="1" t="s">
        <v>67</v>
      </c>
      <c r="M26" s="3">
        <v>42489</v>
      </c>
      <c r="N26" t="s">
        <v>57</v>
      </c>
      <c r="P26" t="s">
        <v>56</v>
      </c>
      <c r="Q26">
        <v>14700</v>
      </c>
      <c r="R26" s="3">
        <v>42558</v>
      </c>
      <c r="S26" t="s">
        <v>57</v>
      </c>
      <c r="U26" t="s">
        <v>60</v>
      </c>
      <c r="V26">
        <v>1950</v>
      </c>
      <c r="AG26" s="5" t="s">
        <v>3326</v>
      </c>
      <c r="AH26" s="3">
        <v>42538</v>
      </c>
      <c r="AI26" s="4">
        <v>19000</v>
      </c>
      <c r="AJ26">
        <v>0</v>
      </c>
      <c r="AS26" t="s">
        <v>3217</v>
      </c>
      <c r="AT26" s="3">
        <v>42984</v>
      </c>
      <c r="AU26">
        <v>19000</v>
      </c>
      <c r="AV26">
        <v>0</v>
      </c>
      <c r="AW26">
        <v>0</v>
      </c>
      <c r="AX26">
        <v>0</v>
      </c>
      <c r="BQ26" t="s">
        <v>72</v>
      </c>
      <c r="BR26" t="s">
        <v>3218</v>
      </c>
    </row>
    <row r="27" spans="1:70" x14ac:dyDescent="0.25">
      <c r="A27" s="4" t="s">
        <v>3342</v>
      </c>
      <c r="B27" s="3">
        <v>42492</v>
      </c>
      <c r="C27" t="s">
        <v>50</v>
      </c>
      <c r="D27" t="s">
        <v>3102</v>
      </c>
      <c r="E27" t="s">
        <v>50</v>
      </c>
      <c r="F27">
        <v>21000</v>
      </c>
      <c r="G27" t="s">
        <v>3343</v>
      </c>
      <c r="H27" s="3">
        <v>42492</v>
      </c>
      <c r="I27" t="s">
        <v>214</v>
      </c>
      <c r="J27">
        <v>19500</v>
      </c>
      <c r="K27" s="1" t="s">
        <v>67</v>
      </c>
      <c r="M27" s="3">
        <v>42492</v>
      </c>
      <c r="N27" t="s">
        <v>57</v>
      </c>
      <c r="P27" t="s">
        <v>56</v>
      </c>
      <c r="Q27">
        <v>15000</v>
      </c>
      <c r="R27" s="3">
        <v>42499</v>
      </c>
      <c r="S27" t="s">
        <v>54</v>
      </c>
      <c r="U27" t="s">
        <v>60</v>
      </c>
      <c r="V27">
        <v>4000</v>
      </c>
      <c r="AG27" s="5" t="s">
        <v>3344</v>
      </c>
      <c r="AH27" s="3">
        <v>42496</v>
      </c>
      <c r="AI27" s="4">
        <v>21000</v>
      </c>
      <c r="AJ27">
        <v>0</v>
      </c>
      <c r="AS27" t="s">
        <v>3172</v>
      </c>
      <c r="AT27" s="3">
        <v>42611</v>
      </c>
      <c r="AU27">
        <v>20580</v>
      </c>
      <c r="AV27">
        <v>0</v>
      </c>
      <c r="AW27">
        <v>420</v>
      </c>
      <c r="AX27">
        <v>0</v>
      </c>
      <c r="BQ27" t="s">
        <v>1457</v>
      </c>
      <c r="BR27" t="s">
        <v>3173</v>
      </c>
    </row>
    <row r="28" spans="1:70" x14ac:dyDescent="0.25">
      <c r="A28" s="4" t="s">
        <v>3348</v>
      </c>
      <c r="B28" s="3">
        <v>42494</v>
      </c>
      <c r="C28" t="s">
        <v>50</v>
      </c>
      <c r="D28" t="s">
        <v>3328</v>
      </c>
      <c r="E28" t="s">
        <v>50</v>
      </c>
      <c r="F28">
        <v>150000</v>
      </c>
      <c r="G28" t="s">
        <v>3349</v>
      </c>
      <c r="H28" s="3">
        <v>42494</v>
      </c>
      <c r="I28" t="s">
        <v>214</v>
      </c>
      <c r="J28">
        <v>135000</v>
      </c>
      <c r="K28" s="1" t="s">
        <v>67</v>
      </c>
      <c r="M28" s="3">
        <v>42494</v>
      </c>
      <c r="N28" t="s">
        <v>57</v>
      </c>
      <c r="P28" t="s">
        <v>56</v>
      </c>
      <c r="Q28">
        <v>19200</v>
      </c>
      <c r="R28" s="3">
        <v>42494</v>
      </c>
      <c r="S28" t="s">
        <v>54</v>
      </c>
      <c r="U28" t="s">
        <v>56</v>
      </c>
      <c r="V28">
        <v>80000</v>
      </c>
      <c r="W28" s="3">
        <v>42522</v>
      </c>
      <c r="X28" t="s">
        <v>54</v>
      </c>
      <c r="Z28" t="s">
        <v>60</v>
      </c>
      <c r="AA28">
        <v>34500</v>
      </c>
      <c r="AG28" s="5" t="s">
        <v>3350</v>
      </c>
      <c r="AH28" s="3">
        <v>42573</v>
      </c>
      <c r="AI28" s="4">
        <v>150000</v>
      </c>
      <c r="AJ28">
        <v>0</v>
      </c>
      <c r="AS28" t="s">
        <v>3234</v>
      </c>
      <c r="AT28" s="3">
        <v>43080</v>
      </c>
      <c r="AU28">
        <v>150000</v>
      </c>
      <c r="AV28">
        <v>0</v>
      </c>
      <c r="AW28">
        <v>0</v>
      </c>
      <c r="AX28">
        <v>0</v>
      </c>
    </row>
    <row r="29" spans="1:70" x14ac:dyDescent="0.25">
      <c r="A29" s="4" t="s">
        <v>3356</v>
      </c>
      <c r="B29" s="3">
        <v>42499</v>
      </c>
      <c r="C29" t="s">
        <v>50</v>
      </c>
      <c r="D29" t="s">
        <v>3357</v>
      </c>
      <c r="E29" t="s">
        <v>50</v>
      </c>
      <c r="F29">
        <v>26400</v>
      </c>
      <c r="G29" t="s">
        <v>3358</v>
      </c>
      <c r="H29" s="3">
        <v>42499</v>
      </c>
      <c r="I29" t="s">
        <v>290</v>
      </c>
      <c r="J29">
        <v>21000</v>
      </c>
      <c r="K29" s="1" t="s">
        <v>67</v>
      </c>
      <c r="M29" s="3">
        <v>42499</v>
      </c>
      <c r="N29" t="s">
        <v>57</v>
      </c>
      <c r="P29" t="s">
        <v>56</v>
      </c>
      <c r="Q29">
        <v>16000</v>
      </c>
      <c r="R29" s="3">
        <v>42528</v>
      </c>
      <c r="S29" t="s">
        <v>54</v>
      </c>
      <c r="U29" t="s">
        <v>60</v>
      </c>
      <c r="V29">
        <v>4600</v>
      </c>
      <c r="AG29" s="5" t="s">
        <v>3359</v>
      </c>
      <c r="AH29" s="3">
        <v>42529</v>
      </c>
      <c r="AI29" s="4">
        <v>26400</v>
      </c>
      <c r="AJ29">
        <v>0</v>
      </c>
      <c r="AS29" t="s">
        <v>3360</v>
      </c>
      <c r="AT29" s="3">
        <v>42529</v>
      </c>
      <c r="AU29">
        <v>26400</v>
      </c>
      <c r="AV29">
        <v>0</v>
      </c>
      <c r="AW29">
        <v>0</v>
      </c>
      <c r="AX29">
        <v>0</v>
      </c>
    </row>
    <row r="30" spans="1:70" x14ac:dyDescent="0.25">
      <c r="A30" s="4" t="s">
        <v>3372</v>
      </c>
      <c r="B30" s="3">
        <v>42502</v>
      </c>
      <c r="C30" t="s">
        <v>50</v>
      </c>
      <c r="D30" t="s">
        <v>3242</v>
      </c>
      <c r="E30" t="s">
        <v>50</v>
      </c>
      <c r="F30">
        <v>42000</v>
      </c>
      <c r="G30" t="s">
        <v>3373</v>
      </c>
      <c r="H30" s="3">
        <v>42502</v>
      </c>
      <c r="I30" t="s">
        <v>3374</v>
      </c>
      <c r="J30">
        <v>39000</v>
      </c>
      <c r="K30" s="1" t="s">
        <v>67</v>
      </c>
      <c r="M30" s="3">
        <v>42502</v>
      </c>
      <c r="N30" t="s">
        <v>57</v>
      </c>
      <c r="P30" t="s">
        <v>56</v>
      </c>
      <c r="Q30">
        <v>10000</v>
      </c>
      <c r="R30" s="3">
        <v>42507</v>
      </c>
      <c r="S30" t="s">
        <v>54</v>
      </c>
      <c r="U30" t="s">
        <v>56</v>
      </c>
      <c r="V30">
        <v>24700</v>
      </c>
      <c r="W30" s="3">
        <v>42524</v>
      </c>
      <c r="X30" t="s">
        <v>54</v>
      </c>
      <c r="Z30" t="s">
        <v>60</v>
      </c>
      <c r="AA30">
        <v>3900</v>
      </c>
      <c r="AG30" s="5" t="s">
        <v>3375</v>
      </c>
      <c r="AH30" s="3">
        <v>42521</v>
      </c>
      <c r="AI30" s="4">
        <v>42000</v>
      </c>
      <c r="AJ30">
        <v>0</v>
      </c>
      <c r="AS30" t="s">
        <v>3376</v>
      </c>
      <c r="AT30" s="3">
        <v>42952</v>
      </c>
      <c r="AU30">
        <v>42000</v>
      </c>
      <c r="AV30">
        <v>0</v>
      </c>
      <c r="AW30">
        <v>0</v>
      </c>
      <c r="AX30">
        <v>0</v>
      </c>
    </row>
    <row r="31" spans="1:70" x14ac:dyDescent="0.25">
      <c r="A31" s="4" t="s">
        <v>3377</v>
      </c>
      <c r="B31" s="3">
        <v>42504</v>
      </c>
      <c r="C31" t="s">
        <v>3378</v>
      </c>
      <c r="D31" t="s">
        <v>2900</v>
      </c>
      <c r="E31" t="s">
        <v>50</v>
      </c>
      <c r="F31">
        <v>11000</v>
      </c>
      <c r="G31" t="s">
        <v>3379</v>
      </c>
      <c r="H31" s="3">
        <v>42504</v>
      </c>
      <c r="I31" t="s">
        <v>230</v>
      </c>
      <c r="J31">
        <v>10000</v>
      </c>
      <c r="K31" s="1" t="s">
        <v>67</v>
      </c>
      <c r="M31" s="3">
        <v>42504</v>
      </c>
      <c r="N31" t="s">
        <v>57</v>
      </c>
      <c r="P31" t="s">
        <v>56</v>
      </c>
      <c r="Q31">
        <v>8000</v>
      </c>
      <c r="R31" s="3">
        <v>42507</v>
      </c>
      <c r="S31" t="s">
        <v>57</v>
      </c>
      <c r="U31" t="s">
        <v>60</v>
      </c>
      <c r="V31">
        <v>1750</v>
      </c>
      <c r="AG31" s="5" t="s">
        <v>3380</v>
      </c>
      <c r="AH31" s="3">
        <v>42510</v>
      </c>
      <c r="AI31" s="4">
        <v>11000</v>
      </c>
      <c r="AJ31">
        <v>11000</v>
      </c>
    </row>
    <row r="32" spans="1:70" x14ac:dyDescent="0.25">
      <c r="A32" s="4" t="s">
        <v>3411</v>
      </c>
      <c r="B32" s="3">
        <v>42522</v>
      </c>
      <c r="C32" t="s">
        <v>50</v>
      </c>
      <c r="D32" t="s">
        <v>3412</v>
      </c>
      <c r="E32" t="s">
        <v>50</v>
      </c>
      <c r="F32">
        <v>135000</v>
      </c>
      <c r="G32" t="s">
        <v>3413</v>
      </c>
      <c r="H32" s="3">
        <v>42522</v>
      </c>
      <c r="I32" t="s">
        <v>91</v>
      </c>
      <c r="J32">
        <v>115000</v>
      </c>
      <c r="K32" s="1" t="s">
        <v>67</v>
      </c>
      <c r="M32" s="3">
        <v>42522</v>
      </c>
      <c r="N32" t="s">
        <v>54</v>
      </c>
      <c r="P32" t="s">
        <v>56</v>
      </c>
      <c r="Q32">
        <v>89200</v>
      </c>
      <c r="R32" s="3">
        <v>42559</v>
      </c>
      <c r="S32" t="s">
        <v>54</v>
      </c>
      <c r="U32" t="s">
        <v>60</v>
      </c>
      <c r="V32">
        <v>24600</v>
      </c>
      <c r="AG32" s="5" t="s">
        <v>3414</v>
      </c>
      <c r="AH32" s="3">
        <v>42573</v>
      </c>
      <c r="AI32" s="4">
        <v>135000</v>
      </c>
      <c r="AJ32">
        <v>0</v>
      </c>
      <c r="AS32" t="s">
        <v>3415</v>
      </c>
      <c r="AT32" s="3">
        <v>43057</v>
      </c>
      <c r="AU32">
        <v>135000</v>
      </c>
      <c r="AV32">
        <v>0</v>
      </c>
      <c r="AW32">
        <v>0</v>
      </c>
      <c r="AX32">
        <v>0</v>
      </c>
    </row>
    <row r="33" spans="1:70" x14ac:dyDescent="0.25">
      <c r="A33" s="4" t="s">
        <v>3421</v>
      </c>
      <c r="B33" s="3">
        <v>42525</v>
      </c>
      <c r="C33" t="s">
        <v>50</v>
      </c>
      <c r="D33" t="s">
        <v>3422</v>
      </c>
      <c r="E33" t="s">
        <v>50</v>
      </c>
      <c r="F33">
        <v>23000</v>
      </c>
      <c r="G33" t="s">
        <v>3423</v>
      </c>
      <c r="H33" s="3">
        <v>42525</v>
      </c>
      <c r="I33" t="s">
        <v>214</v>
      </c>
      <c r="J33">
        <v>21000</v>
      </c>
      <c r="K33" s="1" t="s">
        <v>67</v>
      </c>
      <c r="M33" s="3">
        <v>42525</v>
      </c>
      <c r="N33" t="s">
        <v>57</v>
      </c>
      <c r="P33" t="s">
        <v>56</v>
      </c>
      <c r="Q33">
        <v>17000</v>
      </c>
      <c r="R33" s="3">
        <v>42693</v>
      </c>
      <c r="S33" t="s">
        <v>54</v>
      </c>
      <c r="U33" t="s">
        <v>60</v>
      </c>
      <c r="V33">
        <v>3000</v>
      </c>
      <c r="AG33" s="5" t="s">
        <v>3424</v>
      </c>
      <c r="AH33" s="3">
        <v>42598</v>
      </c>
      <c r="AI33" s="4">
        <v>23000</v>
      </c>
      <c r="AJ33">
        <v>0</v>
      </c>
      <c r="AS33" t="s">
        <v>3217</v>
      </c>
      <c r="AT33" s="3">
        <v>42984</v>
      </c>
      <c r="AU33">
        <v>23000</v>
      </c>
      <c r="AV33">
        <v>0</v>
      </c>
      <c r="AW33">
        <v>0</v>
      </c>
      <c r="AX33">
        <v>0</v>
      </c>
      <c r="BQ33" t="s">
        <v>72</v>
      </c>
      <c r="BR33" t="s">
        <v>3218</v>
      </c>
    </row>
    <row r="34" spans="1:70" x14ac:dyDescent="0.25">
      <c r="A34" s="4" t="s">
        <v>3437</v>
      </c>
      <c r="B34" s="3">
        <v>42545</v>
      </c>
      <c r="C34" t="s">
        <v>50</v>
      </c>
      <c r="D34" t="s">
        <v>3102</v>
      </c>
      <c r="E34" t="s">
        <v>50</v>
      </c>
      <c r="F34">
        <v>13500</v>
      </c>
      <c r="G34" t="s">
        <v>3438</v>
      </c>
      <c r="H34" s="3">
        <v>42545</v>
      </c>
      <c r="I34" t="s">
        <v>290</v>
      </c>
      <c r="J34">
        <v>11500</v>
      </c>
      <c r="K34" s="1" t="s">
        <v>67</v>
      </c>
      <c r="M34" s="3">
        <v>42545</v>
      </c>
      <c r="N34" t="s">
        <v>57</v>
      </c>
      <c r="P34" t="s">
        <v>56</v>
      </c>
      <c r="Q34">
        <v>9100</v>
      </c>
      <c r="R34" s="3">
        <v>42559</v>
      </c>
      <c r="S34" t="s">
        <v>54</v>
      </c>
      <c r="U34" t="s">
        <v>60</v>
      </c>
      <c r="V34">
        <v>2100</v>
      </c>
      <c r="AG34" s="5" t="s">
        <v>3439</v>
      </c>
      <c r="AH34" s="3">
        <v>42557</v>
      </c>
      <c r="AI34" s="4">
        <v>13500</v>
      </c>
      <c r="AJ34">
        <v>0</v>
      </c>
      <c r="AS34" t="s">
        <v>3440</v>
      </c>
      <c r="AT34" s="3">
        <v>42557</v>
      </c>
      <c r="AU34">
        <v>13500</v>
      </c>
      <c r="AV34">
        <v>0</v>
      </c>
      <c r="AW34">
        <v>0</v>
      </c>
      <c r="AX34">
        <v>0</v>
      </c>
    </row>
    <row r="35" spans="1:70" x14ac:dyDescent="0.25">
      <c r="A35" s="4" t="s">
        <v>3468</v>
      </c>
      <c r="B35" s="3">
        <v>42564</v>
      </c>
      <c r="C35" t="s">
        <v>50</v>
      </c>
      <c r="D35" t="s">
        <v>3469</v>
      </c>
      <c r="E35" t="s">
        <v>50</v>
      </c>
      <c r="F35">
        <v>80000</v>
      </c>
      <c r="G35" t="s">
        <v>3470</v>
      </c>
      <c r="H35" s="3">
        <v>42564</v>
      </c>
      <c r="I35" t="s">
        <v>91</v>
      </c>
      <c r="J35">
        <v>71000</v>
      </c>
      <c r="K35" s="1" t="s">
        <v>67</v>
      </c>
      <c r="M35" s="3">
        <v>42564</v>
      </c>
      <c r="N35" t="s">
        <v>57</v>
      </c>
      <c r="P35" t="s">
        <v>56</v>
      </c>
      <c r="Q35">
        <v>25000</v>
      </c>
      <c r="R35" s="3">
        <v>42565</v>
      </c>
      <c r="S35" t="s">
        <v>54</v>
      </c>
      <c r="U35" t="s">
        <v>56</v>
      </c>
      <c r="V35">
        <v>34200</v>
      </c>
      <c r="W35" s="3">
        <v>42620</v>
      </c>
      <c r="X35" t="s">
        <v>54</v>
      </c>
      <c r="Z35" t="s">
        <v>60</v>
      </c>
      <c r="AA35">
        <v>10800</v>
      </c>
      <c r="AG35" s="5" t="s">
        <v>3471</v>
      </c>
      <c r="AH35" s="3">
        <v>42620</v>
      </c>
      <c r="AI35" s="4">
        <v>80000</v>
      </c>
      <c r="AJ35">
        <v>0</v>
      </c>
      <c r="AS35" t="s">
        <v>3472</v>
      </c>
      <c r="AT35" s="3">
        <v>42825</v>
      </c>
      <c r="AU35">
        <v>80000</v>
      </c>
      <c r="AV35">
        <v>0</v>
      </c>
      <c r="AW35">
        <v>0</v>
      </c>
      <c r="AX35">
        <v>0</v>
      </c>
    </row>
    <row r="36" spans="1:70" x14ac:dyDescent="0.25">
      <c r="A36" s="4" t="s">
        <v>3473</v>
      </c>
      <c r="B36" s="3">
        <v>42565</v>
      </c>
      <c r="C36" t="s">
        <v>50</v>
      </c>
      <c r="D36" t="s">
        <v>3469</v>
      </c>
      <c r="E36" t="s">
        <v>50</v>
      </c>
      <c r="F36">
        <v>80000</v>
      </c>
      <c r="G36" t="s">
        <v>3474</v>
      </c>
      <c r="H36" s="3">
        <v>42565</v>
      </c>
      <c r="I36" t="s">
        <v>91</v>
      </c>
      <c r="J36">
        <v>71000</v>
      </c>
      <c r="K36" s="1" t="s">
        <v>67</v>
      </c>
      <c r="M36" s="3">
        <v>42565</v>
      </c>
      <c r="N36" t="s">
        <v>54</v>
      </c>
      <c r="P36" t="s">
        <v>56</v>
      </c>
      <c r="Q36">
        <v>34200</v>
      </c>
      <c r="R36" s="3">
        <v>42566</v>
      </c>
      <c r="S36" t="s">
        <v>57</v>
      </c>
      <c r="U36" t="s">
        <v>56</v>
      </c>
      <c r="V36">
        <v>25000</v>
      </c>
      <c r="W36" s="3">
        <v>42629</v>
      </c>
      <c r="X36" t="s">
        <v>54</v>
      </c>
      <c r="Z36" t="s">
        <v>60</v>
      </c>
      <c r="AA36">
        <v>10800</v>
      </c>
      <c r="AG36" s="5" t="s">
        <v>3475</v>
      </c>
      <c r="AH36" s="3">
        <v>42620</v>
      </c>
      <c r="AI36" s="4">
        <v>80000</v>
      </c>
      <c r="AJ36">
        <v>0</v>
      </c>
      <c r="AS36" t="s">
        <v>3472</v>
      </c>
      <c r="AT36" s="3">
        <v>42825</v>
      </c>
      <c r="AU36">
        <v>80000</v>
      </c>
      <c r="AV36">
        <v>0</v>
      </c>
      <c r="AW36">
        <v>0</v>
      </c>
      <c r="AX36">
        <v>0</v>
      </c>
    </row>
    <row r="37" spans="1:70" x14ac:dyDescent="0.25">
      <c r="A37" s="4" t="s">
        <v>3476</v>
      </c>
      <c r="B37" s="3">
        <v>42569</v>
      </c>
      <c r="C37" t="s">
        <v>50</v>
      </c>
      <c r="D37" t="s">
        <v>3477</v>
      </c>
      <c r="E37" t="s">
        <v>50</v>
      </c>
      <c r="F37">
        <v>99000</v>
      </c>
      <c r="G37" t="s">
        <v>3478</v>
      </c>
      <c r="H37" s="3">
        <v>42569</v>
      </c>
      <c r="I37" t="s">
        <v>1416</v>
      </c>
      <c r="J37">
        <v>90000</v>
      </c>
      <c r="K37" s="1"/>
      <c r="M37" s="3">
        <v>42569</v>
      </c>
      <c r="N37" t="s">
        <v>54</v>
      </c>
      <c r="P37" t="s">
        <v>56</v>
      </c>
      <c r="Q37">
        <v>59400</v>
      </c>
      <c r="R37" s="3">
        <v>42569</v>
      </c>
      <c r="S37" t="s">
        <v>57</v>
      </c>
      <c r="U37" t="s">
        <v>56</v>
      </c>
      <c r="V37">
        <v>15000</v>
      </c>
      <c r="W37" s="3">
        <v>42601</v>
      </c>
      <c r="X37" t="s">
        <v>54</v>
      </c>
      <c r="Z37" t="s">
        <v>60</v>
      </c>
      <c r="AA37">
        <v>14800</v>
      </c>
      <c r="AG37" s="4" t="s">
        <v>3479</v>
      </c>
      <c r="AH37" s="3">
        <v>42599</v>
      </c>
      <c r="AI37" s="4">
        <v>99000</v>
      </c>
      <c r="AJ37">
        <v>0</v>
      </c>
      <c r="AS37" t="s">
        <v>3248</v>
      </c>
      <c r="AT37" s="3">
        <v>43020</v>
      </c>
      <c r="AU37">
        <v>99000</v>
      </c>
      <c r="AV37">
        <v>0</v>
      </c>
      <c r="AW37">
        <v>0</v>
      </c>
      <c r="AX37">
        <v>0</v>
      </c>
    </row>
    <row r="38" spans="1:70" x14ac:dyDescent="0.25">
      <c r="A38" s="4" t="s">
        <v>3492</v>
      </c>
      <c r="B38" s="3">
        <v>42588</v>
      </c>
      <c r="C38" t="s">
        <v>3493</v>
      </c>
      <c r="D38" t="s">
        <v>3494</v>
      </c>
      <c r="E38" t="s">
        <v>50</v>
      </c>
      <c r="F38">
        <v>144000</v>
      </c>
      <c r="G38" t="s">
        <v>3495</v>
      </c>
      <c r="H38" s="3">
        <v>42588</v>
      </c>
      <c r="I38" t="s">
        <v>107</v>
      </c>
      <c r="J38">
        <v>125000</v>
      </c>
      <c r="K38" s="1" t="s">
        <v>67</v>
      </c>
      <c r="M38" s="3">
        <v>42588</v>
      </c>
      <c r="N38" t="s">
        <v>54</v>
      </c>
      <c r="P38" t="s">
        <v>56</v>
      </c>
      <c r="Q38">
        <v>80000</v>
      </c>
      <c r="R38" s="3">
        <v>42588</v>
      </c>
      <c r="S38" t="s">
        <v>57</v>
      </c>
      <c r="U38" t="s">
        <v>56</v>
      </c>
      <c r="V38">
        <v>19200</v>
      </c>
      <c r="W38" s="3">
        <v>42629</v>
      </c>
      <c r="X38" t="s">
        <v>54</v>
      </c>
      <c r="Z38" t="s">
        <v>60</v>
      </c>
      <c r="AA38">
        <v>24700</v>
      </c>
      <c r="AG38" s="5" t="s">
        <v>3496</v>
      </c>
      <c r="AH38" s="3">
        <v>42675</v>
      </c>
      <c r="AI38" s="4">
        <v>144000</v>
      </c>
      <c r="AJ38">
        <v>0</v>
      </c>
      <c r="AS38" t="s">
        <v>3497</v>
      </c>
      <c r="AT38" s="3">
        <v>43208</v>
      </c>
      <c r="AU38">
        <v>144000</v>
      </c>
      <c r="AV38">
        <v>0</v>
      </c>
      <c r="AW38">
        <v>0</v>
      </c>
      <c r="AX38">
        <v>0</v>
      </c>
    </row>
    <row r="39" spans="1:70" x14ac:dyDescent="0.25">
      <c r="A39" s="4" t="s">
        <v>3502</v>
      </c>
      <c r="B39" s="3">
        <v>42602</v>
      </c>
      <c r="C39" t="s">
        <v>50</v>
      </c>
      <c r="D39" t="s">
        <v>3503</v>
      </c>
      <c r="E39" t="s">
        <v>50</v>
      </c>
      <c r="F39">
        <v>10000</v>
      </c>
      <c r="G39" t="s">
        <v>3504</v>
      </c>
      <c r="H39" s="3">
        <v>42602</v>
      </c>
      <c r="I39" t="s">
        <v>214</v>
      </c>
      <c r="J39">
        <v>9000</v>
      </c>
      <c r="K39" s="1" t="s">
        <v>67</v>
      </c>
      <c r="M39" s="3">
        <v>42606</v>
      </c>
      <c r="N39" t="s">
        <v>57</v>
      </c>
      <c r="P39" t="s">
        <v>60</v>
      </c>
      <c r="Q39">
        <v>8800</v>
      </c>
      <c r="AG39" s="5" t="s">
        <v>3505</v>
      </c>
      <c r="AH39" s="3">
        <v>42606</v>
      </c>
      <c r="AI39" s="4">
        <v>10000</v>
      </c>
      <c r="AJ39">
        <v>0</v>
      </c>
      <c r="AS39" t="s">
        <v>3506</v>
      </c>
      <c r="AT39" s="3">
        <v>42606</v>
      </c>
      <c r="AU39">
        <v>10000</v>
      </c>
      <c r="AV39">
        <v>0</v>
      </c>
      <c r="AW39">
        <v>0</v>
      </c>
      <c r="AX39">
        <v>0</v>
      </c>
    </row>
    <row r="40" spans="1:70" x14ac:dyDescent="0.25">
      <c r="A40" s="4" t="s">
        <v>3507</v>
      </c>
      <c r="B40" s="3">
        <v>42608</v>
      </c>
      <c r="C40" t="s">
        <v>50</v>
      </c>
      <c r="D40" t="s">
        <v>3508</v>
      </c>
      <c r="E40" t="s">
        <v>50</v>
      </c>
      <c r="F40">
        <v>75000</v>
      </c>
      <c r="G40" t="s">
        <v>3509</v>
      </c>
      <c r="H40" s="3">
        <v>42608</v>
      </c>
      <c r="I40" t="s">
        <v>502</v>
      </c>
      <c r="J40">
        <v>67000</v>
      </c>
      <c r="K40" s="1" t="s">
        <v>67</v>
      </c>
      <c r="M40" s="3">
        <v>42608</v>
      </c>
      <c r="N40" t="s">
        <v>54</v>
      </c>
      <c r="P40" t="s">
        <v>56</v>
      </c>
      <c r="Q40">
        <v>54500</v>
      </c>
      <c r="R40" s="3">
        <v>42646</v>
      </c>
      <c r="S40" t="s">
        <v>54</v>
      </c>
      <c r="U40" t="s">
        <v>60</v>
      </c>
      <c r="V40">
        <v>11800</v>
      </c>
      <c r="AG40" s="5" t="s">
        <v>3510</v>
      </c>
      <c r="AH40" s="3">
        <v>42689</v>
      </c>
      <c r="AI40" s="4">
        <v>75000</v>
      </c>
      <c r="AJ40">
        <v>0</v>
      </c>
      <c r="AS40" t="s">
        <v>3511</v>
      </c>
      <c r="AT40" s="3">
        <v>42734</v>
      </c>
      <c r="AU40">
        <v>75000</v>
      </c>
      <c r="AV40">
        <v>0</v>
      </c>
      <c r="AW40">
        <v>0</v>
      </c>
      <c r="AX40">
        <v>0</v>
      </c>
    </row>
    <row r="41" spans="1:70" x14ac:dyDescent="0.25">
      <c r="A41" s="4" t="s">
        <v>3512</v>
      </c>
      <c r="B41" s="3">
        <v>42611</v>
      </c>
      <c r="C41" t="s">
        <v>50</v>
      </c>
      <c r="D41" t="s">
        <v>3163</v>
      </c>
      <c r="E41" t="s">
        <v>50</v>
      </c>
      <c r="F41">
        <v>61000</v>
      </c>
      <c r="G41" t="s">
        <v>3513</v>
      </c>
      <c r="H41" s="3">
        <v>42611</v>
      </c>
      <c r="I41" t="s">
        <v>107</v>
      </c>
      <c r="J41">
        <v>55000</v>
      </c>
      <c r="K41" s="1" t="s">
        <v>67</v>
      </c>
      <c r="M41" s="3">
        <v>42611</v>
      </c>
      <c r="N41" t="s">
        <v>57</v>
      </c>
      <c r="P41" t="s">
        <v>56</v>
      </c>
      <c r="Q41">
        <v>30200</v>
      </c>
      <c r="R41" s="3">
        <v>42688</v>
      </c>
      <c r="S41" t="s">
        <v>54</v>
      </c>
      <c r="U41" t="s">
        <v>60</v>
      </c>
      <c r="V41">
        <v>23500</v>
      </c>
      <c r="AG41" s="5" t="s">
        <v>3514</v>
      </c>
      <c r="AH41" s="3">
        <v>42667</v>
      </c>
      <c r="AI41" s="4">
        <v>61000</v>
      </c>
      <c r="AJ41">
        <v>0</v>
      </c>
      <c r="AS41" t="s">
        <v>3376</v>
      </c>
      <c r="AT41" s="3">
        <v>42952</v>
      </c>
      <c r="AU41">
        <v>61000</v>
      </c>
      <c r="AV41">
        <v>0</v>
      </c>
      <c r="AW41">
        <v>0</v>
      </c>
      <c r="AX41">
        <v>0</v>
      </c>
    </row>
    <row r="42" spans="1:70" x14ac:dyDescent="0.25">
      <c r="A42" s="4" t="s">
        <v>3525</v>
      </c>
      <c r="B42" s="3">
        <v>42633</v>
      </c>
      <c r="C42" t="s">
        <v>50</v>
      </c>
      <c r="D42" t="s">
        <v>3526</v>
      </c>
      <c r="E42" t="s">
        <v>50</v>
      </c>
      <c r="F42">
        <v>150000</v>
      </c>
      <c r="G42" t="s">
        <v>3527</v>
      </c>
      <c r="H42" s="3">
        <v>42633</v>
      </c>
      <c r="I42" t="s">
        <v>91</v>
      </c>
      <c r="J42">
        <v>135000</v>
      </c>
      <c r="K42" s="1" t="s">
        <v>67</v>
      </c>
      <c r="M42" s="3">
        <v>42633</v>
      </c>
      <c r="N42" t="s">
        <v>54</v>
      </c>
      <c r="P42" t="s">
        <v>56</v>
      </c>
      <c r="Q42">
        <v>69000</v>
      </c>
      <c r="R42" s="3">
        <v>42634</v>
      </c>
      <c r="S42" t="s">
        <v>57</v>
      </c>
      <c r="U42" t="s">
        <v>56</v>
      </c>
      <c r="V42">
        <v>30000</v>
      </c>
      <c r="W42" s="3">
        <v>42647</v>
      </c>
      <c r="X42" t="s">
        <v>54</v>
      </c>
      <c r="Z42" t="s">
        <v>60</v>
      </c>
      <c r="AA42">
        <v>34500</v>
      </c>
      <c r="AG42" s="5" t="s">
        <v>3528</v>
      </c>
      <c r="AH42" s="3">
        <v>42681</v>
      </c>
      <c r="AI42" s="5">
        <v>150000</v>
      </c>
      <c r="AJ42">
        <v>0</v>
      </c>
      <c r="AS42" t="s">
        <v>3529</v>
      </c>
      <c r="AT42" s="3">
        <v>43208</v>
      </c>
      <c r="AU42">
        <v>144120</v>
      </c>
      <c r="AV42">
        <v>0</v>
      </c>
      <c r="AW42">
        <v>5880</v>
      </c>
      <c r="AX42">
        <v>0</v>
      </c>
    </row>
    <row r="43" spans="1:70" x14ac:dyDescent="0.25">
      <c r="A43" s="4" t="s">
        <v>3530</v>
      </c>
      <c r="B43" s="3">
        <v>42640</v>
      </c>
      <c r="C43" t="s">
        <v>50</v>
      </c>
      <c r="D43" t="s">
        <v>3531</v>
      </c>
      <c r="E43" t="s">
        <v>50</v>
      </c>
      <c r="F43">
        <v>115000</v>
      </c>
      <c r="G43" t="s">
        <v>3532</v>
      </c>
      <c r="H43" s="3">
        <v>42640</v>
      </c>
      <c r="I43" t="s">
        <v>502</v>
      </c>
      <c r="J43">
        <v>103000</v>
      </c>
      <c r="K43" s="1" t="s">
        <v>67</v>
      </c>
      <c r="M43" s="3">
        <v>42640</v>
      </c>
      <c r="N43" t="s">
        <v>54</v>
      </c>
      <c r="P43" t="s">
        <v>56</v>
      </c>
      <c r="Q43">
        <v>66200</v>
      </c>
      <c r="R43" s="3">
        <v>42640</v>
      </c>
      <c r="S43" t="s">
        <v>57</v>
      </c>
      <c r="U43" t="s">
        <v>56</v>
      </c>
      <c r="V43">
        <v>21000</v>
      </c>
      <c r="W43" s="3">
        <v>42678</v>
      </c>
      <c r="X43" t="s">
        <v>54</v>
      </c>
      <c r="Z43" t="s">
        <v>60</v>
      </c>
      <c r="AA43">
        <v>14800</v>
      </c>
      <c r="AG43" s="5" t="s">
        <v>3533</v>
      </c>
      <c r="AH43" s="3">
        <v>42664</v>
      </c>
      <c r="AI43" s="5">
        <v>115000</v>
      </c>
      <c r="AJ43">
        <v>0</v>
      </c>
      <c r="AS43" t="s">
        <v>3534</v>
      </c>
      <c r="AT43" s="3">
        <v>42664</v>
      </c>
      <c r="AU43">
        <v>112700</v>
      </c>
      <c r="AV43">
        <v>0</v>
      </c>
      <c r="AW43">
        <v>2300</v>
      </c>
      <c r="AX43">
        <v>0</v>
      </c>
    </row>
    <row r="44" spans="1:70" x14ac:dyDescent="0.25">
      <c r="A44" s="4" t="s">
        <v>3535</v>
      </c>
      <c r="B44" s="3">
        <v>42642</v>
      </c>
      <c r="C44" t="s">
        <v>50</v>
      </c>
      <c r="D44" t="s">
        <v>3536</v>
      </c>
      <c r="E44" t="s">
        <v>50</v>
      </c>
      <c r="F44">
        <v>117700</v>
      </c>
      <c r="G44" t="s">
        <v>3537</v>
      </c>
      <c r="H44" s="3">
        <v>42642</v>
      </c>
      <c r="I44" t="s">
        <v>3538</v>
      </c>
      <c r="J44">
        <v>108000</v>
      </c>
      <c r="K44" s="1" t="s">
        <v>67</v>
      </c>
      <c r="M44" s="3">
        <v>42642</v>
      </c>
      <c r="N44" t="s">
        <v>54</v>
      </c>
      <c r="P44" t="s">
        <v>56</v>
      </c>
      <c r="Q44">
        <v>86900</v>
      </c>
      <c r="R44" s="3">
        <v>42732</v>
      </c>
      <c r="S44" t="s">
        <v>54</v>
      </c>
      <c r="U44" t="s">
        <v>60</v>
      </c>
      <c r="V44">
        <v>19700</v>
      </c>
      <c r="AG44" s="5" t="s">
        <v>3539</v>
      </c>
      <c r="AH44" s="3">
        <v>42664</v>
      </c>
      <c r="AI44" s="5">
        <v>117700</v>
      </c>
      <c r="AJ44">
        <v>0</v>
      </c>
      <c r="AS44" t="s">
        <v>3540</v>
      </c>
      <c r="AT44" s="3">
        <v>42664</v>
      </c>
      <c r="AU44">
        <v>115346</v>
      </c>
      <c r="AV44">
        <v>0</v>
      </c>
      <c r="AW44">
        <v>2354</v>
      </c>
      <c r="AX44">
        <v>0</v>
      </c>
    </row>
    <row r="45" spans="1:70" x14ac:dyDescent="0.25">
      <c r="A45" s="4" t="s">
        <v>3541</v>
      </c>
      <c r="B45" s="3">
        <v>42642</v>
      </c>
      <c r="C45" t="s">
        <v>50</v>
      </c>
      <c r="D45" t="s">
        <v>3536</v>
      </c>
      <c r="E45" t="s">
        <v>50</v>
      </c>
      <c r="F45">
        <v>147300</v>
      </c>
      <c r="G45" t="s">
        <v>3542</v>
      </c>
      <c r="H45" s="3">
        <v>42642</v>
      </c>
      <c r="I45" t="s">
        <v>3538</v>
      </c>
      <c r="J45">
        <v>135000</v>
      </c>
      <c r="K45" s="1" t="s">
        <v>67</v>
      </c>
      <c r="M45" s="3">
        <v>42642</v>
      </c>
      <c r="N45" t="s">
        <v>54</v>
      </c>
      <c r="P45" t="s">
        <v>56</v>
      </c>
      <c r="Q45">
        <v>108700</v>
      </c>
      <c r="R45" s="3">
        <v>42732</v>
      </c>
      <c r="S45" t="s">
        <v>54</v>
      </c>
      <c r="U45" t="s">
        <v>60</v>
      </c>
      <c r="V45">
        <v>24700</v>
      </c>
      <c r="AG45" s="5" t="s">
        <v>3543</v>
      </c>
      <c r="AH45" s="3">
        <v>42664</v>
      </c>
      <c r="AI45" s="5">
        <v>147300</v>
      </c>
      <c r="AJ45">
        <v>0</v>
      </c>
      <c r="AS45" t="s">
        <v>3540</v>
      </c>
      <c r="AT45" s="3">
        <v>42664</v>
      </c>
      <c r="AU45">
        <v>144354</v>
      </c>
      <c r="AV45">
        <v>0</v>
      </c>
      <c r="AW45">
        <v>2946</v>
      </c>
      <c r="AX45">
        <v>0</v>
      </c>
    </row>
    <row r="46" spans="1:70" x14ac:dyDescent="0.25">
      <c r="A46" s="4" t="s">
        <v>3556</v>
      </c>
      <c r="B46" s="3">
        <v>42684</v>
      </c>
      <c r="C46" t="s">
        <v>50</v>
      </c>
      <c r="D46" t="s">
        <v>3549</v>
      </c>
      <c r="E46" t="s">
        <v>50</v>
      </c>
      <c r="F46">
        <v>35000</v>
      </c>
      <c r="G46" t="s">
        <v>3557</v>
      </c>
      <c r="H46" s="3">
        <v>42684</v>
      </c>
      <c r="I46" t="s">
        <v>1244</v>
      </c>
      <c r="J46">
        <v>32000</v>
      </c>
      <c r="K46" s="1" t="s">
        <v>67</v>
      </c>
      <c r="M46" s="3">
        <v>42685</v>
      </c>
      <c r="N46" t="s">
        <v>54</v>
      </c>
      <c r="P46" t="s">
        <v>56</v>
      </c>
      <c r="Q46">
        <v>26000</v>
      </c>
      <c r="R46" s="3">
        <v>42790</v>
      </c>
      <c r="S46" t="s">
        <v>54</v>
      </c>
      <c r="U46" t="s">
        <v>60</v>
      </c>
      <c r="V46">
        <v>4900</v>
      </c>
      <c r="AG46" s="5" t="s">
        <v>3558</v>
      </c>
      <c r="AH46" s="3">
        <v>42684</v>
      </c>
      <c r="AI46" s="5">
        <v>35000</v>
      </c>
      <c r="AJ46">
        <v>0</v>
      </c>
      <c r="AS46" t="s">
        <v>3554</v>
      </c>
      <c r="AT46" s="3">
        <v>42693</v>
      </c>
      <c r="AU46">
        <v>35000</v>
      </c>
      <c r="AV46">
        <v>0</v>
      </c>
      <c r="AW46">
        <v>0</v>
      </c>
      <c r="AX46">
        <v>0</v>
      </c>
    </row>
    <row r="47" spans="1:70" x14ac:dyDescent="0.25">
      <c r="A47" s="4" t="s">
        <v>3565</v>
      </c>
      <c r="B47" s="3">
        <v>42711</v>
      </c>
      <c r="C47" t="s">
        <v>50</v>
      </c>
      <c r="D47" t="s">
        <v>3566</v>
      </c>
      <c r="E47" t="s">
        <v>50</v>
      </c>
      <c r="F47">
        <v>15000</v>
      </c>
      <c r="G47" t="s">
        <v>3567</v>
      </c>
      <c r="H47" s="3">
        <v>42711</v>
      </c>
      <c r="I47" t="s">
        <v>3568</v>
      </c>
      <c r="J47">
        <v>14000</v>
      </c>
      <c r="K47" s="1" t="s">
        <v>67</v>
      </c>
      <c r="M47" s="3">
        <v>42711</v>
      </c>
      <c r="N47" t="s">
        <v>57</v>
      </c>
      <c r="P47" t="s">
        <v>56</v>
      </c>
      <c r="Q47">
        <v>10000</v>
      </c>
      <c r="R47" s="3">
        <v>42753</v>
      </c>
      <c r="S47" t="s">
        <v>54</v>
      </c>
      <c r="U47" t="s">
        <v>60</v>
      </c>
      <c r="V47">
        <v>3500</v>
      </c>
      <c r="AG47" s="5" t="s">
        <v>3569</v>
      </c>
      <c r="AH47" s="3">
        <v>42721</v>
      </c>
      <c r="AI47" s="5">
        <v>15000</v>
      </c>
      <c r="AJ47">
        <v>0</v>
      </c>
      <c r="AS47" t="s">
        <v>3570</v>
      </c>
      <c r="AT47" s="3">
        <v>42721</v>
      </c>
      <c r="AU47">
        <v>15000</v>
      </c>
      <c r="AV47">
        <v>0</v>
      </c>
      <c r="AW47">
        <v>0</v>
      </c>
      <c r="AX47">
        <v>0</v>
      </c>
    </row>
    <row r="48" spans="1:70" x14ac:dyDescent="0.25">
      <c r="A48" s="4" t="s">
        <v>3571</v>
      </c>
      <c r="B48" s="3">
        <v>42713</v>
      </c>
      <c r="C48" t="s">
        <v>50</v>
      </c>
      <c r="D48" t="s">
        <v>3572</v>
      </c>
      <c r="E48" t="s">
        <v>50</v>
      </c>
      <c r="F48">
        <v>12000</v>
      </c>
      <c r="G48" t="s">
        <v>3573</v>
      </c>
      <c r="H48" s="3">
        <v>42713</v>
      </c>
      <c r="I48" t="s">
        <v>1528</v>
      </c>
      <c r="J48">
        <v>11000</v>
      </c>
      <c r="K48" s="1" t="s">
        <v>67</v>
      </c>
      <c r="M48" s="3">
        <v>42713</v>
      </c>
      <c r="N48" t="s">
        <v>57</v>
      </c>
      <c r="P48" t="s">
        <v>56</v>
      </c>
      <c r="Q48">
        <v>7000</v>
      </c>
      <c r="R48" s="3">
        <v>42721</v>
      </c>
      <c r="S48" t="s">
        <v>54</v>
      </c>
      <c r="U48" t="s">
        <v>60</v>
      </c>
      <c r="V48">
        <v>3750</v>
      </c>
      <c r="AG48" s="5" t="s">
        <v>3574</v>
      </c>
      <c r="AH48" s="3">
        <v>42719</v>
      </c>
      <c r="AI48" s="5">
        <v>12000</v>
      </c>
      <c r="AJ48">
        <v>0</v>
      </c>
      <c r="AS48" t="s">
        <v>3575</v>
      </c>
      <c r="AT48" s="3">
        <v>42719</v>
      </c>
      <c r="AU48">
        <v>12000</v>
      </c>
      <c r="AV48">
        <v>0</v>
      </c>
      <c r="AW48">
        <v>0</v>
      </c>
      <c r="AX48">
        <v>0</v>
      </c>
    </row>
    <row r="49" spans="1:74" x14ac:dyDescent="0.25">
      <c r="A49" s="4" t="s">
        <v>3576</v>
      </c>
      <c r="B49" s="3">
        <v>42735</v>
      </c>
      <c r="C49" t="s">
        <v>50</v>
      </c>
      <c r="D49" t="s">
        <v>3577</v>
      </c>
      <c r="E49" t="s">
        <v>50</v>
      </c>
      <c r="F49">
        <v>150000</v>
      </c>
      <c r="G49" t="s">
        <v>3578</v>
      </c>
      <c r="H49" s="3">
        <v>42735</v>
      </c>
      <c r="I49" t="s">
        <v>243</v>
      </c>
      <c r="J49">
        <v>145000</v>
      </c>
      <c r="K49" s="1" t="s">
        <v>67</v>
      </c>
      <c r="M49" s="3">
        <v>42735</v>
      </c>
      <c r="N49" t="s">
        <v>54</v>
      </c>
      <c r="P49" t="s">
        <v>56</v>
      </c>
      <c r="Q49">
        <v>114000</v>
      </c>
      <c r="R49" s="3">
        <v>42775</v>
      </c>
      <c r="S49" t="s">
        <v>54</v>
      </c>
      <c r="U49" t="s">
        <v>60</v>
      </c>
      <c r="V49">
        <v>29600</v>
      </c>
      <c r="AG49" s="5" t="s">
        <v>3579</v>
      </c>
      <c r="AH49" s="3">
        <v>42762</v>
      </c>
      <c r="AI49" s="5">
        <v>75000</v>
      </c>
      <c r="AJ49">
        <v>0</v>
      </c>
      <c r="AS49" t="s">
        <v>3580</v>
      </c>
      <c r="AT49" s="3">
        <v>42735</v>
      </c>
      <c r="AU49">
        <v>75000</v>
      </c>
      <c r="AV49">
        <v>0</v>
      </c>
      <c r="AW49">
        <v>0</v>
      </c>
      <c r="AX49">
        <v>0</v>
      </c>
      <c r="AY49" t="s">
        <v>3581</v>
      </c>
      <c r="AZ49" s="3">
        <v>42762</v>
      </c>
      <c r="BA49">
        <v>72000</v>
      </c>
      <c r="BB49">
        <v>0</v>
      </c>
      <c r="BC49">
        <v>3000</v>
      </c>
      <c r="BD49">
        <v>0</v>
      </c>
    </row>
    <row r="50" spans="1:74" x14ac:dyDescent="0.25">
      <c r="A50" s="4" t="s">
        <v>3582</v>
      </c>
      <c r="B50" s="3">
        <v>42754</v>
      </c>
      <c r="C50" t="s">
        <v>50</v>
      </c>
      <c r="D50" t="s">
        <v>3278</v>
      </c>
      <c r="E50" t="s">
        <v>50</v>
      </c>
      <c r="F50">
        <v>135000</v>
      </c>
      <c r="G50" t="s">
        <v>3583</v>
      </c>
      <c r="H50" s="3">
        <v>42754</v>
      </c>
      <c r="I50" t="s">
        <v>214</v>
      </c>
      <c r="J50">
        <v>130000</v>
      </c>
      <c r="K50" s="1" t="s">
        <v>67</v>
      </c>
      <c r="M50" s="3">
        <v>42754</v>
      </c>
      <c r="N50" t="s">
        <v>54</v>
      </c>
      <c r="P50" t="s">
        <v>56</v>
      </c>
      <c r="Q50">
        <v>114200</v>
      </c>
      <c r="R50" s="3">
        <v>42919</v>
      </c>
      <c r="S50" t="s">
        <v>54</v>
      </c>
      <c r="U50" t="s">
        <v>60</v>
      </c>
      <c r="V50">
        <v>14800</v>
      </c>
      <c r="AG50" s="5" t="s">
        <v>3584</v>
      </c>
      <c r="AH50" s="3">
        <v>42838</v>
      </c>
      <c r="AI50" s="5">
        <v>135000</v>
      </c>
      <c r="AJ50">
        <v>0</v>
      </c>
      <c r="AS50" t="s">
        <v>3585</v>
      </c>
      <c r="AT50" s="3">
        <v>43147</v>
      </c>
      <c r="AU50">
        <v>135000</v>
      </c>
      <c r="AV50">
        <v>0</v>
      </c>
      <c r="AW50">
        <v>0</v>
      </c>
      <c r="AX50">
        <v>0</v>
      </c>
    </row>
    <row r="51" spans="1:74" x14ac:dyDescent="0.25">
      <c r="A51" s="4" t="s">
        <v>3672</v>
      </c>
      <c r="B51" s="3">
        <v>43155</v>
      </c>
      <c r="C51" t="s">
        <v>50</v>
      </c>
      <c r="D51" t="s">
        <v>2546</v>
      </c>
      <c r="E51" t="s">
        <v>50</v>
      </c>
      <c r="F51">
        <v>148000</v>
      </c>
      <c r="G51" t="s">
        <v>3673</v>
      </c>
      <c r="H51" s="3">
        <v>43155</v>
      </c>
      <c r="I51" t="s">
        <v>1305</v>
      </c>
      <c r="J51">
        <v>140000</v>
      </c>
      <c r="K51" s="1" t="s">
        <v>67</v>
      </c>
      <c r="M51" s="3">
        <v>43159</v>
      </c>
      <c r="N51" t="s">
        <v>1336</v>
      </c>
      <c r="O51" t="s">
        <v>3648</v>
      </c>
      <c r="P51" t="s">
        <v>56</v>
      </c>
      <c r="Q51">
        <v>30000</v>
      </c>
      <c r="R51" s="3">
        <v>43159</v>
      </c>
      <c r="S51" t="s">
        <v>54</v>
      </c>
      <c r="T51" t="s">
        <v>3658</v>
      </c>
      <c r="U51" t="s">
        <v>56</v>
      </c>
      <c r="V51">
        <v>89200</v>
      </c>
      <c r="W51" s="3">
        <v>43239</v>
      </c>
      <c r="X51" t="s">
        <v>54</v>
      </c>
      <c r="Y51" t="s">
        <v>1308</v>
      </c>
      <c r="Z51" t="s">
        <v>60</v>
      </c>
      <c r="AA51">
        <v>19700</v>
      </c>
      <c r="AG51" s="5" t="s">
        <v>3674</v>
      </c>
      <c r="AH51" s="3">
        <v>43203</v>
      </c>
      <c r="AI51" s="4">
        <v>148000</v>
      </c>
      <c r="AJ51">
        <v>50040</v>
      </c>
      <c r="AS51" t="s">
        <v>3675</v>
      </c>
      <c r="AT51" s="3">
        <v>43325</v>
      </c>
      <c r="AU51">
        <v>95000</v>
      </c>
      <c r="AV51">
        <v>0</v>
      </c>
      <c r="AW51">
        <v>2960</v>
      </c>
      <c r="AX51">
        <v>50040</v>
      </c>
    </row>
    <row r="52" spans="1:74" x14ac:dyDescent="0.25">
      <c r="A52" s="4" t="s">
        <v>3894</v>
      </c>
      <c r="B52" s="3">
        <v>43368</v>
      </c>
      <c r="C52" t="s">
        <v>50</v>
      </c>
      <c r="D52" t="s">
        <v>1353</v>
      </c>
      <c r="E52" t="s">
        <v>50</v>
      </c>
      <c r="F52">
        <v>80000</v>
      </c>
      <c r="G52" t="s">
        <v>3895</v>
      </c>
      <c r="H52" s="3">
        <v>43368</v>
      </c>
      <c r="I52" t="s">
        <v>502</v>
      </c>
      <c r="J52">
        <v>74000</v>
      </c>
      <c r="K52" s="1" t="s">
        <v>67</v>
      </c>
      <c r="M52" s="3">
        <v>43369</v>
      </c>
      <c r="N52" t="s">
        <v>54</v>
      </c>
      <c r="O52" t="s">
        <v>3896</v>
      </c>
      <c r="P52" t="s">
        <v>56</v>
      </c>
      <c r="Q52">
        <v>66000</v>
      </c>
      <c r="R52" s="3">
        <v>43468</v>
      </c>
      <c r="S52" t="s">
        <v>54</v>
      </c>
      <c r="T52" t="s">
        <v>1330</v>
      </c>
      <c r="U52" t="s">
        <v>60</v>
      </c>
      <c r="V52">
        <v>7300</v>
      </c>
      <c r="AG52" s="5" t="s">
        <v>3897</v>
      </c>
      <c r="AH52" s="3">
        <v>43430</v>
      </c>
      <c r="AI52" s="4">
        <v>80000</v>
      </c>
      <c r="AJ52">
        <v>80000</v>
      </c>
    </row>
    <row r="53" spans="1:74" x14ac:dyDescent="0.25">
      <c r="A53" s="4" t="s">
        <v>3904</v>
      </c>
      <c r="B53" s="3">
        <v>43372</v>
      </c>
      <c r="C53" t="s">
        <v>50</v>
      </c>
      <c r="D53" t="s">
        <v>2760</v>
      </c>
      <c r="E53" t="s">
        <v>50</v>
      </c>
      <c r="F53">
        <v>115000</v>
      </c>
      <c r="G53" t="s">
        <v>3905</v>
      </c>
      <c r="H53" s="3">
        <v>43372</v>
      </c>
      <c r="I53" t="s">
        <v>66</v>
      </c>
      <c r="J53">
        <v>102000</v>
      </c>
      <c r="K53" s="1" t="s">
        <v>67</v>
      </c>
      <c r="M53" s="3">
        <v>43372</v>
      </c>
      <c r="N53" t="s">
        <v>54</v>
      </c>
      <c r="O53" t="s">
        <v>69</v>
      </c>
      <c r="P53" t="s">
        <v>56</v>
      </c>
      <c r="Q53">
        <v>89100</v>
      </c>
      <c r="R53" s="3">
        <v>43424</v>
      </c>
      <c r="S53" t="s">
        <v>54</v>
      </c>
      <c r="T53" t="s">
        <v>66</v>
      </c>
      <c r="U53" t="s">
        <v>60</v>
      </c>
      <c r="V53">
        <v>11650</v>
      </c>
      <c r="AG53" s="5" t="s">
        <v>3906</v>
      </c>
      <c r="AH53" s="3">
        <v>43424</v>
      </c>
      <c r="AI53" s="4">
        <v>115000</v>
      </c>
      <c r="AJ53">
        <v>115000</v>
      </c>
    </row>
    <row r="54" spans="1:74" x14ac:dyDescent="0.25">
      <c r="A54" s="4" t="s">
        <v>3907</v>
      </c>
      <c r="B54" s="3">
        <v>43372</v>
      </c>
      <c r="C54" t="s">
        <v>50</v>
      </c>
      <c r="D54" t="s">
        <v>2760</v>
      </c>
      <c r="E54" t="s">
        <v>50</v>
      </c>
      <c r="F54">
        <v>115000</v>
      </c>
      <c r="G54" t="s">
        <v>3908</v>
      </c>
      <c r="H54" s="3">
        <v>43372</v>
      </c>
      <c r="I54" t="s">
        <v>66</v>
      </c>
      <c r="J54">
        <v>102000</v>
      </c>
      <c r="K54" s="1" t="s">
        <v>67</v>
      </c>
      <c r="M54" s="3">
        <v>43372</v>
      </c>
      <c r="N54" t="s">
        <v>54</v>
      </c>
      <c r="O54" t="s">
        <v>69</v>
      </c>
      <c r="P54" t="s">
        <v>56</v>
      </c>
      <c r="Q54">
        <v>89200</v>
      </c>
      <c r="R54" s="3">
        <v>43424</v>
      </c>
      <c r="S54" t="s">
        <v>54</v>
      </c>
      <c r="T54" t="s">
        <v>66</v>
      </c>
      <c r="U54" t="s">
        <v>60</v>
      </c>
      <c r="V54">
        <v>10050</v>
      </c>
      <c r="W54" s="3">
        <v>43424</v>
      </c>
      <c r="X54" t="s">
        <v>57</v>
      </c>
      <c r="Y54" t="s">
        <v>3909</v>
      </c>
      <c r="Z54" t="s">
        <v>60</v>
      </c>
      <c r="AA54">
        <v>1600</v>
      </c>
      <c r="AG54" s="5" t="s">
        <v>3910</v>
      </c>
      <c r="AH54" s="3">
        <v>43424</v>
      </c>
      <c r="AI54" s="4">
        <v>115000</v>
      </c>
      <c r="AJ54">
        <v>115000</v>
      </c>
    </row>
    <row r="55" spans="1:74" x14ac:dyDescent="0.25">
      <c r="A55" s="4" t="s">
        <v>4053</v>
      </c>
      <c r="B55" s="3">
        <v>43470</v>
      </c>
      <c r="C55" t="s">
        <v>50</v>
      </c>
      <c r="D55" t="s">
        <v>2816</v>
      </c>
      <c r="E55" t="s">
        <v>50</v>
      </c>
      <c r="F55">
        <v>66000</v>
      </c>
      <c r="G55" t="s">
        <v>4054</v>
      </c>
      <c r="H55" s="3">
        <v>43470</v>
      </c>
      <c r="I55" t="s">
        <v>502</v>
      </c>
      <c r="J55">
        <v>60000</v>
      </c>
      <c r="K55" s="1" t="s">
        <v>67</v>
      </c>
      <c r="M55" s="3">
        <v>43476</v>
      </c>
      <c r="N55" t="s">
        <v>1336</v>
      </c>
      <c r="P55" t="s">
        <v>56</v>
      </c>
      <c r="Q55">
        <v>20000</v>
      </c>
      <c r="R55" s="3">
        <v>43476</v>
      </c>
      <c r="S55" t="s">
        <v>54</v>
      </c>
      <c r="T55" t="s">
        <v>524</v>
      </c>
      <c r="U55" t="s">
        <v>56</v>
      </c>
      <c r="V55">
        <v>34500</v>
      </c>
      <c r="AG55" s="5" t="s">
        <v>4055</v>
      </c>
      <c r="AH55" s="3">
        <v>43495</v>
      </c>
      <c r="AI55" s="4">
        <v>66000</v>
      </c>
      <c r="AJ55">
        <v>0</v>
      </c>
      <c r="AS55" t="s">
        <v>4056</v>
      </c>
      <c r="AT55" s="3">
        <v>43495</v>
      </c>
      <c r="AU55">
        <v>64680</v>
      </c>
      <c r="AV55">
        <v>0</v>
      </c>
      <c r="AW55">
        <v>1320</v>
      </c>
      <c r="AX55">
        <v>0</v>
      </c>
    </row>
    <row r="56" spans="1:74" x14ac:dyDescent="0.25">
      <c r="A56" t="s">
        <v>2898</v>
      </c>
      <c r="B56" s="3">
        <v>42241</v>
      </c>
      <c r="C56" t="s">
        <v>2899</v>
      </c>
      <c r="D56" t="s">
        <v>2900</v>
      </c>
      <c r="E56" t="s">
        <v>50</v>
      </c>
      <c r="F56">
        <v>15500</v>
      </c>
      <c r="G56" t="s">
        <v>2901</v>
      </c>
      <c r="H56" s="3">
        <v>42241</v>
      </c>
      <c r="I56" t="s">
        <v>1515</v>
      </c>
      <c r="J56">
        <v>14500</v>
      </c>
      <c r="K56" s="1"/>
      <c r="M56" s="3">
        <v>42241</v>
      </c>
      <c r="N56" t="s">
        <v>57</v>
      </c>
      <c r="P56" t="s">
        <v>56</v>
      </c>
      <c r="Q56">
        <v>9700</v>
      </c>
      <c r="R56" s="3">
        <v>42242</v>
      </c>
      <c r="S56" t="s">
        <v>54</v>
      </c>
      <c r="U56" t="s">
        <v>60</v>
      </c>
      <c r="V56">
        <v>4400</v>
      </c>
      <c r="AS56" t="s">
        <v>2902</v>
      </c>
      <c r="AT56" s="3">
        <v>42256</v>
      </c>
      <c r="AU56">
        <v>15190</v>
      </c>
      <c r="AV56">
        <v>0</v>
      </c>
      <c r="AW56">
        <v>310</v>
      </c>
      <c r="AX56">
        <v>0</v>
      </c>
      <c r="BQ56" t="s">
        <v>72</v>
      </c>
      <c r="BR56" t="s">
        <v>2903</v>
      </c>
    </row>
    <row r="57" spans="1:74" x14ac:dyDescent="0.25">
      <c r="A57" t="s">
        <v>2904</v>
      </c>
      <c r="B57" s="3">
        <v>42245</v>
      </c>
      <c r="C57" t="s">
        <v>50</v>
      </c>
      <c r="D57" t="s">
        <v>2905</v>
      </c>
      <c r="E57" t="s">
        <v>50</v>
      </c>
      <c r="F57">
        <v>21000</v>
      </c>
      <c r="G57" t="s">
        <v>2906</v>
      </c>
      <c r="H57" s="3">
        <v>42245</v>
      </c>
      <c r="I57" t="s">
        <v>1515</v>
      </c>
      <c r="J57">
        <v>20000</v>
      </c>
      <c r="K57" s="1"/>
      <c r="M57" s="3">
        <v>42245</v>
      </c>
      <c r="N57" t="s">
        <v>57</v>
      </c>
      <c r="P57" t="s">
        <v>56</v>
      </c>
      <c r="Q57">
        <v>14600</v>
      </c>
      <c r="R57" s="3">
        <v>42262</v>
      </c>
      <c r="S57" t="s">
        <v>54</v>
      </c>
      <c r="U57" t="s">
        <v>60</v>
      </c>
      <c r="V57">
        <v>4900</v>
      </c>
      <c r="AG57" t="s">
        <v>2907</v>
      </c>
      <c r="AH57" s="3">
        <v>42261</v>
      </c>
      <c r="AI57">
        <v>21000</v>
      </c>
      <c r="AJ57">
        <v>0</v>
      </c>
      <c r="AS57" t="s">
        <v>2908</v>
      </c>
      <c r="AT57" s="3">
        <v>42296</v>
      </c>
      <c r="AU57">
        <v>20580</v>
      </c>
      <c r="AV57">
        <v>0</v>
      </c>
      <c r="AW57">
        <v>420</v>
      </c>
      <c r="AX57">
        <v>0</v>
      </c>
      <c r="BQ57" t="s">
        <v>72</v>
      </c>
      <c r="BR57" t="s">
        <v>2909</v>
      </c>
    </row>
    <row r="58" spans="1:74" x14ac:dyDescent="0.25">
      <c r="A58" t="s">
        <v>2910</v>
      </c>
      <c r="B58" s="3">
        <v>42246</v>
      </c>
      <c r="C58" t="s">
        <v>50</v>
      </c>
      <c r="D58" t="s">
        <v>2911</v>
      </c>
      <c r="E58" t="s">
        <v>50</v>
      </c>
      <c r="F58">
        <v>15000</v>
      </c>
      <c r="G58" t="s">
        <v>2912</v>
      </c>
      <c r="H58" s="3">
        <v>42246</v>
      </c>
      <c r="I58" t="s">
        <v>2913</v>
      </c>
      <c r="J58">
        <v>14000</v>
      </c>
      <c r="K58" s="1"/>
      <c r="M58" s="3">
        <v>42247</v>
      </c>
      <c r="N58" t="s">
        <v>57</v>
      </c>
      <c r="P58" t="s">
        <v>56</v>
      </c>
      <c r="Q58">
        <v>10700</v>
      </c>
      <c r="R58" s="3">
        <v>42256</v>
      </c>
      <c r="S58" t="s">
        <v>54</v>
      </c>
      <c r="U58" t="s">
        <v>60</v>
      </c>
      <c r="V58">
        <v>2900</v>
      </c>
      <c r="AG58" t="s">
        <v>2914</v>
      </c>
      <c r="AH58" s="3">
        <v>42251</v>
      </c>
      <c r="AI58">
        <v>15000</v>
      </c>
      <c r="AJ58">
        <v>0</v>
      </c>
      <c r="AS58" t="s">
        <v>2908</v>
      </c>
      <c r="AT58" s="3">
        <v>42296</v>
      </c>
      <c r="AU58">
        <v>14700</v>
      </c>
      <c r="AV58">
        <v>0</v>
      </c>
      <c r="AW58">
        <v>300</v>
      </c>
      <c r="AX58">
        <v>0</v>
      </c>
      <c r="BQ58" t="s">
        <v>72</v>
      </c>
      <c r="BR58" t="s">
        <v>2909</v>
      </c>
      <c r="BV58" t="s">
        <v>2558</v>
      </c>
    </row>
    <row r="59" spans="1:74" x14ac:dyDescent="0.25">
      <c r="A59" t="s">
        <v>2921</v>
      </c>
      <c r="B59" s="3">
        <v>42261</v>
      </c>
      <c r="C59" t="s">
        <v>50</v>
      </c>
      <c r="D59" t="s">
        <v>2922</v>
      </c>
      <c r="E59" t="s">
        <v>50</v>
      </c>
      <c r="F59">
        <v>39000</v>
      </c>
      <c r="G59" t="s">
        <v>2923</v>
      </c>
      <c r="H59" s="3">
        <v>42261</v>
      </c>
      <c r="I59" t="s">
        <v>2924</v>
      </c>
      <c r="J59">
        <v>35000</v>
      </c>
      <c r="K59" s="1"/>
      <c r="M59" s="3">
        <v>42262</v>
      </c>
      <c r="N59" t="s">
        <v>57</v>
      </c>
      <c r="P59" t="s">
        <v>56</v>
      </c>
      <c r="Q59">
        <v>29300</v>
      </c>
      <c r="R59" s="3">
        <v>42282</v>
      </c>
      <c r="S59" t="s">
        <v>54</v>
      </c>
      <c r="U59" t="s">
        <v>60</v>
      </c>
      <c r="V59">
        <v>4850</v>
      </c>
      <c r="AG59" t="s">
        <v>2925</v>
      </c>
      <c r="AH59" s="3">
        <v>42280</v>
      </c>
      <c r="AI59">
        <v>39000</v>
      </c>
      <c r="AJ59">
        <v>0</v>
      </c>
      <c r="AS59" t="s">
        <v>2926</v>
      </c>
      <c r="AT59" s="3">
        <v>42335</v>
      </c>
      <c r="AU59">
        <v>38220</v>
      </c>
      <c r="AV59">
        <v>0</v>
      </c>
      <c r="AW59">
        <v>780</v>
      </c>
      <c r="AX59">
        <v>0</v>
      </c>
      <c r="BQ59" t="s">
        <v>72</v>
      </c>
      <c r="BR59" t="s">
        <v>2927</v>
      </c>
    </row>
    <row r="60" spans="1:74" x14ac:dyDescent="0.25">
      <c r="A60" s="10" t="s">
        <v>2928</v>
      </c>
      <c r="B60" s="3">
        <v>42261</v>
      </c>
      <c r="C60" t="s">
        <v>50</v>
      </c>
      <c r="D60" t="s">
        <v>2922</v>
      </c>
      <c r="E60" t="s">
        <v>50</v>
      </c>
      <c r="F60">
        <v>18000</v>
      </c>
      <c r="G60" t="s">
        <v>2929</v>
      </c>
      <c r="H60" s="3">
        <v>42261</v>
      </c>
      <c r="I60" t="s">
        <v>2930</v>
      </c>
      <c r="J60">
        <v>16000</v>
      </c>
      <c r="K60" s="1"/>
      <c r="M60" s="3">
        <v>42262</v>
      </c>
      <c r="N60" t="s">
        <v>57</v>
      </c>
      <c r="P60" t="s">
        <v>56</v>
      </c>
      <c r="Q60">
        <v>12600</v>
      </c>
      <c r="R60" s="3">
        <v>42275</v>
      </c>
      <c r="S60" t="s">
        <v>54</v>
      </c>
      <c r="U60" t="s">
        <v>60</v>
      </c>
      <c r="V60">
        <v>2950</v>
      </c>
      <c r="AG60" s="10" t="s">
        <v>2931</v>
      </c>
      <c r="AH60" s="3">
        <v>42280</v>
      </c>
      <c r="AI60">
        <v>18000</v>
      </c>
      <c r="AJ60">
        <v>0</v>
      </c>
      <c r="AS60" t="s">
        <v>2932</v>
      </c>
      <c r="AT60" s="3">
        <v>42310</v>
      </c>
      <c r="AU60">
        <v>17640</v>
      </c>
      <c r="AV60">
        <v>0</v>
      </c>
      <c r="AW60">
        <v>360</v>
      </c>
      <c r="AX60">
        <v>0</v>
      </c>
      <c r="BQ60" t="s">
        <v>1457</v>
      </c>
      <c r="BR60" t="s">
        <v>2933</v>
      </c>
    </row>
    <row r="61" spans="1:74" x14ac:dyDescent="0.25">
      <c r="A61" s="10" t="s">
        <v>2934</v>
      </c>
      <c r="B61" s="3">
        <v>42261</v>
      </c>
      <c r="C61" t="s">
        <v>50</v>
      </c>
      <c r="D61" t="s">
        <v>2922</v>
      </c>
      <c r="E61" t="s">
        <v>50</v>
      </c>
      <c r="F61">
        <v>13000</v>
      </c>
      <c r="G61" t="s">
        <v>2935</v>
      </c>
      <c r="H61" s="3">
        <v>42261</v>
      </c>
      <c r="I61" t="s">
        <v>2930</v>
      </c>
      <c r="J61">
        <v>12000</v>
      </c>
      <c r="K61" s="1"/>
      <c r="M61" s="3">
        <v>42262</v>
      </c>
      <c r="N61" t="s">
        <v>57</v>
      </c>
      <c r="P61" t="s">
        <v>56</v>
      </c>
      <c r="Q61">
        <v>9800</v>
      </c>
      <c r="R61" s="3">
        <v>42275</v>
      </c>
      <c r="S61" t="s">
        <v>54</v>
      </c>
      <c r="U61" t="s">
        <v>60</v>
      </c>
      <c r="V61">
        <v>1950</v>
      </c>
      <c r="AG61" s="10" t="s">
        <v>2936</v>
      </c>
      <c r="AH61" s="3">
        <v>42280</v>
      </c>
      <c r="AI61">
        <v>13000</v>
      </c>
      <c r="AJ61">
        <v>0</v>
      </c>
      <c r="AS61" t="s">
        <v>2932</v>
      </c>
      <c r="AT61" s="3">
        <v>42310</v>
      </c>
      <c r="AU61">
        <v>12740</v>
      </c>
      <c r="AV61">
        <v>0</v>
      </c>
      <c r="AW61">
        <v>260</v>
      </c>
      <c r="AX61">
        <v>0</v>
      </c>
      <c r="BQ61" t="s">
        <v>1457</v>
      </c>
      <c r="BR61" t="s">
        <v>2933</v>
      </c>
    </row>
    <row r="62" spans="1:74" x14ac:dyDescent="0.25">
      <c r="A62" s="10" t="s">
        <v>2937</v>
      </c>
      <c r="B62" s="3">
        <v>42265</v>
      </c>
      <c r="C62" t="s">
        <v>50</v>
      </c>
      <c r="D62" t="s">
        <v>2905</v>
      </c>
      <c r="E62" t="s">
        <v>50</v>
      </c>
      <c r="F62">
        <v>10000</v>
      </c>
      <c r="G62" t="s">
        <v>2938</v>
      </c>
      <c r="H62" s="3">
        <v>42265</v>
      </c>
      <c r="I62" t="s">
        <v>755</v>
      </c>
      <c r="J62">
        <v>9000</v>
      </c>
      <c r="K62" s="1"/>
      <c r="M62" s="3">
        <v>42265</v>
      </c>
      <c r="N62" t="s">
        <v>57</v>
      </c>
      <c r="P62" t="s">
        <v>56</v>
      </c>
      <c r="Q62">
        <v>7800</v>
      </c>
      <c r="R62" s="3">
        <v>42272</v>
      </c>
      <c r="S62" t="s">
        <v>57</v>
      </c>
      <c r="U62" t="s">
        <v>60</v>
      </c>
      <c r="V62">
        <v>970</v>
      </c>
      <c r="AG62" s="10" t="s">
        <v>2939</v>
      </c>
      <c r="AH62" s="3">
        <v>42280</v>
      </c>
      <c r="AI62">
        <v>10000</v>
      </c>
      <c r="AJ62">
        <v>0</v>
      </c>
      <c r="AS62" t="s">
        <v>2932</v>
      </c>
      <c r="AT62" s="3">
        <v>42310</v>
      </c>
      <c r="AU62">
        <v>9800</v>
      </c>
      <c r="AV62">
        <v>0</v>
      </c>
      <c r="AW62">
        <v>200</v>
      </c>
      <c r="AX62">
        <v>0</v>
      </c>
      <c r="BQ62" t="s">
        <v>1457</v>
      </c>
      <c r="BR62" t="s">
        <v>2933</v>
      </c>
    </row>
    <row r="63" spans="1:74" x14ac:dyDescent="0.25">
      <c r="A63" s="10" t="s">
        <v>2954</v>
      </c>
      <c r="B63" s="3">
        <v>42275</v>
      </c>
      <c r="C63" t="s">
        <v>50</v>
      </c>
      <c r="D63" t="s">
        <v>2955</v>
      </c>
      <c r="E63" t="s">
        <v>50</v>
      </c>
      <c r="F63">
        <v>9000</v>
      </c>
      <c r="G63" t="s">
        <v>2956</v>
      </c>
      <c r="H63" s="3">
        <v>42275</v>
      </c>
      <c r="I63" t="s">
        <v>2957</v>
      </c>
      <c r="J63">
        <v>8000</v>
      </c>
      <c r="K63" s="1"/>
      <c r="M63" s="3">
        <v>42275</v>
      </c>
      <c r="N63" t="s">
        <v>57</v>
      </c>
      <c r="P63" t="s">
        <v>56</v>
      </c>
      <c r="Q63">
        <v>6800</v>
      </c>
      <c r="R63" s="3">
        <v>42286</v>
      </c>
      <c r="S63" t="s">
        <v>57</v>
      </c>
      <c r="U63" t="s">
        <v>60</v>
      </c>
      <c r="V63">
        <v>970</v>
      </c>
      <c r="AG63" s="10" t="s">
        <v>2958</v>
      </c>
      <c r="AH63" s="3">
        <v>42290</v>
      </c>
      <c r="AI63">
        <v>9000</v>
      </c>
      <c r="AJ63">
        <v>0</v>
      </c>
      <c r="AS63" t="s">
        <v>2932</v>
      </c>
      <c r="AT63" s="3">
        <v>42310</v>
      </c>
      <c r="AU63">
        <v>8820</v>
      </c>
      <c r="AV63">
        <v>0</v>
      </c>
      <c r="AW63">
        <v>180</v>
      </c>
      <c r="AX63">
        <v>0</v>
      </c>
      <c r="BQ63" t="s">
        <v>1457</v>
      </c>
      <c r="BR63" t="s">
        <v>2933</v>
      </c>
    </row>
    <row r="64" spans="1:74" x14ac:dyDescent="0.25">
      <c r="A64" t="s">
        <v>2959</v>
      </c>
      <c r="B64" s="3">
        <v>42276</v>
      </c>
      <c r="C64" t="s">
        <v>50</v>
      </c>
      <c r="D64" t="s">
        <v>2922</v>
      </c>
      <c r="E64" t="s">
        <v>50</v>
      </c>
      <c r="F64">
        <v>14500</v>
      </c>
      <c r="G64" t="s">
        <v>2960</v>
      </c>
      <c r="H64" s="3">
        <v>42276</v>
      </c>
      <c r="I64" t="s">
        <v>230</v>
      </c>
      <c r="J64">
        <v>13000</v>
      </c>
      <c r="K64" s="1"/>
      <c r="M64" s="3">
        <v>42276</v>
      </c>
      <c r="N64" t="s">
        <v>57</v>
      </c>
      <c r="P64" t="s">
        <v>56</v>
      </c>
      <c r="Q64">
        <v>11200</v>
      </c>
      <c r="R64" s="3">
        <v>42304</v>
      </c>
      <c r="S64" t="s">
        <v>57</v>
      </c>
      <c r="U64" t="s">
        <v>60</v>
      </c>
      <c r="V64">
        <v>1450</v>
      </c>
      <c r="AG64" t="s">
        <v>2961</v>
      </c>
      <c r="AH64" s="3">
        <v>42315</v>
      </c>
      <c r="AI64">
        <v>14500</v>
      </c>
      <c r="AJ64">
        <v>0</v>
      </c>
      <c r="AS64" t="s">
        <v>2962</v>
      </c>
      <c r="AT64" s="3">
        <v>42380</v>
      </c>
      <c r="AU64">
        <v>14210</v>
      </c>
      <c r="AV64">
        <v>0</v>
      </c>
      <c r="AW64">
        <v>290</v>
      </c>
      <c r="AX64">
        <v>0</v>
      </c>
      <c r="BQ64" t="s">
        <v>72</v>
      </c>
      <c r="BR64" t="s">
        <v>2963</v>
      </c>
    </row>
    <row r="65" spans="1:72" x14ac:dyDescent="0.25">
      <c r="A65" s="10" t="s">
        <v>2964</v>
      </c>
      <c r="B65" s="3">
        <v>42277</v>
      </c>
      <c r="C65" t="s">
        <v>50</v>
      </c>
      <c r="D65" t="s">
        <v>2965</v>
      </c>
      <c r="E65" t="s">
        <v>50</v>
      </c>
      <c r="F65">
        <v>25900</v>
      </c>
      <c r="G65" t="s">
        <v>2966</v>
      </c>
      <c r="H65" s="3">
        <v>42277</v>
      </c>
      <c r="I65" t="s">
        <v>2967</v>
      </c>
      <c r="J65">
        <v>24000</v>
      </c>
      <c r="K65" s="1"/>
      <c r="M65" s="3">
        <v>42277</v>
      </c>
      <c r="N65" t="s">
        <v>57</v>
      </c>
      <c r="P65" t="s">
        <v>56</v>
      </c>
      <c r="Q65">
        <v>19600</v>
      </c>
      <c r="R65" s="3">
        <v>42284</v>
      </c>
      <c r="S65" t="s">
        <v>54</v>
      </c>
      <c r="U65" t="s">
        <v>60</v>
      </c>
      <c r="V65">
        <v>3900</v>
      </c>
      <c r="AG65" s="10" t="s">
        <v>2968</v>
      </c>
      <c r="AH65" s="3">
        <v>42290</v>
      </c>
      <c r="AI65">
        <v>25900</v>
      </c>
      <c r="AJ65">
        <v>0</v>
      </c>
      <c r="AS65" t="s">
        <v>2932</v>
      </c>
      <c r="AT65" s="3">
        <v>42310</v>
      </c>
      <c r="AU65">
        <v>25382</v>
      </c>
      <c r="AV65">
        <v>0</v>
      </c>
      <c r="AW65">
        <v>518</v>
      </c>
      <c r="AX65">
        <v>0</v>
      </c>
      <c r="BQ65" t="s">
        <v>1457</v>
      </c>
      <c r="BR65" t="s">
        <v>2933</v>
      </c>
    </row>
    <row r="66" spans="1:72" x14ac:dyDescent="0.25">
      <c r="A66" s="10" t="s">
        <v>2969</v>
      </c>
      <c r="B66" s="3">
        <v>42277</v>
      </c>
      <c r="C66" t="s">
        <v>50</v>
      </c>
      <c r="D66" t="s">
        <v>2965</v>
      </c>
      <c r="E66" t="s">
        <v>50</v>
      </c>
      <c r="F66">
        <v>23100</v>
      </c>
      <c r="G66" t="s">
        <v>2970</v>
      </c>
      <c r="H66" s="3">
        <v>42277</v>
      </c>
      <c r="I66" t="s">
        <v>1416</v>
      </c>
      <c r="J66">
        <v>21000</v>
      </c>
      <c r="K66" s="1"/>
      <c r="M66" s="3">
        <v>42277</v>
      </c>
      <c r="N66" t="s">
        <v>57</v>
      </c>
      <c r="P66" t="s">
        <v>56</v>
      </c>
      <c r="Q66">
        <v>16600</v>
      </c>
      <c r="R66" s="3">
        <v>42289</v>
      </c>
      <c r="S66" t="s">
        <v>54</v>
      </c>
      <c r="U66" t="s">
        <v>60</v>
      </c>
      <c r="V66">
        <v>3900</v>
      </c>
      <c r="AG66" s="10" t="s">
        <v>2971</v>
      </c>
      <c r="AH66" s="3">
        <v>42290</v>
      </c>
      <c r="AI66">
        <v>23100</v>
      </c>
      <c r="AJ66">
        <v>0</v>
      </c>
      <c r="AS66" t="s">
        <v>2932</v>
      </c>
      <c r="AT66" s="3">
        <v>42310</v>
      </c>
      <c r="AU66">
        <v>22638</v>
      </c>
      <c r="AV66">
        <v>0</v>
      </c>
      <c r="AW66">
        <v>462</v>
      </c>
      <c r="AX66">
        <v>0</v>
      </c>
      <c r="BQ66" t="s">
        <v>1457</v>
      </c>
      <c r="BR66" t="s">
        <v>2933</v>
      </c>
    </row>
    <row r="67" spans="1:72" x14ac:dyDescent="0.25">
      <c r="A67" s="10" t="s">
        <v>2972</v>
      </c>
      <c r="B67" s="3">
        <v>42277</v>
      </c>
      <c r="C67" t="s">
        <v>50</v>
      </c>
      <c r="D67" t="s">
        <v>2965</v>
      </c>
      <c r="E67" t="s">
        <v>50</v>
      </c>
      <c r="F67">
        <v>23100</v>
      </c>
      <c r="G67" t="s">
        <v>2973</v>
      </c>
      <c r="H67" s="3">
        <v>42277</v>
      </c>
      <c r="I67" t="s">
        <v>1416</v>
      </c>
      <c r="J67">
        <v>21000</v>
      </c>
      <c r="K67" s="1"/>
      <c r="M67" s="3">
        <v>42277</v>
      </c>
      <c r="N67" t="s">
        <v>57</v>
      </c>
      <c r="P67" t="s">
        <v>56</v>
      </c>
      <c r="Q67">
        <v>16600</v>
      </c>
      <c r="R67" s="3">
        <v>42289</v>
      </c>
      <c r="S67" t="s">
        <v>54</v>
      </c>
      <c r="U67" t="s">
        <v>60</v>
      </c>
      <c r="V67">
        <v>3900</v>
      </c>
      <c r="AG67" s="10" t="s">
        <v>2974</v>
      </c>
      <c r="AH67" s="3">
        <v>42290</v>
      </c>
      <c r="AI67">
        <v>23100</v>
      </c>
      <c r="AJ67">
        <v>0</v>
      </c>
      <c r="AS67" t="s">
        <v>2932</v>
      </c>
      <c r="AT67" s="3">
        <v>42310</v>
      </c>
      <c r="AU67">
        <v>22638</v>
      </c>
      <c r="AV67">
        <v>0</v>
      </c>
      <c r="AW67">
        <v>462</v>
      </c>
      <c r="AX67">
        <v>0</v>
      </c>
      <c r="BQ67" t="s">
        <v>1457</v>
      </c>
      <c r="BR67" t="s">
        <v>2933</v>
      </c>
    </row>
    <row r="68" spans="1:72" x14ac:dyDescent="0.25">
      <c r="A68" t="s">
        <v>2975</v>
      </c>
      <c r="B68" s="3">
        <v>42278</v>
      </c>
      <c r="C68" t="s">
        <v>50</v>
      </c>
      <c r="D68" t="s">
        <v>2965</v>
      </c>
      <c r="E68" t="s">
        <v>50</v>
      </c>
      <c r="F68">
        <v>46800</v>
      </c>
      <c r="G68" t="s">
        <v>2976</v>
      </c>
      <c r="H68" s="3">
        <v>42278</v>
      </c>
      <c r="I68" t="s">
        <v>2967</v>
      </c>
      <c r="J68">
        <v>45000</v>
      </c>
      <c r="K68" s="1"/>
      <c r="M68" s="3">
        <v>42278</v>
      </c>
      <c r="N68" t="s">
        <v>57</v>
      </c>
      <c r="P68" t="s">
        <v>56</v>
      </c>
      <c r="Q68">
        <v>34400</v>
      </c>
      <c r="R68" s="3">
        <v>42280</v>
      </c>
      <c r="S68" t="s">
        <v>57</v>
      </c>
      <c r="U68" t="s">
        <v>56</v>
      </c>
      <c r="V68">
        <v>5000</v>
      </c>
      <c r="W68" s="3">
        <v>42297</v>
      </c>
      <c r="X68" t="s">
        <v>54</v>
      </c>
      <c r="Z68" t="s">
        <v>60</v>
      </c>
      <c r="AA68">
        <v>4900</v>
      </c>
      <c r="AG68" t="s">
        <v>2977</v>
      </c>
      <c r="AH68" s="3">
        <v>42354</v>
      </c>
      <c r="AI68">
        <v>46800</v>
      </c>
      <c r="AJ68">
        <v>0</v>
      </c>
      <c r="AS68" t="s">
        <v>2978</v>
      </c>
      <c r="AT68" s="3">
        <v>42399</v>
      </c>
      <c r="AU68">
        <v>45864</v>
      </c>
      <c r="AV68">
        <v>0</v>
      </c>
      <c r="AW68">
        <v>936</v>
      </c>
      <c r="AX68">
        <v>0</v>
      </c>
      <c r="BQ68" t="s">
        <v>72</v>
      </c>
      <c r="BR68" t="s">
        <v>2979</v>
      </c>
    </row>
    <row r="69" spans="1:72" x14ac:dyDescent="0.25">
      <c r="A69" t="s">
        <v>2980</v>
      </c>
      <c r="B69" s="3">
        <v>42284</v>
      </c>
      <c r="C69" t="s">
        <v>50</v>
      </c>
      <c r="D69" t="s">
        <v>2947</v>
      </c>
      <c r="E69" t="s">
        <v>50</v>
      </c>
      <c r="F69">
        <v>0</v>
      </c>
      <c r="G69" t="s">
        <v>2981</v>
      </c>
      <c r="H69" s="3">
        <v>42284</v>
      </c>
      <c r="I69" t="s">
        <v>107</v>
      </c>
      <c r="J69">
        <v>19000</v>
      </c>
      <c r="K69" s="1"/>
      <c r="M69" s="3">
        <v>42284</v>
      </c>
      <c r="N69" t="s">
        <v>57</v>
      </c>
      <c r="P69" t="s">
        <v>56</v>
      </c>
      <c r="Q69">
        <v>16700</v>
      </c>
      <c r="R69" s="3">
        <v>42348</v>
      </c>
      <c r="S69" t="s">
        <v>54</v>
      </c>
      <c r="U69" t="s">
        <v>60</v>
      </c>
      <c r="V69">
        <v>1950</v>
      </c>
    </row>
    <row r="70" spans="1:72" x14ac:dyDescent="0.25">
      <c r="A70" s="4" t="s">
        <v>2982</v>
      </c>
      <c r="B70" s="3">
        <v>42286</v>
      </c>
      <c r="C70" t="s">
        <v>50</v>
      </c>
      <c r="D70" t="s">
        <v>2983</v>
      </c>
      <c r="E70" t="s">
        <v>50</v>
      </c>
      <c r="F70">
        <v>151500</v>
      </c>
      <c r="G70" t="s">
        <v>2984</v>
      </c>
      <c r="H70" s="3">
        <v>42286</v>
      </c>
      <c r="I70" t="s">
        <v>1211</v>
      </c>
      <c r="J70">
        <v>140000</v>
      </c>
      <c r="K70" s="1" t="s">
        <v>67</v>
      </c>
      <c r="M70" s="3">
        <v>42286</v>
      </c>
      <c r="N70" t="s">
        <v>54</v>
      </c>
      <c r="P70" t="s">
        <v>56</v>
      </c>
      <c r="Q70">
        <v>70000</v>
      </c>
      <c r="R70" s="3">
        <v>42286</v>
      </c>
      <c r="S70" t="s">
        <v>57</v>
      </c>
      <c r="U70" t="s">
        <v>56</v>
      </c>
      <c r="V70">
        <v>34100</v>
      </c>
      <c r="W70" s="3">
        <v>42287</v>
      </c>
      <c r="X70" t="s">
        <v>57</v>
      </c>
      <c r="Z70" t="s">
        <v>56</v>
      </c>
      <c r="AA70">
        <v>15000</v>
      </c>
      <c r="AB70" s="3">
        <v>42311</v>
      </c>
      <c r="AC70" t="s">
        <v>54</v>
      </c>
      <c r="AE70" t="s">
        <v>60</v>
      </c>
      <c r="AF70">
        <v>19800</v>
      </c>
      <c r="AG70" t="s">
        <v>2985</v>
      </c>
      <c r="AH70" s="3">
        <v>42332</v>
      </c>
      <c r="AI70">
        <v>151500</v>
      </c>
      <c r="AJ70">
        <v>51500</v>
      </c>
      <c r="AK70" s="5" t="s">
        <v>2986</v>
      </c>
      <c r="AL70" s="3">
        <v>42410</v>
      </c>
      <c r="AM70" s="5">
        <v>51500</v>
      </c>
      <c r="AN70">
        <v>51500</v>
      </c>
      <c r="AS70" t="s">
        <v>2978</v>
      </c>
      <c r="AT70" s="3">
        <v>42399</v>
      </c>
      <c r="AU70">
        <v>96970</v>
      </c>
      <c r="AV70">
        <v>0</v>
      </c>
      <c r="AW70">
        <v>3030</v>
      </c>
      <c r="AX70">
        <v>51500</v>
      </c>
      <c r="BQ70" t="s">
        <v>72</v>
      </c>
      <c r="BR70" t="s">
        <v>2979</v>
      </c>
    </row>
    <row r="71" spans="1:72" x14ac:dyDescent="0.25">
      <c r="A71" s="4" t="s">
        <v>2987</v>
      </c>
      <c r="B71" s="3">
        <v>42287</v>
      </c>
      <c r="C71" t="s">
        <v>50</v>
      </c>
      <c r="D71" t="s">
        <v>2983</v>
      </c>
      <c r="E71" t="s">
        <v>50</v>
      </c>
      <c r="F71">
        <v>202000</v>
      </c>
      <c r="G71" t="s">
        <v>2988</v>
      </c>
      <c r="H71" s="3">
        <v>42287</v>
      </c>
      <c r="I71" t="s">
        <v>2989</v>
      </c>
      <c r="J71">
        <v>185000</v>
      </c>
      <c r="K71" s="1" t="s">
        <v>67</v>
      </c>
      <c r="M71" s="3">
        <v>42287</v>
      </c>
      <c r="N71" t="s">
        <v>54</v>
      </c>
      <c r="P71" t="s">
        <v>56</v>
      </c>
      <c r="Q71">
        <v>105000</v>
      </c>
      <c r="R71" s="3">
        <v>42287</v>
      </c>
      <c r="S71" t="s">
        <v>57</v>
      </c>
      <c r="U71" t="s">
        <v>56</v>
      </c>
      <c r="V71">
        <v>34000</v>
      </c>
      <c r="W71" s="3">
        <v>42289</v>
      </c>
      <c r="X71" t="s">
        <v>57</v>
      </c>
      <c r="Z71" t="s">
        <v>56</v>
      </c>
      <c r="AA71">
        <v>16000</v>
      </c>
      <c r="AB71" s="3">
        <v>42311</v>
      </c>
      <c r="AC71" t="s">
        <v>54</v>
      </c>
      <c r="AE71" t="s">
        <v>60</v>
      </c>
      <c r="AF71">
        <v>28800</v>
      </c>
      <c r="AG71" t="s">
        <v>2990</v>
      </c>
      <c r="AH71" s="3">
        <v>42315</v>
      </c>
      <c r="AI71">
        <v>202000</v>
      </c>
      <c r="AJ71">
        <v>17000</v>
      </c>
      <c r="AK71" s="5" t="s">
        <v>2991</v>
      </c>
      <c r="AL71" s="3">
        <v>42410</v>
      </c>
      <c r="AM71" s="5">
        <v>17000</v>
      </c>
      <c r="AN71">
        <v>17000</v>
      </c>
      <c r="AS71" t="s">
        <v>2978</v>
      </c>
      <c r="AT71" s="3">
        <v>42399</v>
      </c>
      <c r="AU71">
        <v>180960</v>
      </c>
      <c r="AV71">
        <v>0</v>
      </c>
      <c r="AW71">
        <v>4040</v>
      </c>
      <c r="AX71">
        <v>17000</v>
      </c>
      <c r="BQ71" t="s">
        <v>72</v>
      </c>
      <c r="BR71" t="s">
        <v>2979</v>
      </c>
    </row>
    <row r="72" spans="1:72" x14ac:dyDescent="0.25">
      <c r="A72" s="4" t="s">
        <v>2992</v>
      </c>
      <c r="B72" s="3">
        <v>42292</v>
      </c>
      <c r="C72" t="s">
        <v>50</v>
      </c>
      <c r="D72" t="s">
        <v>2955</v>
      </c>
      <c r="E72" t="s">
        <v>50</v>
      </c>
      <c r="F72">
        <v>24000</v>
      </c>
      <c r="G72" t="s">
        <v>2993</v>
      </c>
      <c r="H72" s="3">
        <v>42292</v>
      </c>
      <c r="I72" t="s">
        <v>1211</v>
      </c>
      <c r="J72">
        <v>22000</v>
      </c>
      <c r="K72" s="1" t="s">
        <v>67</v>
      </c>
      <c r="M72" s="3">
        <v>42293</v>
      </c>
      <c r="N72" t="s">
        <v>57</v>
      </c>
      <c r="P72" t="s">
        <v>56</v>
      </c>
      <c r="Q72">
        <v>17400</v>
      </c>
      <c r="R72" s="3">
        <v>42315</v>
      </c>
      <c r="S72" t="s">
        <v>54</v>
      </c>
      <c r="U72" t="s">
        <v>60</v>
      </c>
      <c r="V72">
        <v>3900</v>
      </c>
      <c r="AG72" t="s">
        <v>2994</v>
      </c>
      <c r="AH72" s="3">
        <v>42324</v>
      </c>
      <c r="AI72">
        <v>24000</v>
      </c>
      <c r="AJ72">
        <v>4000</v>
      </c>
      <c r="AK72" s="5" t="s">
        <v>2995</v>
      </c>
      <c r="AL72" s="3">
        <v>42410</v>
      </c>
      <c r="AM72" s="5">
        <v>4000</v>
      </c>
      <c r="AN72">
        <v>0</v>
      </c>
      <c r="AS72" t="s">
        <v>2978</v>
      </c>
      <c r="AT72" s="3">
        <v>42399</v>
      </c>
      <c r="AU72">
        <v>19520</v>
      </c>
      <c r="AV72">
        <v>0</v>
      </c>
      <c r="AW72">
        <v>480</v>
      </c>
      <c r="AX72">
        <v>4000</v>
      </c>
      <c r="AY72" t="s">
        <v>2996</v>
      </c>
      <c r="AZ72" s="3">
        <v>42578</v>
      </c>
      <c r="BA72">
        <v>4000</v>
      </c>
      <c r="BB72">
        <v>0</v>
      </c>
      <c r="BC72">
        <v>0</v>
      </c>
      <c r="BD72">
        <v>0</v>
      </c>
      <c r="BQ72" t="s">
        <v>72</v>
      </c>
      <c r="BR72" t="s">
        <v>2979</v>
      </c>
      <c r="BS72" t="s">
        <v>72</v>
      </c>
      <c r="BT72" t="s">
        <v>2997</v>
      </c>
    </row>
    <row r="73" spans="1:72" x14ac:dyDescent="0.25">
      <c r="A73" t="s">
        <v>2998</v>
      </c>
      <c r="B73" s="3">
        <v>42295</v>
      </c>
      <c r="C73" t="s">
        <v>50</v>
      </c>
      <c r="D73" t="s">
        <v>2999</v>
      </c>
      <c r="E73" t="s">
        <v>50</v>
      </c>
      <c r="F73">
        <v>101000</v>
      </c>
      <c r="G73" t="s">
        <v>3000</v>
      </c>
      <c r="H73" s="3">
        <v>42295</v>
      </c>
      <c r="I73" t="s">
        <v>3001</v>
      </c>
      <c r="J73">
        <v>92000</v>
      </c>
      <c r="K73" s="1"/>
      <c r="M73" s="3">
        <v>42296</v>
      </c>
      <c r="N73" t="s">
        <v>54</v>
      </c>
      <c r="P73" t="s">
        <v>56</v>
      </c>
      <c r="Q73">
        <v>56200</v>
      </c>
      <c r="R73" s="3">
        <v>42296</v>
      </c>
      <c r="S73" t="s">
        <v>57</v>
      </c>
      <c r="U73" t="s">
        <v>56</v>
      </c>
      <c r="V73">
        <v>20000</v>
      </c>
      <c r="W73" s="3">
        <v>42314</v>
      </c>
      <c r="X73" t="s">
        <v>54</v>
      </c>
      <c r="Z73" t="s">
        <v>60</v>
      </c>
      <c r="AA73">
        <v>14800</v>
      </c>
      <c r="AG73" t="s">
        <v>3002</v>
      </c>
      <c r="AH73" s="3">
        <v>42315</v>
      </c>
      <c r="AI73">
        <v>101000</v>
      </c>
      <c r="AJ73">
        <v>0</v>
      </c>
      <c r="AS73" t="s">
        <v>3003</v>
      </c>
      <c r="AT73" s="3">
        <v>42770</v>
      </c>
      <c r="AU73">
        <v>100748</v>
      </c>
      <c r="AV73">
        <v>0</v>
      </c>
      <c r="AW73">
        <v>252</v>
      </c>
      <c r="AX73">
        <v>0</v>
      </c>
      <c r="BQ73" t="s">
        <v>72</v>
      </c>
      <c r="BR73" t="s">
        <v>3004</v>
      </c>
    </row>
    <row r="74" spans="1:72" x14ac:dyDescent="0.25">
      <c r="A74" t="s">
        <v>3005</v>
      </c>
      <c r="B74" s="3">
        <v>42295</v>
      </c>
      <c r="C74" t="s">
        <v>50</v>
      </c>
      <c r="D74" t="s">
        <v>2983</v>
      </c>
      <c r="E74" t="s">
        <v>50</v>
      </c>
      <c r="F74">
        <v>0</v>
      </c>
      <c r="K74" s="1"/>
      <c r="AG74" t="s">
        <v>3002</v>
      </c>
      <c r="AH74" s="3">
        <v>42315</v>
      </c>
      <c r="AI74">
        <v>0</v>
      </c>
      <c r="AJ74">
        <v>0</v>
      </c>
      <c r="AS74" t="s">
        <v>3003</v>
      </c>
      <c r="AT74" s="3">
        <v>42770</v>
      </c>
      <c r="AU74">
        <v>100748</v>
      </c>
      <c r="AV74">
        <v>0</v>
      </c>
      <c r="AW74">
        <v>252</v>
      </c>
      <c r="AX74">
        <v>0</v>
      </c>
      <c r="BQ74" t="s">
        <v>72</v>
      </c>
      <c r="BR74" t="s">
        <v>3004</v>
      </c>
    </row>
    <row r="75" spans="1:72" x14ac:dyDescent="0.25">
      <c r="A75" t="s">
        <v>3006</v>
      </c>
      <c r="B75" s="3">
        <v>42296</v>
      </c>
      <c r="C75" t="s">
        <v>50</v>
      </c>
      <c r="D75" t="s">
        <v>2965</v>
      </c>
      <c r="E75" t="s">
        <v>50</v>
      </c>
      <c r="F75">
        <v>24000</v>
      </c>
      <c r="G75" t="s">
        <v>3007</v>
      </c>
      <c r="H75" s="3">
        <v>42296</v>
      </c>
      <c r="I75" t="s">
        <v>2967</v>
      </c>
      <c r="J75">
        <v>22000</v>
      </c>
      <c r="K75" s="1"/>
      <c r="M75" s="3">
        <v>42297</v>
      </c>
      <c r="N75" t="s">
        <v>57</v>
      </c>
      <c r="P75" t="s">
        <v>56</v>
      </c>
      <c r="Q75">
        <v>18400</v>
      </c>
      <c r="R75" s="3">
        <v>42311</v>
      </c>
      <c r="S75" t="s">
        <v>54</v>
      </c>
      <c r="U75" t="s">
        <v>60</v>
      </c>
      <c r="V75">
        <v>2900</v>
      </c>
      <c r="AG75" t="s">
        <v>3008</v>
      </c>
      <c r="AH75" s="3">
        <v>42315</v>
      </c>
      <c r="AI75">
        <v>24000</v>
      </c>
      <c r="AJ75">
        <v>0</v>
      </c>
      <c r="AS75" t="s">
        <v>3009</v>
      </c>
      <c r="AT75" s="3">
        <v>42380</v>
      </c>
      <c r="AU75">
        <v>23520</v>
      </c>
      <c r="AV75">
        <v>0</v>
      </c>
      <c r="AW75">
        <v>480</v>
      </c>
      <c r="AX75">
        <v>0</v>
      </c>
      <c r="BQ75" t="s">
        <v>72</v>
      </c>
      <c r="BR75" t="s">
        <v>2963</v>
      </c>
    </row>
    <row r="76" spans="1:72" x14ac:dyDescent="0.25">
      <c r="A76" t="s">
        <v>3010</v>
      </c>
      <c r="B76" s="3">
        <v>42306</v>
      </c>
      <c r="C76" t="s">
        <v>50</v>
      </c>
      <c r="D76" t="s">
        <v>2983</v>
      </c>
      <c r="E76" t="s">
        <v>50</v>
      </c>
      <c r="F76">
        <v>33000</v>
      </c>
      <c r="G76" t="s">
        <v>3011</v>
      </c>
      <c r="H76" s="3">
        <v>42306</v>
      </c>
      <c r="I76" t="s">
        <v>3012</v>
      </c>
      <c r="J76">
        <v>31000</v>
      </c>
      <c r="K76" s="1"/>
      <c r="M76" s="3">
        <v>42306</v>
      </c>
      <c r="N76" t="s">
        <v>57</v>
      </c>
      <c r="P76" t="s">
        <v>56</v>
      </c>
      <c r="Q76">
        <v>27700</v>
      </c>
      <c r="R76" s="3">
        <v>42321</v>
      </c>
      <c r="S76" t="s">
        <v>54</v>
      </c>
      <c r="U76" t="s">
        <v>60</v>
      </c>
      <c r="V76">
        <v>2950</v>
      </c>
      <c r="AG76" t="s">
        <v>3013</v>
      </c>
      <c r="AH76" s="3">
        <v>42332</v>
      </c>
      <c r="AI76">
        <v>31000</v>
      </c>
      <c r="AJ76">
        <v>0</v>
      </c>
      <c r="AS76" t="s">
        <v>3014</v>
      </c>
      <c r="AT76" s="3">
        <v>42324</v>
      </c>
      <c r="AU76">
        <v>2000</v>
      </c>
      <c r="AV76">
        <v>0</v>
      </c>
      <c r="AW76">
        <v>0</v>
      </c>
      <c r="AX76">
        <v>0</v>
      </c>
      <c r="AY76" t="s">
        <v>2978</v>
      </c>
      <c r="AZ76" s="3">
        <v>42399</v>
      </c>
      <c r="BA76">
        <v>30380</v>
      </c>
      <c r="BB76">
        <v>0</v>
      </c>
      <c r="BC76">
        <v>620</v>
      </c>
      <c r="BD76">
        <v>0</v>
      </c>
      <c r="BQ76" t="s">
        <v>1419</v>
      </c>
      <c r="BS76" t="s">
        <v>72</v>
      </c>
      <c r="BT76" t="s">
        <v>2979</v>
      </c>
    </row>
    <row r="77" spans="1:72" x14ac:dyDescent="0.25">
      <c r="A77" t="s">
        <v>3015</v>
      </c>
      <c r="B77" s="3">
        <v>42308</v>
      </c>
      <c r="C77" t="s">
        <v>50</v>
      </c>
      <c r="D77" t="s">
        <v>3016</v>
      </c>
      <c r="E77" t="s">
        <v>50</v>
      </c>
      <c r="F77">
        <v>11000</v>
      </c>
      <c r="G77" t="s">
        <v>3017</v>
      </c>
      <c r="H77" s="3">
        <v>42308</v>
      </c>
      <c r="I77" t="s">
        <v>230</v>
      </c>
      <c r="J77">
        <v>10000</v>
      </c>
      <c r="K77" s="1"/>
      <c r="M77" s="3">
        <v>42308</v>
      </c>
      <c r="N77" t="s">
        <v>57</v>
      </c>
      <c r="P77" t="s">
        <v>56</v>
      </c>
      <c r="Q77">
        <v>8800</v>
      </c>
      <c r="R77" s="3">
        <v>42325</v>
      </c>
      <c r="S77" t="s">
        <v>57</v>
      </c>
      <c r="U77" t="s">
        <v>60</v>
      </c>
      <c r="V77">
        <v>950</v>
      </c>
      <c r="AG77" t="s">
        <v>3018</v>
      </c>
      <c r="AH77" s="3">
        <v>42332</v>
      </c>
      <c r="AI77">
        <v>11000</v>
      </c>
      <c r="AJ77">
        <v>0</v>
      </c>
      <c r="AS77" t="s">
        <v>2978</v>
      </c>
      <c r="AT77" s="3">
        <v>42399</v>
      </c>
      <c r="AU77">
        <v>10780</v>
      </c>
      <c r="AV77">
        <v>0</v>
      </c>
      <c r="AW77">
        <v>220</v>
      </c>
      <c r="AX77">
        <v>0</v>
      </c>
      <c r="BQ77" t="s">
        <v>72</v>
      </c>
      <c r="BR77" t="s">
        <v>2979</v>
      </c>
    </row>
    <row r="78" spans="1:72" x14ac:dyDescent="0.25">
      <c r="A78" t="s">
        <v>3019</v>
      </c>
      <c r="B78" s="3">
        <v>42308</v>
      </c>
      <c r="C78" t="s">
        <v>50</v>
      </c>
      <c r="D78" t="s">
        <v>2965</v>
      </c>
      <c r="E78" t="s">
        <v>50</v>
      </c>
      <c r="F78">
        <v>16500</v>
      </c>
      <c r="G78" t="s">
        <v>3020</v>
      </c>
      <c r="H78" s="3">
        <v>42308</v>
      </c>
      <c r="I78" t="s">
        <v>2957</v>
      </c>
      <c r="J78">
        <v>15000</v>
      </c>
      <c r="K78" s="1"/>
      <c r="M78" s="3">
        <v>42308</v>
      </c>
      <c r="N78" t="s">
        <v>57</v>
      </c>
      <c r="P78" t="s">
        <v>56</v>
      </c>
      <c r="Q78">
        <v>10700</v>
      </c>
      <c r="R78" s="3">
        <v>42332</v>
      </c>
      <c r="S78" t="s">
        <v>54</v>
      </c>
      <c r="U78" t="s">
        <v>60</v>
      </c>
      <c r="V78">
        <v>3650</v>
      </c>
      <c r="AG78" t="s">
        <v>3021</v>
      </c>
      <c r="AH78" s="3">
        <v>42352</v>
      </c>
      <c r="AI78">
        <v>16500</v>
      </c>
      <c r="AJ78">
        <v>0</v>
      </c>
      <c r="AS78" t="s">
        <v>2978</v>
      </c>
      <c r="AT78" s="3">
        <v>42399</v>
      </c>
      <c r="AU78">
        <v>16170</v>
      </c>
      <c r="AV78">
        <v>0</v>
      </c>
      <c r="AW78">
        <v>330</v>
      </c>
      <c r="AX78">
        <v>0</v>
      </c>
      <c r="BQ78" t="s">
        <v>72</v>
      </c>
      <c r="BR78" t="s">
        <v>2979</v>
      </c>
    </row>
    <row r="79" spans="1:72" x14ac:dyDescent="0.25">
      <c r="A79" t="s">
        <v>3022</v>
      </c>
      <c r="B79" s="3">
        <v>42308</v>
      </c>
      <c r="C79" t="s">
        <v>50</v>
      </c>
      <c r="D79" t="s">
        <v>2965</v>
      </c>
      <c r="E79" t="s">
        <v>50</v>
      </c>
      <c r="F79">
        <v>16500</v>
      </c>
      <c r="G79" t="s">
        <v>3023</v>
      </c>
      <c r="H79" s="3">
        <v>42308</v>
      </c>
      <c r="I79" t="s">
        <v>107</v>
      </c>
      <c r="J79">
        <v>15000</v>
      </c>
      <c r="K79" s="1"/>
      <c r="M79" s="3">
        <v>42308</v>
      </c>
      <c r="N79" t="s">
        <v>57</v>
      </c>
      <c r="P79" t="s">
        <v>56</v>
      </c>
      <c r="Q79">
        <v>10700</v>
      </c>
      <c r="R79" s="3">
        <v>42325</v>
      </c>
      <c r="S79" t="s">
        <v>54</v>
      </c>
      <c r="U79" t="s">
        <v>60</v>
      </c>
      <c r="V79">
        <v>3950</v>
      </c>
      <c r="AG79" t="s">
        <v>3024</v>
      </c>
      <c r="AH79" s="3">
        <v>42352</v>
      </c>
      <c r="AI79">
        <v>16500</v>
      </c>
      <c r="AJ79">
        <v>0</v>
      </c>
      <c r="AS79" t="s">
        <v>2978</v>
      </c>
      <c r="AT79" s="3">
        <v>42399</v>
      </c>
      <c r="AU79">
        <v>16170</v>
      </c>
      <c r="AV79">
        <v>0</v>
      </c>
      <c r="AW79">
        <v>330</v>
      </c>
      <c r="AX79">
        <v>0</v>
      </c>
      <c r="BQ79" t="s">
        <v>72</v>
      </c>
      <c r="BR79" t="s">
        <v>2979</v>
      </c>
    </row>
    <row r="80" spans="1:72" x14ac:dyDescent="0.25">
      <c r="A80" t="s">
        <v>3025</v>
      </c>
      <c r="B80" s="3">
        <v>42309</v>
      </c>
      <c r="C80" t="s">
        <v>50</v>
      </c>
      <c r="D80" t="s">
        <v>2965</v>
      </c>
      <c r="E80" t="s">
        <v>50</v>
      </c>
      <c r="F80">
        <v>11000</v>
      </c>
      <c r="G80" t="s">
        <v>3026</v>
      </c>
      <c r="H80" s="3">
        <v>42309</v>
      </c>
      <c r="I80" t="s">
        <v>230</v>
      </c>
      <c r="J80">
        <v>10000</v>
      </c>
      <c r="K80" s="1"/>
      <c r="M80" s="3">
        <v>42310</v>
      </c>
      <c r="N80" t="s">
        <v>57</v>
      </c>
      <c r="P80" t="s">
        <v>56</v>
      </c>
      <c r="Q80">
        <v>8700</v>
      </c>
      <c r="R80" s="3">
        <v>42383</v>
      </c>
      <c r="S80" t="s">
        <v>57</v>
      </c>
      <c r="U80" t="s">
        <v>60</v>
      </c>
      <c r="V80">
        <v>950</v>
      </c>
      <c r="AG80" t="s">
        <v>3027</v>
      </c>
      <c r="AH80" s="3">
        <v>42389</v>
      </c>
      <c r="AI80">
        <v>11000</v>
      </c>
      <c r="AJ80">
        <v>0</v>
      </c>
      <c r="AS80" t="s">
        <v>3003</v>
      </c>
      <c r="AT80" s="3">
        <v>42770</v>
      </c>
      <c r="AU80">
        <v>10972</v>
      </c>
      <c r="AV80">
        <v>0</v>
      </c>
      <c r="AW80">
        <v>28</v>
      </c>
      <c r="AX80">
        <v>0</v>
      </c>
      <c r="BQ80" t="s">
        <v>72</v>
      </c>
      <c r="BR80" t="s">
        <v>3004</v>
      </c>
    </row>
    <row r="81" spans="1:70" x14ac:dyDescent="0.25">
      <c r="A81" t="s">
        <v>3028</v>
      </c>
      <c r="B81" s="3">
        <v>42309</v>
      </c>
      <c r="C81" t="s">
        <v>50</v>
      </c>
      <c r="D81" t="s">
        <v>2965</v>
      </c>
      <c r="E81" t="s">
        <v>50</v>
      </c>
      <c r="F81">
        <v>26500</v>
      </c>
      <c r="G81" t="s">
        <v>3029</v>
      </c>
      <c r="H81" s="3">
        <v>42309</v>
      </c>
      <c r="I81" t="s">
        <v>3030</v>
      </c>
      <c r="J81">
        <v>25000</v>
      </c>
      <c r="K81" s="1"/>
      <c r="M81" s="3">
        <v>42310</v>
      </c>
      <c r="N81" t="s">
        <v>57</v>
      </c>
      <c r="P81" t="s">
        <v>56</v>
      </c>
      <c r="Q81">
        <v>18600</v>
      </c>
      <c r="R81" s="3">
        <v>42335</v>
      </c>
      <c r="S81" t="s">
        <v>54</v>
      </c>
      <c r="U81" t="s">
        <v>60</v>
      </c>
      <c r="V81">
        <v>5900</v>
      </c>
      <c r="AG81" t="s">
        <v>3031</v>
      </c>
      <c r="AH81" s="3">
        <v>42352</v>
      </c>
      <c r="AI81">
        <v>26500</v>
      </c>
      <c r="AJ81">
        <v>0</v>
      </c>
      <c r="AS81" t="s">
        <v>2978</v>
      </c>
      <c r="AT81" s="3">
        <v>42399</v>
      </c>
      <c r="AU81">
        <v>25970</v>
      </c>
      <c r="AV81">
        <v>0</v>
      </c>
      <c r="AW81">
        <v>530</v>
      </c>
      <c r="AX81">
        <v>0</v>
      </c>
      <c r="BQ81" t="s">
        <v>72</v>
      </c>
      <c r="BR81" t="s">
        <v>2979</v>
      </c>
    </row>
    <row r="82" spans="1:70" x14ac:dyDescent="0.25">
      <c r="A82" t="s">
        <v>3032</v>
      </c>
      <c r="B82" s="3">
        <v>42312</v>
      </c>
      <c r="C82" t="s">
        <v>50</v>
      </c>
      <c r="D82" t="s">
        <v>3033</v>
      </c>
      <c r="E82" t="s">
        <v>50</v>
      </c>
      <c r="F82">
        <v>8500</v>
      </c>
      <c r="G82" t="s">
        <v>3034</v>
      </c>
      <c r="H82" s="3">
        <v>42312</v>
      </c>
      <c r="I82" t="s">
        <v>230</v>
      </c>
      <c r="J82">
        <v>7500</v>
      </c>
      <c r="K82" s="1"/>
      <c r="M82" s="3">
        <v>42312</v>
      </c>
      <c r="N82" t="s">
        <v>57</v>
      </c>
      <c r="P82" t="s">
        <v>56</v>
      </c>
      <c r="Q82">
        <v>6300</v>
      </c>
      <c r="R82" s="3">
        <v>42325</v>
      </c>
      <c r="S82" t="s">
        <v>57</v>
      </c>
      <c r="U82" t="s">
        <v>60</v>
      </c>
      <c r="V82">
        <v>950</v>
      </c>
      <c r="AG82" t="s">
        <v>3035</v>
      </c>
      <c r="AH82" s="3">
        <v>42332</v>
      </c>
      <c r="AI82">
        <v>8500</v>
      </c>
      <c r="AJ82">
        <v>0</v>
      </c>
      <c r="AS82" t="s">
        <v>2978</v>
      </c>
      <c r="AT82" s="3">
        <v>42399</v>
      </c>
      <c r="AU82">
        <v>8330</v>
      </c>
      <c r="AV82">
        <v>0</v>
      </c>
      <c r="AW82">
        <v>170</v>
      </c>
      <c r="AX82">
        <v>0</v>
      </c>
      <c r="BQ82" t="s">
        <v>72</v>
      </c>
      <c r="BR82" t="s">
        <v>2979</v>
      </c>
    </row>
    <row r="83" spans="1:70" x14ac:dyDescent="0.25">
      <c r="A83" t="s">
        <v>3051</v>
      </c>
      <c r="B83" s="3">
        <v>42326</v>
      </c>
      <c r="C83" t="s">
        <v>50</v>
      </c>
      <c r="D83" t="s">
        <v>3052</v>
      </c>
      <c r="E83" t="s">
        <v>50</v>
      </c>
      <c r="F83">
        <v>53000</v>
      </c>
      <c r="G83" t="s">
        <v>3053</v>
      </c>
      <c r="H83" s="3">
        <v>42326</v>
      </c>
      <c r="I83" t="s">
        <v>107</v>
      </c>
      <c r="J83">
        <v>50000</v>
      </c>
      <c r="K83" s="1"/>
      <c r="M83" s="3">
        <v>42327</v>
      </c>
      <c r="N83" t="s">
        <v>57</v>
      </c>
      <c r="P83" t="s">
        <v>56</v>
      </c>
      <c r="Q83">
        <v>29300</v>
      </c>
      <c r="R83" s="3">
        <v>42343</v>
      </c>
      <c r="S83" t="s">
        <v>54</v>
      </c>
      <c r="U83" t="s">
        <v>60</v>
      </c>
      <c r="V83">
        <v>19700</v>
      </c>
      <c r="AG83" t="s">
        <v>3054</v>
      </c>
      <c r="AH83" s="3">
        <v>42352</v>
      </c>
      <c r="AI83">
        <v>53000</v>
      </c>
      <c r="AJ83">
        <v>0</v>
      </c>
      <c r="AS83" t="s">
        <v>3055</v>
      </c>
      <c r="AT83" s="3">
        <v>42433</v>
      </c>
      <c r="AU83">
        <v>53000</v>
      </c>
      <c r="AV83">
        <v>0</v>
      </c>
      <c r="AW83">
        <v>0</v>
      </c>
      <c r="AX83">
        <v>0</v>
      </c>
      <c r="BQ83" t="s">
        <v>1457</v>
      </c>
      <c r="BR83" t="s">
        <v>3056</v>
      </c>
    </row>
    <row r="84" spans="1:70" x14ac:dyDescent="0.25">
      <c r="A84" t="s">
        <v>3057</v>
      </c>
      <c r="B84" s="3">
        <v>42327</v>
      </c>
      <c r="C84" t="s">
        <v>50</v>
      </c>
      <c r="D84" t="s">
        <v>3052</v>
      </c>
      <c r="E84" t="s">
        <v>50</v>
      </c>
      <c r="F84">
        <v>23500</v>
      </c>
      <c r="G84" t="s">
        <v>3058</v>
      </c>
      <c r="H84" s="3">
        <v>42327</v>
      </c>
      <c r="I84" t="s">
        <v>107</v>
      </c>
      <c r="J84">
        <v>20000</v>
      </c>
      <c r="K84" s="1"/>
      <c r="M84" s="3">
        <v>42327</v>
      </c>
      <c r="N84" t="s">
        <v>57</v>
      </c>
      <c r="P84" t="s">
        <v>56</v>
      </c>
      <c r="Q84">
        <v>16700</v>
      </c>
      <c r="R84" s="3">
        <v>42343</v>
      </c>
      <c r="S84" t="s">
        <v>54</v>
      </c>
      <c r="U84" t="s">
        <v>60</v>
      </c>
      <c r="V84">
        <v>2950</v>
      </c>
      <c r="AG84" t="s">
        <v>3059</v>
      </c>
      <c r="AH84" s="3">
        <v>42361</v>
      </c>
      <c r="AI84">
        <v>23500</v>
      </c>
      <c r="AJ84">
        <v>0</v>
      </c>
      <c r="AS84" t="s">
        <v>3055</v>
      </c>
      <c r="AT84" s="3">
        <v>42433</v>
      </c>
      <c r="AU84">
        <v>23500</v>
      </c>
      <c r="AV84">
        <v>0</v>
      </c>
      <c r="AW84">
        <v>0</v>
      </c>
      <c r="AX84">
        <v>0</v>
      </c>
      <c r="BQ84" t="s">
        <v>1457</v>
      </c>
      <c r="BR84" t="s">
        <v>3056</v>
      </c>
    </row>
    <row r="85" spans="1:70" x14ac:dyDescent="0.25">
      <c r="A85" t="s">
        <v>3060</v>
      </c>
      <c r="B85" s="3">
        <v>42327</v>
      </c>
      <c r="C85" t="s">
        <v>50</v>
      </c>
      <c r="D85" t="s">
        <v>3052</v>
      </c>
      <c r="E85" t="s">
        <v>50</v>
      </c>
      <c r="F85">
        <v>16400</v>
      </c>
      <c r="G85" t="s">
        <v>3061</v>
      </c>
      <c r="H85" s="3">
        <v>42327</v>
      </c>
      <c r="I85" t="s">
        <v>107</v>
      </c>
      <c r="J85">
        <v>13500</v>
      </c>
      <c r="K85" s="1"/>
      <c r="M85" s="3">
        <v>42327</v>
      </c>
      <c r="N85" t="s">
        <v>57</v>
      </c>
      <c r="P85" t="s">
        <v>56</v>
      </c>
      <c r="Q85">
        <v>11700</v>
      </c>
      <c r="R85" s="3">
        <v>42343</v>
      </c>
      <c r="S85" t="s">
        <v>54</v>
      </c>
      <c r="U85" t="s">
        <v>60</v>
      </c>
      <c r="V85">
        <v>1450</v>
      </c>
      <c r="AG85" t="s">
        <v>3062</v>
      </c>
      <c r="AH85" s="3">
        <v>42361</v>
      </c>
      <c r="AI85">
        <v>16400</v>
      </c>
      <c r="AJ85">
        <v>0</v>
      </c>
      <c r="AS85" t="s">
        <v>3055</v>
      </c>
      <c r="AT85" s="3">
        <v>42433</v>
      </c>
      <c r="AU85">
        <v>16400</v>
      </c>
      <c r="AV85">
        <v>0</v>
      </c>
      <c r="AW85">
        <v>0</v>
      </c>
      <c r="AX85">
        <v>0</v>
      </c>
      <c r="BQ85" t="s">
        <v>1457</v>
      </c>
      <c r="BR85" t="s">
        <v>3056</v>
      </c>
    </row>
    <row r="86" spans="1:70" x14ac:dyDescent="0.25">
      <c r="A86" t="s">
        <v>3063</v>
      </c>
      <c r="B86" s="3">
        <v>42327</v>
      </c>
      <c r="C86" t="s">
        <v>50</v>
      </c>
      <c r="D86" t="s">
        <v>3052</v>
      </c>
      <c r="E86" t="s">
        <v>50</v>
      </c>
      <c r="F86">
        <v>40500</v>
      </c>
      <c r="G86" t="s">
        <v>3064</v>
      </c>
      <c r="H86" s="3">
        <v>42327</v>
      </c>
      <c r="I86" t="s">
        <v>107</v>
      </c>
      <c r="J86">
        <v>33000</v>
      </c>
      <c r="K86" s="1"/>
      <c r="M86" s="3">
        <v>42327</v>
      </c>
      <c r="N86" t="s">
        <v>57</v>
      </c>
      <c r="P86" t="s">
        <v>56</v>
      </c>
      <c r="Q86">
        <v>13000</v>
      </c>
      <c r="R86" s="3">
        <v>42328</v>
      </c>
      <c r="S86" t="s">
        <v>54</v>
      </c>
      <c r="U86" t="s">
        <v>56</v>
      </c>
      <c r="V86">
        <v>15500</v>
      </c>
      <c r="W86" s="3">
        <v>42335</v>
      </c>
      <c r="X86" t="s">
        <v>54</v>
      </c>
      <c r="Z86" t="s">
        <v>60</v>
      </c>
      <c r="AA86">
        <v>3240</v>
      </c>
      <c r="AG86" t="s">
        <v>3065</v>
      </c>
      <c r="AH86" s="3">
        <v>42361</v>
      </c>
      <c r="AI86">
        <v>40500</v>
      </c>
      <c r="AJ86">
        <v>0</v>
      </c>
      <c r="AS86" t="s">
        <v>3055</v>
      </c>
      <c r="AT86" s="3">
        <v>42433</v>
      </c>
      <c r="AU86">
        <v>40500</v>
      </c>
      <c r="AV86">
        <v>0</v>
      </c>
      <c r="AW86">
        <v>0</v>
      </c>
      <c r="AX86">
        <v>0</v>
      </c>
      <c r="BQ86" t="s">
        <v>1457</v>
      </c>
      <c r="BR86" t="s">
        <v>3056</v>
      </c>
    </row>
    <row r="87" spans="1:70" x14ac:dyDescent="0.25">
      <c r="A87" t="s">
        <v>3066</v>
      </c>
      <c r="B87" s="3">
        <v>42328</v>
      </c>
      <c r="C87" t="s">
        <v>50</v>
      </c>
      <c r="D87" t="s">
        <v>3052</v>
      </c>
      <c r="E87" t="s">
        <v>50</v>
      </c>
      <c r="F87">
        <v>24800</v>
      </c>
      <c r="G87" t="s">
        <v>3067</v>
      </c>
      <c r="H87" s="3">
        <v>42328</v>
      </c>
      <c r="I87" t="s">
        <v>107</v>
      </c>
      <c r="J87">
        <v>21000</v>
      </c>
      <c r="K87" s="1"/>
      <c r="M87" s="3">
        <v>42328</v>
      </c>
      <c r="N87" t="s">
        <v>57</v>
      </c>
      <c r="P87" t="s">
        <v>56</v>
      </c>
      <c r="Q87">
        <v>17700</v>
      </c>
      <c r="R87" s="3">
        <v>42343</v>
      </c>
      <c r="S87" t="s">
        <v>54</v>
      </c>
      <c r="U87" t="s">
        <v>60</v>
      </c>
      <c r="V87">
        <v>2950</v>
      </c>
      <c r="AG87" t="s">
        <v>3068</v>
      </c>
      <c r="AH87" s="3">
        <v>42361</v>
      </c>
      <c r="AI87">
        <v>24800</v>
      </c>
      <c r="AJ87">
        <v>0</v>
      </c>
      <c r="AS87" t="s">
        <v>3055</v>
      </c>
      <c r="AT87" s="3">
        <v>42433</v>
      </c>
      <c r="AU87">
        <v>24800</v>
      </c>
      <c r="AV87">
        <v>0</v>
      </c>
      <c r="AW87">
        <v>0</v>
      </c>
      <c r="AX87">
        <v>0</v>
      </c>
      <c r="BQ87" t="s">
        <v>1457</v>
      </c>
      <c r="BR87" t="s">
        <v>3056</v>
      </c>
    </row>
    <row r="88" spans="1:70" x14ac:dyDescent="0.25">
      <c r="A88" t="s">
        <v>3069</v>
      </c>
      <c r="B88" s="3">
        <v>42328</v>
      </c>
      <c r="C88" t="s">
        <v>50</v>
      </c>
      <c r="D88" t="s">
        <v>3052</v>
      </c>
      <c r="E88" t="s">
        <v>50</v>
      </c>
      <c r="F88">
        <v>23000</v>
      </c>
      <c r="G88" t="s">
        <v>3070</v>
      </c>
      <c r="H88" s="3">
        <v>42328</v>
      </c>
      <c r="I88" t="s">
        <v>107</v>
      </c>
      <c r="J88">
        <v>23000</v>
      </c>
      <c r="K88" s="1"/>
      <c r="M88" s="3">
        <v>42328</v>
      </c>
      <c r="N88" t="s">
        <v>57</v>
      </c>
      <c r="P88" t="s">
        <v>56</v>
      </c>
      <c r="Q88">
        <v>18700</v>
      </c>
      <c r="R88" s="3">
        <v>42343</v>
      </c>
      <c r="S88" t="s">
        <v>54</v>
      </c>
      <c r="U88" t="s">
        <v>60</v>
      </c>
      <c r="V88">
        <v>3950</v>
      </c>
      <c r="AG88" t="s">
        <v>3071</v>
      </c>
      <c r="AH88" s="3">
        <v>42352</v>
      </c>
      <c r="AI88">
        <v>23000</v>
      </c>
      <c r="AJ88">
        <v>0</v>
      </c>
      <c r="AS88" t="s">
        <v>3055</v>
      </c>
      <c r="AT88" s="3">
        <v>42433</v>
      </c>
      <c r="AU88">
        <v>23000</v>
      </c>
      <c r="AV88">
        <v>0</v>
      </c>
      <c r="AW88">
        <v>0</v>
      </c>
      <c r="AX88">
        <v>0</v>
      </c>
      <c r="BQ88" t="s">
        <v>1457</v>
      </c>
      <c r="BR88" t="s">
        <v>3056</v>
      </c>
    </row>
    <row r="89" spans="1:70" x14ac:dyDescent="0.25">
      <c r="A89" t="s">
        <v>3072</v>
      </c>
      <c r="B89" s="3">
        <v>42329</v>
      </c>
      <c r="C89" t="s">
        <v>50</v>
      </c>
      <c r="D89" t="s">
        <v>3052</v>
      </c>
      <c r="E89" t="s">
        <v>50</v>
      </c>
      <c r="F89">
        <v>76500</v>
      </c>
      <c r="G89" t="s">
        <v>3073</v>
      </c>
      <c r="H89" s="3">
        <v>42329</v>
      </c>
      <c r="I89" t="s">
        <v>107</v>
      </c>
      <c r="J89">
        <v>71000</v>
      </c>
      <c r="K89" s="1"/>
      <c r="M89" s="3">
        <v>42329</v>
      </c>
      <c r="N89" t="s">
        <v>57</v>
      </c>
      <c r="P89" t="s">
        <v>56</v>
      </c>
      <c r="Q89">
        <v>34200</v>
      </c>
      <c r="R89" s="3">
        <v>42331</v>
      </c>
      <c r="S89" t="s">
        <v>57</v>
      </c>
      <c r="U89" t="s">
        <v>56</v>
      </c>
      <c r="V89">
        <v>16000</v>
      </c>
      <c r="W89" s="3">
        <v>42343</v>
      </c>
      <c r="X89" t="s">
        <v>54</v>
      </c>
      <c r="Z89" t="s">
        <v>60</v>
      </c>
      <c r="AA89">
        <v>19800</v>
      </c>
      <c r="AG89" t="s">
        <v>3074</v>
      </c>
      <c r="AH89" s="3">
        <v>42352</v>
      </c>
      <c r="AI89">
        <v>76500</v>
      </c>
      <c r="AJ89">
        <v>0</v>
      </c>
      <c r="AS89" t="s">
        <v>3055</v>
      </c>
      <c r="AT89" s="3">
        <v>42433</v>
      </c>
      <c r="AU89">
        <v>76500</v>
      </c>
      <c r="AV89">
        <v>0</v>
      </c>
      <c r="AW89">
        <v>0</v>
      </c>
      <c r="AX89">
        <v>0</v>
      </c>
      <c r="BQ89" t="s">
        <v>1457</v>
      </c>
      <c r="BR89" t="s">
        <v>3056</v>
      </c>
    </row>
    <row r="90" spans="1:70" x14ac:dyDescent="0.25">
      <c r="A90" t="s">
        <v>3075</v>
      </c>
      <c r="B90" s="3">
        <v>42330</v>
      </c>
      <c r="C90" t="s">
        <v>50</v>
      </c>
      <c r="D90" t="s">
        <v>3052</v>
      </c>
      <c r="E90" t="s">
        <v>50</v>
      </c>
      <c r="F90">
        <v>37000</v>
      </c>
      <c r="G90" t="s">
        <v>3076</v>
      </c>
      <c r="H90" s="3">
        <v>42330</v>
      </c>
      <c r="I90" t="s">
        <v>3077</v>
      </c>
      <c r="J90">
        <v>31000</v>
      </c>
      <c r="K90" s="1"/>
      <c r="M90" s="3">
        <v>42331</v>
      </c>
      <c r="N90" t="s">
        <v>57</v>
      </c>
      <c r="P90" t="s">
        <v>56</v>
      </c>
      <c r="Q90">
        <v>27500</v>
      </c>
      <c r="R90" s="3">
        <v>42373</v>
      </c>
      <c r="S90" t="s">
        <v>54</v>
      </c>
      <c r="U90" t="s">
        <v>60</v>
      </c>
      <c r="V90">
        <v>2900</v>
      </c>
      <c r="AG90" t="s">
        <v>3078</v>
      </c>
      <c r="AH90" s="3">
        <v>42361</v>
      </c>
      <c r="AI90">
        <v>37000</v>
      </c>
      <c r="AJ90">
        <v>0</v>
      </c>
      <c r="AS90" t="s">
        <v>3055</v>
      </c>
      <c r="AT90" s="3">
        <v>42433</v>
      </c>
      <c r="AU90">
        <v>37000</v>
      </c>
      <c r="AV90">
        <v>0</v>
      </c>
      <c r="AW90">
        <v>0</v>
      </c>
      <c r="AX90">
        <v>0</v>
      </c>
      <c r="BQ90" t="s">
        <v>1457</v>
      </c>
      <c r="BR90" t="s">
        <v>3056</v>
      </c>
    </row>
    <row r="91" spans="1:70" x14ac:dyDescent="0.25">
      <c r="A91" t="s">
        <v>3079</v>
      </c>
      <c r="B91" s="3">
        <v>42340</v>
      </c>
      <c r="C91" t="s">
        <v>50</v>
      </c>
      <c r="D91" t="s">
        <v>3080</v>
      </c>
      <c r="E91" t="s">
        <v>50</v>
      </c>
      <c r="F91">
        <v>97000</v>
      </c>
      <c r="G91" t="s">
        <v>3081</v>
      </c>
      <c r="H91" s="3">
        <v>42340</v>
      </c>
      <c r="I91" t="s">
        <v>3082</v>
      </c>
      <c r="J91">
        <v>80000</v>
      </c>
      <c r="K91" s="1"/>
      <c r="M91" s="3">
        <v>42340</v>
      </c>
      <c r="N91" t="s">
        <v>57</v>
      </c>
      <c r="P91" t="s">
        <v>56</v>
      </c>
      <c r="Q91">
        <v>34200</v>
      </c>
      <c r="R91" s="3">
        <v>42341</v>
      </c>
      <c r="S91" t="s">
        <v>57</v>
      </c>
      <c r="U91" t="s">
        <v>56</v>
      </c>
      <c r="V91">
        <v>35000</v>
      </c>
      <c r="W91" s="3">
        <v>42383</v>
      </c>
      <c r="X91" t="s">
        <v>54</v>
      </c>
      <c r="Z91" t="s">
        <v>60</v>
      </c>
      <c r="AA91">
        <v>9800</v>
      </c>
      <c r="AG91" t="s">
        <v>3083</v>
      </c>
      <c r="AH91" s="3">
        <v>42398</v>
      </c>
      <c r="AI91">
        <v>97000</v>
      </c>
      <c r="AJ91">
        <v>0</v>
      </c>
      <c r="AS91" t="s">
        <v>3084</v>
      </c>
      <c r="AT91" s="3">
        <v>42490</v>
      </c>
      <c r="AU91">
        <v>95060</v>
      </c>
      <c r="AV91">
        <v>0</v>
      </c>
      <c r="AW91">
        <v>1940</v>
      </c>
      <c r="AX91">
        <v>0</v>
      </c>
      <c r="BQ91" t="s">
        <v>72</v>
      </c>
      <c r="BR91" t="s">
        <v>3085</v>
      </c>
    </row>
    <row r="92" spans="1:70" x14ac:dyDescent="0.25">
      <c r="A92" t="s">
        <v>3092</v>
      </c>
      <c r="B92" s="3">
        <v>42349</v>
      </c>
      <c r="C92" t="s">
        <v>50</v>
      </c>
      <c r="D92" t="s">
        <v>3093</v>
      </c>
      <c r="E92" t="s">
        <v>50</v>
      </c>
      <c r="F92">
        <v>13500</v>
      </c>
      <c r="G92" t="s">
        <v>3094</v>
      </c>
      <c r="H92" s="3">
        <v>42349</v>
      </c>
      <c r="I92" t="s">
        <v>91</v>
      </c>
      <c r="J92">
        <v>12000</v>
      </c>
      <c r="K92" s="1"/>
      <c r="M92" s="3">
        <v>42349</v>
      </c>
      <c r="N92" t="s">
        <v>57</v>
      </c>
      <c r="P92" t="s">
        <v>56</v>
      </c>
      <c r="Q92">
        <v>9700</v>
      </c>
      <c r="R92" s="3">
        <v>42397</v>
      </c>
      <c r="S92" t="s">
        <v>54</v>
      </c>
      <c r="U92" t="s">
        <v>60</v>
      </c>
      <c r="V92">
        <v>1950</v>
      </c>
      <c r="AG92" t="s">
        <v>3095</v>
      </c>
      <c r="AH92" s="3">
        <v>42398</v>
      </c>
      <c r="AI92">
        <v>13500</v>
      </c>
      <c r="AJ92">
        <v>0</v>
      </c>
      <c r="AS92" t="s">
        <v>3096</v>
      </c>
      <c r="AT92" s="3">
        <v>42439</v>
      </c>
      <c r="AU92">
        <v>13230</v>
      </c>
      <c r="AV92">
        <v>0</v>
      </c>
      <c r="AW92">
        <v>270</v>
      </c>
      <c r="AX92">
        <v>0</v>
      </c>
      <c r="BQ92" t="s">
        <v>72</v>
      </c>
      <c r="BR92" t="s">
        <v>3097</v>
      </c>
    </row>
    <row r="93" spans="1:70" x14ac:dyDescent="0.25">
      <c r="A93" t="s">
        <v>3098</v>
      </c>
      <c r="B93" s="3">
        <v>42350</v>
      </c>
      <c r="C93" t="s">
        <v>50</v>
      </c>
      <c r="D93" t="s">
        <v>2955</v>
      </c>
      <c r="E93" t="s">
        <v>50</v>
      </c>
      <c r="F93">
        <v>7500</v>
      </c>
      <c r="G93" t="s">
        <v>3099</v>
      </c>
      <c r="H93" s="3">
        <v>42350</v>
      </c>
      <c r="I93" t="s">
        <v>1844</v>
      </c>
      <c r="J93">
        <v>6500</v>
      </c>
      <c r="K93" s="1"/>
      <c r="M93" s="3">
        <v>42352</v>
      </c>
      <c r="N93" t="s">
        <v>57</v>
      </c>
      <c r="P93" t="s">
        <v>56</v>
      </c>
      <c r="Q93">
        <v>4800</v>
      </c>
      <c r="R93" s="3">
        <v>42408</v>
      </c>
      <c r="S93" t="s">
        <v>57</v>
      </c>
      <c r="U93" t="s">
        <v>60</v>
      </c>
      <c r="V93">
        <v>1450</v>
      </c>
      <c r="AG93" t="s">
        <v>3100</v>
      </c>
      <c r="AH93" s="3">
        <v>42398</v>
      </c>
      <c r="AI93">
        <v>7500</v>
      </c>
      <c r="AJ93">
        <v>0</v>
      </c>
      <c r="AS93" t="s">
        <v>3096</v>
      </c>
      <c r="AT93" s="3">
        <v>42439</v>
      </c>
      <c r="AU93">
        <v>7350</v>
      </c>
      <c r="AV93">
        <v>0</v>
      </c>
      <c r="AW93">
        <v>150</v>
      </c>
      <c r="AX93">
        <v>0</v>
      </c>
      <c r="BQ93" t="s">
        <v>72</v>
      </c>
      <c r="BR93" t="s">
        <v>3097</v>
      </c>
    </row>
    <row r="94" spans="1:70" x14ac:dyDescent="0.25">
      <c r="A94" t="s">
        <v>3108</v>
      </c>
      <c r="B94" s="3">
        <v>42355</v>
      </c>
      <c r="C94" t="s">
        <v>50</v>
      </c>
      <c r="D94" t="s">
        <v>3109</v>
      </c>
      <c r="E94" t="s">
        <v>50</v>
      </c>
      <c r="F94">
        <v>0</v>
      </c>
      <c r="G94" t="s">
        <v>3110</v>
      </c>
      <c r="H94" s="3">
        <v>42355</v>
      </c>
      <c r="I94" t="s">
        <v>2434</v>
      </c>
      <c r="J94">
        <v>17000</v>
      </c>
      <c r="K94" s="1"/>
      <c r="M94" s="3">
        <v>42355</v>
      </c>
      <c r="N94" t="s">
        <v>57</v>
      </c>
      <c r="P94" t="s">
        <v>56</v>
      </c>
      <c r="Q94">
        <v>11500</v>
      </c>
      <c r="R94" s="3">
        <v>42373</v>
      </c>
      <c r="S94" t="s">
        <v>54</v>
      </c>
      <c r="U94" t="s">
        <v>60</v>
      </c>
      <c r="V94">
        <v>4900</v>
      </c>
      <c r="AG94" t="s">
        <v>3111</v>
      </c>
      <c r="AH94" s="3">
        <v>42399</v>
      </c>
      <c r="AI94">
        <v>0</v>
      </c>
      <c r="AJ94">
        <v>0</v>
      </c>
      <c r="AS94" t="s">
        <v>3003</v>
      </c>
      <c r="AT94" s="3">
        <v>42770</v>
      </c>
      <c r="AU94">
        <v>23442</v>
      </c>
      <c r="AV94">
        <v>0</v>
      </c>
      <c r="AW94">
        <v>58</v>
      </c>
      <c r="AX94">
        <v>0</v>
      </c>
      <c r="BQ94" t="s">
        <v>72</v>
      </c>
      <c r="BR94" t="s">
        <v>3004</v>
      </c>
    </row>
    <row r="95" spans="1:70" x14ac:dyDescent="0.25">
      <c r="A95" t="s">
        <v>3112</v>
      </c>
      <c r="B95" s="3">
        <v>42355</v>
      </c>
      <c r="C95" t="s">
        <v>50</v>
      </c>
      <c r="D95" t="s">
        <v>3109</v>
      </c>
      <c r="E95" t="s">
        <v>50</v>
      </c>
      <c r="F95">
        <v>23500</v>
      </c>
      <c r="K95" s="1"/>
      <c r="AG95" t="s">
        <v>3111</v>
      </c>
      <c r="AH95" s="3">
        <v>42399</v>
      </c>
      <c r="AI95">
        <v>23500</v>
      </c>
      <c r="AJ95">
        <v>0</v>
      </c>
      <c r="AS95" t="s">
        <v>3003</v>
      </c>
      <c r="AT95" s="3">
        <v>42770</v>
      </c>
      <c r="AU95">
        <v>23442</v>
      </c>
      <c r="AV95">
        <v>0</v>
      </c>
      <c r="AW95">
        <v>58</v>
      </c>
      <c r="AX95">
        <v>0</v>
      </c>
      <c r="BQ95" t="s">
        <v>72</v>
      </c>
      <c r="BR95" t="s">
        <v>3004</v>
      </c>
    </row>
    <row r="96" spans="1:70" x14ac:dyDescent="0.25">
      <c r="A96" t="s">
        <v>3120</v>
      </c>
      <c r="B96" s="3">
        <v>42359</v>
      </c>
      <c r="C96" t="s">
        <v>2899</v>
      </c>
      <c r="D96" t="s">
        <v>2900</v>
      </c>
      <c r="E96" t="s">
        <v>50</v>
      </c>
      <c r="F96">
        <v>14500</v>
      </c>
      <c r="G96" t="s">
        <v>3121</v>
      </c>
      <c r="H96" s="3">
        <v>42359</v>
      </c>
      <c r="I96" t="s">
        <v>3122</v>
      </c>
      <c r="J96">
        <v>13000</v>
      </c>
      <c r="K96" s="1"/>
      <c r="M96" s="3">
        <v>42359</v>
      </c>
      <c r="N96" t="s">
        <v>57</v>
      </c>
      <c r="P96" t="s">
        <v>56</v>
      </c>
      <c r="Q96">
        <v>8500</v>
      </c>
      <c r="R96" s="3">
        <v>42361</v>
      </c>
      <c r="S96" t="s">
        <v>54</v>
      </c>
      <c r="U96" t="s">
        <v>60</v>
      </c>
      <c r="V96">
        <v>3900</v>
      </c>
      <c r="AG96" t="s">
        <v>3123</v>
      </c>
      <c r="AH96" s="3">
        <v>42383</v>
      </c>
      <c r="AI96">
        <v>14500</v>
      </c>
      <c r="AJ96">
        <v>0</v>
      </c>
      <c r="AS96" t="s">
        <v>3055</v>
      </c>
      <c r="AT96" s="3">
        <v>42433</v>
      </c>
      <c r="AU96">
        <v>14500</v>
      </c>
      <c r="AV96">
        <v>0</v>
      </c>
      <c r="AW96">
        <v>0</v>
      </c>
      <c r="AX96">
        <v>0</v>
      </c>
      <c r="BQ96" t="s">
        <v>1457</v>
      </c>
      <c r="BR96" t="s">
        <v>3056</v>
      </c>
    </row>
    <row r="97" spans="1:72" x14ac:dyDescent="0.25">
      <c r="A97" t="s">
        <v>3124</v>
      </c>
      <c r="B97" s="3">
        <v>42364</v>
      </c>
      <c r="C97" t="s">
        <v>50</v>
      </c>
      <c r="D97" t="s">
        <v>3125</v>
      </c>
      <c r="E97" t="s">
        <v>50</v>
      </c>
      <c r="F97">
        <v>269400</v>
      </c>
      <c r="G97" t="s">
        <v>3126</v>
      </c>
      <c r="H97" s="3">
        <v>42364</v>
      </c>
      <c r="I97" t="s">
        <v>107</v>
      </c>
      <c r="J97">
        <v>230000</v>
      </c>
      <c r="K97" s="1"/>
      <c r="M97" s="3">
        <v>42364</v>
      </c>
      <c r="N97" t="s">
        <v>57</v>
      </c>
      <c r="P97" t="s">
        <v>56</v>
      </c>
      <c r="Q97">
        <v>20000</v>
      </c>
      <c r="R97" s="3">
        <v>42366</v>
      </c>
      <c r="S97" t="s">
        <v>54</v>
      </c>
      <c r="U97" t="s">
        <v>56</v>
      </c>
      <c r="V97">
        <v>168800</v>
      </c>
      <c r="W97" s="3">
        <v>42420</v>
      </c>
      <c r="X97" t="s">
        <v>54</v>
      </c>
      <c r="Z97" t="s">
        <v>60</v>
      </c>
      <c r="AA97">
        <v>39700</v>
      </c>
      <c r="AG97" t="s">
        <v>3127</v>
      </c>
      <c r="AH97" s="3">
        <v>42422</v>
      </c>
      <c r="AI97">
        <v>269400</v>
      </c>
      <c r="AJ97">
        <v>0</v>
      </c>
      <c r="AS97" t="s">
        <v>3128</v>
      </c>
      <c r="AT97" s="3">
        <v>42537</v>
      </c>
      <c r="AU97">
        <v>264012</v>
      </c>
      <c r="AV97">
        <v>0</v>
      </c>
      <c r="AW97">
        <v>5388</v>
      </c>
      <c r="AX97">
        <v>0</v>
      </c>
      <c r="BQ97" t="s">
        <v>72</v>
      </c>
      <c r="BR97" t="s">
        <v>3129</v>
      </c>
    </row>
    <row r="98" spans="1:72" x14ac:dyDescent="0.25">
      <c r="A98" t="s">
        <v>3130</v>
      </c>
      <c r="B98" s="3">
        <v>42364</v>
      </c>
      <c r="C98" t="s">
        <v>50</v>
      </c>
      <c r="D98" t="s">
        <v>3125</v>
      </c>
      <c r="E98" t="s">
        <v>50</v>
      </c>
      <c r="F98">
        <v>157100</v>
      </c>
      <c r="G98" t="s">
        <v>3131</v>
      </c>
      <c r="H98" s="3">
        <v>42364</v>
      </c>
      <c r="I98" t="s">
        <v>1416</v>
      </c>
      <c r="J98">
        <v>130000</v>
      </c>
      <c r="K98" s="1"/>
      <c r="M98" s="3">
        <v>42364</v>
      </c>
      <c r="N98" t="s">
        <v>57</v>
      </c>
      <c r="P98" t="s">
        <v>56</v>
      </c>
      <c r="Q98">
        <v>8300</v>
      </c>
      <c r="R98" s="3">
        <v>42366</v>
      </c>
      <c r="S98" t="s">
        <v>54</v>
      </c>
      <c r="U98" t="s">
        <v>56</v>
      </c>
      <c r="V98">
        <v>100700</v>
      </c>
      <c r="W98" s="3">
        <v>42409</v>
      </c>
      <c r="X98" t="s">
        <v>54</v>
      </c>
      <c r="Z98" t="s">
        <v>60</v>
      </c>
      <c r="AA98">
        <v>19800</v>
      </c>
      <c r="AG98" t="s">
        <v>3132</v>
      </c>
      <c r="AH98" s="3">
        <v>42422</v>
      </c>
      <c r="AI98">
        <v>157100</v>
      </c>
      <c r="AJ98">
        <v>0</v>
      </c>
      <c r="AS98" t="s">
        <v>3128</v>
      </c>
      <c r="AT98" s="3">
        <v>42537</v>
      </c>
      <c r="AU98">
        <v>147223</v>
      </c>
      <c r="AV98">
        <v>0</v>
      </c>
      <c r="AW98">
        <v>9877</v>
      </c>
      <c r="AX98">
        <v>0</v>
      </c>
      <c r="BQ98" t="s">
        <v>72</v>
      </c>
      <c r="BR98" t="s">
        <v>3129</v>
      </c>
    </row>
    <row r="99" spans="1:72" x14ac:dyDescent="0.25">
      <c r="A99" t="s">
        <v>3133</v>
      </c>
      <c r="B99" s="3">
        <v>42364</v>
      </c>
      <c r="C99" t="s">
        <v>50</v>
      </c>
      <c r="D99" t="s">
        <v>3125</v>
      </c>
      <c r="E99" t="s">
        <v>50</v>
      </c>
      <c r="F99">
        <v>349100</v>
      </c>
      <c r="G99" t="s">
        <v>3134</v>
      </c>
      <c r="H99" s="3">
        <v>42364</v>
      </c>
      <c r="I99" t="s">
        <v>55</v>
      </c>
      <c r="J99">
        <v>270000</v>
      </c>
      <c r="K99" s="1"/>
      <c r="M99" s="3">
        <v>42364</v>
      </c>
      <c r="N99" t="s">
        <v>57</v>
      </c>
      <c r="P99" t="s">
        <v>56</v>
      </c>
      <c r="Q99">
        <v>20000</v>
      </c>
      <c r="R99" s="3">
        <v>42366</v>
      </c>
      <c r="S99" t="s">
        <v>54</v>
      </c>
      <c r="U99" t="s">
        <v>56</v>
      </c>
      <c r="V99">
        <v>199000</v>
      </c>
      <c r="W99" s="3">
        <v>42431</v>
      </c>
      <c r="X99" t="s">
        <v>54</v>
      </c>
      <c r="Z99" t="s">
        <v>60</v>
      </c>
      <c r="AA99">
        <v>49700</v>
      </c>
      <c r="AG99" t="s">
        <v>3135</v>
      </c>
      <c r="AH99" s="3">
        <v>42422</v>
      </c>
      <c r="AI99">
        <v>349100</v>
      </c>
      <c r="AJ99">
        <v>0</v>
      </c>
      <c r="AS99" t="s">
        <v>3136</v>
      </c>
      <c r="AT99" s="3">
        <v>42517</v>
      </c>
      <c r="AU99">
        <v>349100</v>
      </c>
      <c r="AV99">
        <v>0</v>
      </c>
      <c r="AW99">
        <v>0</v>
      </c>
      <c r="AX99">
        <v>0</v>
      </c>
      <c r="BQ99" t="s">
        <v>72</v>
      </c>
      <c r="BR99" t="s">
        <v>3137</v>
      </c>
    </row>
    <row r="100" spans="1:72" x14ac:dyDescent="0.25">
      <c r="A100" s="4" t="s">
        <v>3138</v>
      </c>
      <c r="B100" s="3">
        <v>42364</v>
      </c>
      <c r="C100" t="s">
        <v>50</v>
      </c>
      <c r="D100" t="s">
        <v>3125</v>
      </c>
      <c r="E100" t="s">
        <v>50</v>
      </c>
      <c r="F100">
        <v>345600</v>
      </c>
      <c r="G100" t="s">
        <v>3139</v>
      </c>
      <c r="H100" s="3">
        <v>42364</v>
      </c>
      <c r="I100" t="s">
        <v>2434</v>
      </c>
      <c r="J100">
        <v>270000</v>
      </c>
      <c r="K100" s="1" t="s">
        <v>67</v>
      </c>
      <c r="M100" s="3">
        <v>42364</v>
      </c>
      <c r="N100" t="s">
        <v>57</v>
      </c>
      <c r="P100" t="s">
        <v>56</v>
      </c>
      <c r="Q100">
        <v>15000</v>
      </c>
      <c r="R100" s="3">
        <v>42366</v>
      </c>
      <c r="S100" t="s">
        <v>54</v>
      </c>
      <c r="U100" t="s">
        <v>56</v>
      </c>
      <c r="V100">
        <v>204000</v>
      </c>
      <c r="W100" s="3">
        <v>42433</v>
      </c>
      <c r="X100" t="s">
        <v>54</v>
      </c>
      <c r="Z100" t="s">
        <v>60</v>
      </c>
      <c r="AA100">
        <v>49700</v>
      </c>
      <c r="AG100" t="s">
        <v>3140</v>
      </c>
      <c r="AH100" s="3">
        <v>42422</v>
      </c>
      <c r="AI100">
        <v>345600</v>
      </c>
      <c r="AJ100">
        <v>17000</v>
      </c>
      <c r="AK100" s="5" t="s">
        <v>3141</v>
      </c>
      <c r="AL100" s="3">
        <v>42572</v>
      </c>
      <c r="AM100" s="5">
        <v>17000</v>
      </c>
      <c r="AN100">
        <v>17000</v>
      </c>
      <c r="AS100" t="s">
        <v>3136</v>
      </c>
      <c r="AT100" s="3">
        <v>42517</v>
      </c>
      <c r="AU100">
        <v>328600</v>
      </c>
      <c r="AV100">
        <v>0</v>
      </c>
      <c r="AW100">
        <v>0</v>
      </c>
      <c r="AX100">
        <v>17000</v>
      </c>
      <c r="BQ100" t="s">
        <v>72</v>
      </c>
      <c r="BR100" t="s">
        <v>3137</v>
      </c>
    </row>
    <row r="101" spans="1:72" x14ac:dyDescent="0.25">
      <c r="A101" t="s">
        <v>3142</v>
      </c>
      <c r="B101" s="3">
        <v>42365</v>
      </c>
      <c r="C101" t="s">
        <v>50</v>
      </c>
      <c r="D101" t="s">
        <v>3125</v>
      </c>
      <c r="E101" t="s">
        <v>50</v>
      </c>
      <c r="F101">
        <v>145100</v>
      </c>
      <c r="G101" t="s">
        <v>3143</v>
      </c>
      <c r="H101" s="3">
        <v>42365</v>
      </c>
      <c r="I101" t="s">
        <v>1416</v>
      </c>
      <c r="J101">
        <v>120000</v>
      </c>
      <c r="K101" s="1"/>
      <c r="M101" s="3">
        <v>42366</v>
      </c>
      <c r="N101" t="s">
        <v>54</v>
      </c>
      <c r="P101" t="s">
        <v>56</v>
      </c>
      <c r="Q101">
        <v>76200</v>
      </c>
      <c r="R101" s="3">
        <v>42366</v>
      </c>
      <c r="S101" t="s">
        <v>57</v>
      </c>
      <c r="U101" t="s">
        <v>56</v>
      </c>
      <c r="V101">
        <v>22800</v>
      </c>
      <c r="W101" s="3">
        <v>42409</v>
      </c>
      <c r="X101" t="s">
        <v>54</v>
      </c>
      <c r="Z101" t="s">
        <v>60</v>
      </c>
      <c r="AA101">
        <v>19800</v>
      </c>
      <c r="AG101" t="s">
        <v>3144</v>
      </c>
      <c r="AH101" s="3">
        <v>42422</v>
      </c>
      <c r="AI101">
        <v>145100</v>
      </c>
      <c r="AJ101">
        <v>0</v>
      </c>
      <c r="AS101" t="s">
        <v>3128</v>
      </c>
      <c r="AT101" s="3">
        <v>42537</v>
      </c>
      <c r="AU101">
        <v>141751</v>
      </c>
      <c r="AV101">
        <v>0</v>
      </c>
      <c r="AW101">
        <v>3349</v>
      </c>
      <c r="AX101">
        <v>0</v>
      </c>
      <c r="BQ101" t="s">
        <v>72</v>
      </c>
      <c r="BR101" t="s">
        <v>3129</v>
      </c>
    </row>
    <row r="102" spans="1:72" x14ac:dyDescent="0.25">
      <c r="A102" t="s">
        <v>3145</v>
      </c>
      <c r="B102" s="3">
        <v>42366</v>
      </c>
      <c r="C102" t="s">
        <v>50</v>
      </c>
      <c r="D102" t="s">
        <v>3125</v>
      </c>
      <c r="E102" t="s">
        <v>50</v>
      </c>
      <c r="F102">
        <v>251200</v>
      </c>
      <c r="G102" t="s">
        <v>3146</v>
      </c>
      <c r="H102" s="3">
        <v>42366</v>
      </c>
      <c r="I102" t="s">
        <v>107</v>
      </c>
      <c r="J102">
        <v>220000</v>
      </c>
      <c r="K102" s="1"/>
      <c r="M102" s="3">
        <v>42366</v>
      </c>
      <c r="N102" t="s">
        <v>57</v>
      </c>
      <c r="P102" t="s">
        <v>56</v>
      </c>
      <c r="Q102">
        <v>30000</v>
      </c>
      <c r="R102" s="3">
        <v>42367</v>
      </c>
      <c r="S102" t="s">
        <v>54</v>
      </c>
      <c r="U102" t="s">
        <v>56</v>
      </c>
      <c r="V102">
        <v>148800</v>
      </c>
      <c r="W102" s="3">
        <v>42438</v>
      </c>
      <c r="X102" t="s">
        <v>54</v>
      </c>
      <c r="Z102" t="s">
        <v>60</v>
      </c>
      <c r="AA102">
        <v>39700</v>
      </c>
      <c r="AG102" t="s">
        <v>3147</v>
      </c>
      <c r="AH102" s="3">
        <v>42422</v>
      </c>
      <c r="AI102">
        <v>251200</v>
      </c>
      <c r="AJ102">
        <v>0</v>
      </c>
      <c r="AS102" t="s">
        <v>3128</v>
      </c>
      <c r="AT102" s="3">
        <v>42537</v>
      </c>
      <c r="AU102">
        <v>239464</v>
      </c>
      <c r="AV102">
        <v>0</v>
      </c>
      <c r="AW102">
        <v>11736</v>
      </c>
      <c r="AX102">
        <v>0</v>
      </c>
      <c r="BQ102" t="s">
        <v>72</v>
      </c>
      <c r="BR102" t="s">
        <v>3129</v>
      </c>
    </row>
    <row r="103" spans="1:72" x14ac:dyDescent="0.25">
      <c r="A103" t="s">
        <v>3156</v>
      </c>
      <c r="B103" s="3">
        <v>42382</v>
      </c>
      <c r="C103" t="s">
        <v>2899</v>
      </c>
      <c r="D103" t="s">
        <v>2900</v>
      </c>
      <c r="E103" t="s">
        <v>50</v>
      </c>
      <c r="F103">
        <v>15000</v>
      </c>
      <c r="G103" t="s">
        <v>3157</v>
      </c>
      <c r="H103" s="3">
        <v>42382</v>
      </c>
      <c r="I103" t="s">
        <v>2209</v>
      </c>
      <c r="J103">
        <v>13500</v>
      </c>
      <c r="K103" s="1"/>
      <c r="M103" s="3">
        <v>42382</v>
      </c>
      <c r="N103" t="s">
        <v>57</v>
      </c>
      <c r="P103" t="s">
        <v>56</v>
      </c>
      <c r="Q103">
        <v>10000</v>
      </c>
      <c r="R103" s="3">
        <v>42396</v>
      </c>
      <c r="S103" t="s">
        <v>54</v>
      </c>
      <c r="U103" t="s">
        <v>60</v>
      </c>
      <c r="V103">
        <v>3150</v>
      </c>
      <c r="AG103" t="s">
        <v>3158</v>
      </c>
      <c r="AH103" s="3">
        <v>42383</v>
      </c>
      <c r="AI103">
        <v>15000</v>
      </c>
      <c r="AJ103">
        <v>0</v>
      </c>
      <c r="AS103" t="s">
        <v>3055</v>
      </c>
      <c r="AT103" s="3">
        <v>42433</v>
      </c>
      <c r="AU103">
        <v>15000</v>
      </c>
      <c r="AV103">
        <v>0</v>
      </c>
      <c r="AW103">
        <v>0</v>
      </c>
      <c r="AX103">
        <v>0</v>
      </c>
      <c r="BQ103" t="s">
        <v>1457</v>
      </c>
      <c r="BR103" t="s">
        <v>3056</v>
      </c>
    </row>
    <row r="104" spans="1:72" x14ac:dyDescent="0.25">
      <c r="A104" t="s">
        <v>3159</v>
      </c>
      <c r="B104" s="3">
        <v>42383</v>
      </c>
      <c r="C104" t="s">
        <v>50</v>
      </c>
      <c r="D104" t="s">
        <v>2911</v>
      </c>
      <c r="E104" t="s">
        <v>50</v>
      </c>
      <c r="F104">
        <v>14500</v>
      </c>
      <c r="G104" t="s">
        <v>3160</v>
      </c>
      <c r="H104" s="3">
        <v>42383</v>
      </c>
      <c r="I104" t="s">
        <v>2209</v>
      </c>
      <c r="J104">
        <v>13000</v>
      </c>
      <c r="K104" s="1"/>
      <c r="M104" s="3">
        <v>42383</v>
      </c>
      <c r="N104" t="s">
        <v>57</v>
      </c>
      <c r="P104" t="s">
        <v>56</v>
      </c>
      <c r="Q104">
        <v>9700</v>
      </c>
      <c r="R104" s="3">
        <v>42396</v>
      </c>
      <c r="S104" t="s">
        <v>54</v>
      </c>
      <c r="U104" t="s">
        <v>60</v>
      </c>
      <c r="V104">
        <v>2950</v>
      </c>
      <c r="AG104" t="s">
        <v>3161</v>
      </c>
      <c r="AH104" s="3">
        <v>42398</v>
      </c>
      <c r="AI104">
        <v>14500</v>
      </c>
      <c r="AJ104">
        <v>0</v>
      </c>
      <c r="AS104" t="s">
        <v>3055</v>
      </c>
      <c r="AT104" s="3">
        <v>42433</v>
      </c>
      <c r="AU104">
        <v>7726</v>
      </c>
      <c r="AV104">
        <v>0</v>
      </c>
      <c r="AW104">
        <v>0</v>
      </c>
      <c r="AX104">
        <v>0</v>
      </c>
      <c r="AY104" t="s">
        <v>2996</v>
      </c>
      <c r="AZ104" s="3">
        <v>42578</v>
      </c>
      <c r="BA104">
        <v>6774</v>
      </c>
      <c r="BB104">
        <v>0</v>
      </c>
      <c r="BC104">
        <v>0</v>
      </c>
      <c r="BD104">
        <v>0</v>
      </c>
      <c r="BQ104" t="s">
        <v>1457</v>
      </c>
      <c r="BR104" t="s">
        <v>3056</v>
      </c>
      <c r="BS104" t="s">
        <v>72</v>
      </c>
      <c r="BT104" t="s">
        <v>2997</v>
      </c>
    </row>
    <row r="105" spans="1:72" x14ac:dyDescent="0.25">
      <c r="A105" t="s">
        <v>3174</v>
      </c>
      <c r="B105" s="3">
        <v>42398</v>
      </c>
      <c r="C105" t="s">
        <v>50</v>
      </c>
      <c r="D105" t="s">
        <v>3175</v>
      </c>
      <c r="E105" t="s">
        <v>50</v>
      </c>
      <c r="F105">
        <v>12150</v>
      </c>
      <c r="G105" t="s">
        <v>3176</v>
      </c>
      <c r="H105" s="3">
        <v>42398</v>
      </c>
      <c r="I105" t="s">
        <v>1844</v>
      </c>
      <c r="J105">
        <v>11000</v>
      </c>
      <c r="K105" s="1"/>
      <c r="M105" s="3">
        <v>42398</v>
      </c>
      <c r="N105" t="s">
        <v>57</v>
      </c>
      <c r="P105" t="s">
        <v>56</v>
      </c>
      <c r="Q105">
        <v>8700</v>
      </c>
      <c r="R105" s="3">
        <v>42412</v>
      </c>
      <c r="S105" t="s">
        <v>57</v>
      </c>
      <c r="U105" t="s">
        <v>60</v>
      </c>
      <c r="V105">
        <v>1950</v>
      </c>
      <c r="AG105" t="s">
        <v>3177</v>
      </c>
      <c r="AH105" s="3">
        <v>42417</v>
      </c>
      <c r="AI105">
        <v>12150</v>
      </c>
      <c r="AJ105">
        <v>0</v>
      </c>
      <c r="AS105" t="s">
        <v>3178</v>
      </c>
      <c r="AT105" s="3">
        <v>42487</v>
      </c>
      <c r="AU105">
        <v>11907</v>
      </c>
      <c r="AV105">
        <v>0</v>
      </c>
      <c r="AW105">
        <v>243</v>
      </c>
      <c r="AX105">
        <v>0</v>
      </c>
      <c r="BQ105" t="s">
        <v>72</v>
      </c>
      <c r="BR105" t="s">
        <v>3179</v>
      </c>
    </row>
    <row r="106" spans="1:72" x14ac:dyDescent="0.25">
      <c r="A106" t="s">
        <v>3180</v>
      </c>
      <c r="B106" s="3">
        <v>42399</v>
      </c>
      <c r="C106" t="s">
        <v>50</v>
      </c>
      <c r="D106" t="s">
        <v>3175</v>
      </c>
      <c r="E106" t="s">
        <v>50</v>
      </c>
      <c r="F106">
        <v>22350</v>
      </c>
      <c r="G106" t="s">
        <v>3181</v>
      </c>
      <c r="H106" s="3">
        <v>42399</v>
      </c>
      <c r="I106" t="s">
        <v>214</v>
      </c>
      <c r="J106">
        <v>20500</v>
      </c>
      <c r="K106" s="1"/>
      <c r="M106" s="3">
        <v>42399</v>
      </c>
      <c r="N106" t="s">
        <v>54</v>
      </c>
      <c r="P106" t="s">
        <v>56</v>
      </c>
      <c r="Q106">
        <v>17100</v>
      </c>
      <c r="R106" s="3">
        <v>42412</v>
      </c>
      <c r="S106" t="s">
        <v>54</v>
      </c>
      <c r="U106" t="s">
        <v>60</v>
      </c>
      <c r="V106">
        <v>2950</v>
      </c>
      <c r="AG106" t="s">
        <v>3182</v>
      </c>
      <c r="AH106" s="3">
        <v>42417</v>
      </c>
      <c r="AI106">
        <v>22350</v>
      </c>
      <c r="AJ106">
        <v>0</v>
      </c>
      <c r="AS106" t="s">
        <v>3183</v>
      </c>
      <c r="AT106" s="3">
        <v>42538</v>
      </c>
      <c r="AU106">
        <v>21403</v>
      </c>
      <c r="AV106">
        <v>0</v>
      </c>
      <c r="AW106">
        <v>947</v>
      </c>
      <c r="AX106">
        <v>0</v>
      </c>
      <c r="BQ106" t="s">
        <v>1419</v>
      </c>
      <c r="BR106" t="s">
        <v>3184</v>
      </c>
    </row>
    <row r="107" spans="1:72" x14ac:dyDescent="0.25">
      <c r="A107" t="s">
        <v>3185</v>
      </c>
      <c r="B107" s="3">
        <v>42407</v>
      </c>
      <c r="C107" t="s">
        <v>50</v>
      </c>
      <c r="D107" t="s">
        <v>3186</v>
      </c>
      <c r="E107" t="s">
        <v>50</v>
      </c>
      <c r="F107">
        <v>27000</v>
      </c>
      <c r="G107" t="s">
        <v>3187</v>
      </c>
      <c r="H107" s="3">
        <v>42407</v>
      </c>
      <c r="I107" t="s">
        <v>3188</v>
      </c>
      <c r="J107">
        <v>25000</v>
      </c>
      <c r="K107" s="1"/>
      <c r="M107" s="3">
        <v>42409</v>
      </c>
      <c r="N107" t="s">
        <v>54</v>
      </c>
      <c r="P107" t="s">
        <v>56</v>
      </c>
      <c r="Q107">
        <v>19500</v>
      </c>
      <c r="R107" s="3">
        <v>42446</v>
      </c>
      <c r="S107" t="s">
        <v>54</v>
      </c>
      <c r="U107" t="s">
        <v>60</v>
      </c>
      <c r="V107">
        <v>4900</v>
      </c>
      <c r="AG107" t="s">
        <v>3189</v>
      </c>
      <c r="AH107" s="3">
        <v>42441</v>
      </c>
      <c r="AI107">
        <v>27000</v>
      </c>
      <c r="AJ107">
        <v>0</v>
      </c>
      <c r="AS107" t="s">
        <v>3084</v>
      </c>
      <c r="AT107" s="3">
        <v>42490</v>
      </c>
      <c r="AU107">
        <v>26460</v>
      </c>
      <c r="AV107">
        <v>0</v>
      </c>
      <c r="AW107">
        <v>540</v>
      </c>
      <c r="AX107">
        <v>0</v>
      </c>
      <c r="BQ107" t="s">
        <v>72</v>
      </c>
      <c r="BR107" t="s">
        <v>3085</v>
      </c>
    </row>
    <row r="108" spans="1:72" x14ac:dyDescent="0.25">
      <c r="A108" t="s">
        <v>3222</v>
      </c>
      <c r="B108" s="3">
        <v>42432</v>
      </c>
      <c r="C108" t="s">
        <v>50</v>
      </c>
      <c r="D108" t="s">
        <v>3186</v>
      </c>
      <c r="E108" t="s">
        <v>50</v>
      </c>
      <c r="F108">
        <v>6500</v>
      </c>
      <c r="G108" t="s">
        <v>3223</v>
      </c>
      <c r="H108" s="3">
        <v>42432</v>
      </c>
      <c r="I108" t="s">
        <v>3104</v>
      </c>
      <c r="J108">
        <v>5500</v>
      </c>
      <c r="K108" s="1"/>
      <c r="M108" s="3">
        <v>42432</v>
      </c>
      <c r="N108" t="s">
        <v>57</v>
      </c>
      <c r="P108" t="s">
        <v>56</v>
      </c>
      <c r="Q108">
        <v>3300</v>
      </c>
      <c r="R108" s="3">
        <v>42452</v>
      </c>
      <c r="S108" t="s">
        <v>57</v>
      </c>
      <c r="U108" t="s">
        <v>60</v>
      </c>
      <c r="V108">
        <v>1950</v>
      </c>
      <c r="AG108" t="s">
        <v>3224</v>
      </c>
      <c r="AH108" s="3">
        <v>42458</v>
      </c>
      <c r="AI108">
        <v>6500</v>
      </c>
      <c r="AJ108">
        <v>0</v>
      </c>
      <c r="AS108" t="s">
        <v>3084</v>
      </c>
      <c r="AT108" s="3">
        <v>42490</v>
      </c>
      <c r="AU108">
        <v>6370</v>
      </c>
      <c r="AV108">
        <v>0</v>
      </c>
      <c r="AW108">
        <v>130</v>
      </c>
      <c r="AX108">
        <v>0</v>
      </c>
      <c r="BQ108" t="s">
        <v>72</v>
      </c>
      <c r="BR108" t="s">
        <v>3085</v>
      </c>
    </row>
    <row r="109" spans="1:72" x14ac:dyDescent="0.25">
      <c r="A109" t="s">
        <v>3225</v>
      </c>
      <c r="B109" s="3">
        <v>42433</v>
      </c>
      <c r="C109" t="s">
        <v>50</v>
      </c>
      <c r="D109" t="s">
        <v>3226</v>
      </c>
      <c r="E109" t="s">
        <v>50</v>
      </c>
      <c r="F109">
        <v>17000</v>
      </c>
      <c r="G109" t="s">
        <v>3227</v>
      </c>
      <c r="H109" s="3">
        <v>42433</v>
      </c>
      <c r="I109" t="s">
        <v>3228</v>
      </c>
      <c r="J109">
        <v>15000</v>
      </c>
      <c r="K109" s="1"/>
      <c r="M109" s="3">
        <v>42433</v>
      </c>
      <c r="N109" t="s">
        <v>57</v>
      </c>
      <c r="P109" t="s">
        <v>56</v>
      </c>
      <c r="Q109">
        <v>10000</v>
      </c>
      <c r="R109" s="3">
        <v>42444</v>
      </c>
      <c r="S109" t="s">
        <v>54</v>
      </c>
      <c r="U109" t="s">
        <v>60</v>
      </c>
      <c r="V109">
        <v>4600</v>
      </c>
      <c r="AG109" t="s">
        <v>3229</v>
      </c>
      <c r="AH109" s="3">
        <v>42441</v>
      </c>
      <c r="AI109">
        <v>17000</v>
      </c>
      <c r="AJ109">
        <v>0</v>
      </c>
      <c r="AS109" t="s">
        <v>3084</v>
      </c>
      <c r="AT109" s="3">
        <v>42490</v>
      </c>
      <c r="AU109">
        <v>16660</v>
      </c>
      <c r="AV109">
        <v>0</v>
      </c>
      <c r="AW109">
        <v>340</v>
      </c>
      <c r="AX109">
        <v>0</v>
      </c>
      <c r="BQ109" t="s">
        <v>72</v>
      </c>
      <c r="BR109" t="s">
        <v>3085</v>
      </c>
    </row>
    <row r="110" spans="1:72" x14ac:dyDescent="0.25">
      <c r="A110" t="s">
        <v>3236</v>
      </c>
      <c r="B110" s="3">
        <v>42438</v>
      </c>
      <c r="C110" t="s">
        <v>50</v>
      </c>
      <c r="D110" t="s">
        <v>3237</v>
      </c>
      <c r="E110" t="s">
        <v>50</v>
      </c>
      <c r="F110">
        <v>11000</v>
      </c>
      <c r="G110" t="s">
        <v>3238</v>
      </c>
      <c r="H110" s="3">
        <v>42438</v>
      </c>
      <c r="I110" t="s">
        <v>1844</v>
      </c>
      <c r="J110">
        <v>10000</v>
      </c>
      <c r="K110" s="1"/>
      <c r="M110" s="3">
        <v>42439</v>
      </c>
      <c r="N110" t="s">
        <v>57</v>
      </c>
      <c r="P110" t="s">
        <v>56</v>
      </c>
      <c r="Q110">
        <v>6750</v>
      </c>
      <c r="R110" s="3">
        <v>42462</v>
      </c>
      <c r="S110" t="s">
        <v>54</v>
      </c>
      <c r="U110" t="s">
        <v>60</v>
      </c>
      <c r="V110">
        <v>2950</v>
      </c>
      <c r="AG110" t="s">
        <v>3239</v>
      </c>
      <c r="AH110" s="3">
        <v>42467</v>
      </c>
      <c r="AI110">
        <v>11000</v>
      </c>
      <c r="AJ110">
        <v>0</v>
      </c>
      <c r="AS110" t="s">
        <v>3240</v>
      </c>
      <c r="AT110" s="3">
        <v>42517</v>
      </c>
      <c r="AU110">
        <v>10780</v>
      </c>
      <c r="AV110">
        <v>0</v>
      </c>
      <c r="AW110">
        <v>220</v>
      </c>
      <c r="AX110">
        <v>0</v>
      </c>
    </row>
    <row r="111" spans="1:72" x14ac:dyDescent="0.25">
      <c r="A111" t="s">
        <v>3241</v>
      </c>
      <c r="B111" s="3">
        <v>42444</v>
      </c>
      <c r="C111" t="s">
        <v>50</v>
      </c>
      <c r="D111" t="s">
        <v>3242</v>
      </c>
      <c r="E111" t="s">
        <v>50</v>
      </c>
      <c r="F111">
        <v>50000</v>
      </c>
      <c r="G111" t="s">
        <v>3243</v>
      </c>
      <c r="H111" s="3">
        <v>42444</v>
      </c>
      <c r="I111" t="s">
        <v>3012</v>
      </c>
      <c r="J111">
        <v>46000</v>
      </c>
      <c r="K111" s="1"/>
      <c r="M111" s="3">
        <v>42444</v>
      </c>
      <c r="N111" t="s">
        <v>54</v>
      </c>
      <c r="P111" t="s">
        <v>56</v>
      </c>
      <c r="Q111">
        <v>20000</v>
      </c>
      <c r="R111" s="3">
        <v>42444</v>
      </c>
      <c r="S111" t="s">
        <v>57</v>
      </c>
      <c r="U111" t="s">
        <v>56</v>
      </c>
      <c r="V111">
        <v>19600</v>
      </c>
      <c r="W111" s="3">
        <v>42476</v>
      </c>
      <c r="X111" t="s">
        <v>54</v>
      </c>
      <c r="Z111" t="s">
        <v>60</v>
      </c>
      <c r="AA111">
        <v>5900</v>
      </c>
      <c r="AG111" t="s">
        <v>3244</v>
      </c>
      <c r="AH111" s="3">
        <v>42476</v>
      </c>
      <c r="AI111">
        <v>50000</v>
      </c>
      <c r="AJ111">
        <v>0</v>
      </c>
      <c r="AS111" t="s">
        <v>3240</v>
      </c>
      <c r="AT111" s="3">
        <v>42517</v>
      </c>
      <c r="AU111">
        <v>49000</v>
      </c>
      <c r="AV111">
        <v>0</v>
      </c>
      <c r="AW111">
        <v>1000</v>
      </c>
      <c r="AX111">
        <v>0</v>
      </c>
    </row>
    <row r="112" spans="1:72" x14ac:dyDescent="0.25">
      <c r="A112" t="s">
        <v>3249</v>
      </c>
      <c r="B112" s="3">
        <v>42448</v>
      </c>
      <c r="C112" t="s">
        <v>50</v>
      </c>
      <c r="D112" t="s">
        <v>3250</v>
      </c>
      <c r="E112" t="s">
        <v>50</v>
      </c>
      <c r="F112">
        <v>8000</v>
      </c>
      <c r="G112" t="s">
        <v>3251</v>
      </c>
      <c r="H112" s="3">
        <v>42448</v>
      </c>
      <c r="I112" t="s">
        <v>1844</v>
      </c>
      <c r="J112">
        <v>7000</v>
      </c>
      <c r="K112" s="1"/>
      <c r="M112" s="3">
        <v>42448</v>
      </c>
      <c r="N112" t="s">
        <v>57</v>
      </c>
      <c r="P112" t="s">
        <v>56</v>
      </c>
      <c r="Q112">
        <v>5800</v>
      </c>
      <c r="R112" s="3">
        <v>42490</v>
      </c>
      <c r="S112" t="s">
        <v>57</v>
      </c>
      <c r="U112" t="s">
        <v>60</v>
      </c>
      <c r="V112">
        <v>970</v>
      </c>
      <c r="AG112" t="s">
        <v>3252</v>
      </c>
      <c r="AH112" s="3">
        <v>42485</v>
      </c>
      <c r="AI112">
        <v>8000</v>
      </c>
      <c r="AJ112">
        <v>0</v>
      </c>
      <c r="AS112" t="s">
        <v>3172</v>
      </c>
      <c r="AT112" s="3">
        <v>42611</v>
      </c>
      <c r="AU112">
        <v>7840</v>
      </c>
      <c r="AV112">
        <v>0</v>
      </c>
      <c r="AW112">
        <v>160</v>
      </c>
      <c r="AX112">
        <v>0</v>
      </c>
      <c r="BQ112" t="s">
        <v>1457</v>
      </c>
      <c r="BR112" t="s">
        <v>3173</v>
      </c>
    </row>
    <row r="113" spans="1:70" x14ac:dyDescent="0.25">
      <c r="A113" t="s">
        <v>3257</v>
      </c>
      <c r="B113" s="3">
        <v>42453</v>
      </c>
      <c r="C113" t="s">
        <v>50</v>
      </c>
      <c r="D113" t="s">
        <v>3250</v>
      </c>
      <c r="E113" t="s">
        <v>50</v>
      </c>
      <c r="F113">
        <v>16500</v>
      </c>
      <c r="G113" t="s">
        <v>3258</v>
      </c>
      <c r="H113" s="3">
        <v>42453</v>
      </c>
      <c r="I113" t="s">
        <v>214</v>
      </c>
      <c r="J113">
        <v>15000</v>
      </c>
      <c r="K113" s="1"/>
      <c r="M113" s="3">
        <v>42453</v>
      </c>
      <c r="N113" t="s">
        <v>57</v>
      </c>
      <c r="P113" t="s">
        <v>56</v>
      </c>
      <c r="Q113">
        <v>11700</v>
      </c>
      <c r="R113" s="3">
        <v>42460</v>
      </c>
      <c r="S113" t="s">
        <v>54</v>
      </c>
      <c r="U113" t="s">
        <v>60</v>
      </c>
      <c r="V113">
        <v>2950</v>
      </c>
      <c r="AG113" t="s">
        <v>3259</v>
      </c>
      <c r="AH113" s="3">
        <v>42467</v>
      </c>
      <c r="AI113">
        <v>16500</v>
      </c>
      <c r="AJ113">
        <v>0</v>
      </c>
      <c r="AS113" t="s">
        <v>3172</v>
      </c>
      <c r="AT113" s="3">
        <v>42611</v>
      </c>
      <c r="AU113">
        <v>16170</v>
      </c>
      <c r="AV113">
        <v>0</v>
      </c>
      <c r="AW113">
        <v>330</v>
      </c>
      <c r="AX113">
        <v>0</v>
      </c>
      <c r="BQ113" t="s">
        <v>1457</v>
      </c>
      <c r="BR113" t="s">
        <v>3173</v>
      </c>
    </row>
    <row r="114" spans="1:70" x14ac:dyDescent="0.25">
      <c r="A114" t="s">
        <v>3260</v>
      </c>
      <c r="B114" s="3">
        <v>42453</v>
      </c>
      <c r="C114" t="s">
        <v>50</v>
      </c>
      <c r="D114" t="s">
        <v>3250</v>
      </c>
      <c r="E114" t="s">
        <v>50</v>
      </c>
      <c r="F114">
        <v>17000</v>
      </c>
      <c r="G114" t="s">
        <v>3261</v>
      </c>
      <c r="H114" s="3">
        <v>42453</v>
      </c>
      <c r="I114" t="s">
        <v>2434</v>
      </c>
      <c r="J114">
        <v>15000</v>
      </c>
      <c r="K114" s="1"/>
      <c r="M114" s="3">
        <v>42453</v>
      </c>
      <c r="N114" t="s">
        <v>57</v>
      </c>
      <c r="P114" t="s">
        <v>56</v>
      </c>
      <c r="Q114">
        <v>10700</v>
      </c>
      <c r="R114" s="3">
        <v>42472</v>
      </c>
      <c r="S114" t="s">
        <v>54</v>
      </c>
      <c r="U114" t="s">
        <v>60</v>
      </c>
      <c r="V114">
        <v>3950</v>
      </c>
      <c r="AG114" t="s">
        <v>3262</v>
      </c>
      <c r="AH114" s="3">
        <v>42467</v>
      </c>
      <c r="AI114">
        <v>17000</v>
      </c>
      <c r="AJ114">
        <v>0</v>
      </c>
      <c r="AS114" t="s">
        <v>3172</v>
      </c>
      <c r="AT114" s="3">
        <v>42611</v>
      </c>
      <c r="AU114">
        <v>16660</v>
      </c>
      <c r="AV114">
        <v>0</v>
      </c>
      <c r="AW114">
        <v>340</v>
      </c>
      <c r="AX114">
        <v>0</v>
      </c>
      <c r="BQ114" t="s">
        <v>1457</v>
      </c>
      <c r="BR114" t="s">
        <v>3173</v>
      </c>
    </row>
    <row r="115" spans="1:70" x14ac:dyDescent="0.25">
      <c r="A115" t="s">
        <v>3263</v>
      </c>
      <c r="B115" s="3">
        <v>42454</v>
      </c>
      <c r="C115" t="s">
        <v>50</v>
      </c>
      <c r="D115" t="s">
        <v>3250</v>
      </c>
      <c r="E115" t="s">
        <v>50</v>
      </c>
      <c r="F115">
        <v>21500</v>
      </c>
      <c r="G115" t="s">
        <v>3264</v>
      </c>
      <c r="H115" s="3">
        <v>42454</v>
      </c>
      <c r="I115" t="s">
        <v>214</v>
      </c>
      <c r="J115">
        <v>20000</v>
      </c>
      <c r="K115" s="1"/>
      <c r="M115" s="3">
        <v>42454</v>
      </c>
      <c r="N115" t="s">
        <v>57</v>
      </c>
      <c r="P115" t="s">
        <v>56</v>
      </c>
      <c r="Q115">
        <v>14700</v>
      </c>
      <c r="R115" s="3">
        <v>42471</v>
      </c>
      <c r="S115" t="s">
        <v>54</v>
      </c>
      <c r="U115" t="s">
        <v>60</v>
      </c>
      <c r="V115">
        <v>4900</v>
      </c>
      <c r="AG115" t="s">
        <v>3265</v>
      </c>
      <c r="AH115" s="3">
        <v>42467</v>
      </c>
      <c r="AI115">
        <v>21500</v>
      </c>
      <c r="AJ115">
        <v>0</v>
      </c>
      <c r="AS115" t="s">
        <v>3172</v>
      </c>
      <c r="AT115" s="3">
        <v>42611</v>
      </c>
      <c r="AU115">
        <v>21070</v>
      </c>
      <c r="AV115">
        <v>0</v>
      </c>
      <c r="AW115">
        <v>430</v>
      </c>
      <c r="AX115">
        <v>0</v>
      </c>
      <c r="BQ115" t="s">
        <v>1457</v>
      </c>
      <c r="BR115" t="s">
        <v>3173</v>
      </c>
    </row>
    <row r="116" spans="1:70" x14ac:dyDescent="0.25">
      <c r="A116" t="s">
        <v>3266</v>
      </c>
      <c r="B116" s="3">
        <v>42454</v>
      </c>
      <c r="C116" t="s">
        <v>50</v>
      </c>
      <c r="D116" t="s">
        <v>3250</v>
      </c>
      <c r="E116" t="s">
        <v>50</v>
      </c>
      <c r="F116">
        <v>17000</v>
      </c>
      <c r="G116" t="s">
        <v>3267</v>
      </c>
      <c r="H116" s="3">
        <v>42454</v>
      </c>
      <c r="I116" t="s">
        <v>2434</v>
      </c>
      <c r="J116">
        <v>15000</v>
      </c>
      <c r="K116" s="1"/>
      <c r="M116" s="3">
        <v>42454</v>
      </c>
      <c r="N116" t="s">
        <v>57</v>
      </c>
      <c r="P116" t="s">
        <v>56</v>
      </c>
      <c r="Q116">
        <v>10700</v>
      </c>
      <c r="R116" s="3">
        <v>42472</v>
      </c>
      <c r="S116" t="s">
        <v>54</v>
      </c>
      <c r="U116" t="s">
        <v>60</v>
      </c>
      <c r="V116">
        <v>3950</v>
      </c>
      <c r="AG116" t="s">
        <v>3268</v>
      </c>
      <c r="AH116" s="3">
        <v>42467</v>
      </c>
      <c r="AI116">
        <v>17000</v>
      </c>
      <c r="AJ116">
        <v>0</v>
      </c>
      <c r="AS116" t="s">
        <v>3172</v>
      </c>
      <c r="AT116" s="3">
        <v>42611</v>
      </c>
      <c r="AU116">
        <v>16660</v>
      </c>
      <c r="AV116">
        <v>0</v>
      </c>
      <c r="AW116">
        <v>340</v>
      </c>
      <c r="AX116">
        <v>0</v>
      </c>
      <c r="BQ116" t="s">
        <v>1457</v>
      </c>
      <c r="BR116" t="s">
        <v>3173</v>
      </c>
    </row>
    <row r="117" spans="1:70" x14ac:dyDescent="0.25">
      <c r="A117" t="s">
        <v>3269</v>
      </c>
      <c r="B117" s="3">
        <v>42455</v>
      </c>
      <c r="C117" t="s">
        <v>50</v>
      </c>
      <c r="D117" t="s">
        <v>3202</v>
      </c>
      <c r="E117" t="s">
        <v>50</v>
      </c>
      <c r="F117">
        <v>0</v>
      </c>
      <c r="G117" t="s">
        <v>3270</v>
      </c>
      <c r="H117" s="3">
        <v>42455</v>
      </c>
      <c r="I117" t="s">
        <v>214</v>
      </c>
      <c r="J117">
        <v>15000</v>
      </c>
      <c r="K117" s="1"/>
      <c r="M117" s="3">
        <v>42455</v>
      </c>
      <c r="N117" t="s">
        <v>57</v>
      </c>
      <c r="P117" t="s">
        <v>56</v>
      </c>
      <c r="Q117">
        <v>11700</v>
      </c>
      <c r="R117" s="3">
        <v>42471</v>
      </c>
      <c r="S117" t="s">
        <v>54</v>
      </c>
      <c r="U117" t="s">
        <v>60</v>
      </c>
      <c r="V117">
        <v>2900</v>
      </c>
    </row>
    <row r="118" spans="1:70" x14ac:dyDescent="0.25">
      <c r="A118" t="s">
        <v>3271</v>
      </c>
      <c r="B118" s="3">
        <v>42455</v>
      </c>
      <c r="C118" t="s">
        <v>50</v>
      </c>
      <c r="D118" t="s">
        <v>3102</v>
      </c>
      <c r="E118" t="s">
        <v>50</v>
      </c>
      <c r="F118">
        <v>0</v>
      </c>
      <c r="K118" s="1"/>
    </row>
    <row r="119" spans="1:70" x14ac:dyDescent="0.25">
      <c r="A119" t="s">
        <v>3272</v>
      </c>
      <c r="B119" s="3">
        <v>42455</v>
      </c>
      <c r="C119" t="s">
        <v>50</v>
      </c>
      <c r="D119" t="s">
        <v>3250</v>
      </c>
      <c r="E119" t="s">
        <v>50</v>
      </c>
      <c r="F119">
        <v>22000</v>
      </c>
      <c r="G119" t="s">
        <v>3270</v>
      </c>
      <c r="H119" s="3">
        <v>42455</v>
      </c>
      <c r="I119" t="s">
        <v>214</v>
      </c>
      <c r="J119">
        <v>15000</v>
      </c>
      <c r="K119" s="1"/>
      <c r="M119" s="3">
        <v>42455</v>
      </c>
      <c r="N119" t="s">
        <v>57</v>
      </c>
      <c r="P119" t="s">
        <v>56</v>
      </c>
      <c r="Q119">
        <v>11700</v>
      </c>
      <c r="R119" s="3">
        <v>42471</v>
      </c>
      <c r="S119" t="s">
        <v>54</v>
      </c>
      <c r="U119" t="s">
        <v>60</v>
      </c>
      <c r="V119">
        <v>2900</v>
      </c>
      <c r="AG119" t="s">
        <v>3273</v>
      </c>
      <c r="AH119" s="3">
        <v>42467</v>
      </c>
      <c r="AI119">
        <v>22000</v>
      </c>
      <c r="AJ119">
        <v>0</v>
      </c>
      <c r="AS119" t="s">
        <v>3172</v>
      </c>
      <c r="AT119" s="3">
        <v>42611</v>
      </c>
      <c r="AU119">
        <v>21560</v>
      </c>
      <c r="AV119">
        <v>0</v>
      </c>
      <c r="AW119">
        <v>440</v>
      </c>
      <c r="AX119">
        <v>0</v>
      </c>
      <c r="BQ119" t="s">
        <v>1457</v>
      </c>
      <c r="BR119" t="s">
        <v>3173</v>
      </c>
    </row>
    <row r="120" spans="1:70" x14ac:dyDescent="0.25">
      <c r="A120" t="s">
        <v>3274</v>
      </c>
      <c r="B120" s="3">
        <v>42457</v>
      </c>
      <c r="C120" t="s">
        <v>50</v>
      </c>
      <c r="D120" t="s">
        <v>3250</v>
      </c>
      <c r="E120" t="s">
        <v>50</v>
      </c>
      <c r="F120">
        <v>17000</v>
      </c>
      <c r="G120" t="s">
        <v>3275</v>
      </c>
      <c r="H120" s="3">
        <v>42457</v>
      </c>
      <c r="I120" t="s">
        <v>214</v>
      </c>
      <c r="J120">
        <v>15000</v>
      </c>
      <c r="K120" s="1"/>
      <c r="M120" s="3">
        <v>42457</v>
      </c>
      <c r="N120" t="s">
        <v>57</v>
      </c>
      <c r="P120" t="s">
        <v>56</v>
      </c>
      <c r="Q120">
        <v>11700</v>
      </c>
      <c r="R120" s="3">
        <v>42471</v>
      </c>
      <c r="S120" t="s">
        <v>54</v>
      </c>
      <c r="U120" t="s">
        <v>60</v>
      </c>
      <c r="V120">
        <v>2900</v>
      </c>
      <c r="AG120" t="s">
        <v>3276</v>
      </c>
      <c r="AH120" s="3">
        <v>42476</v>
      </c>
      <c r="AI120">
        <v>17000</v>
      </c>
      <c r="AJ120">
        <v>0</v>
      </c>
      <c r="AS120" t="s">
        <v>3172</v>
      </c>
      <c r="AT120" s="3">
        <v>42611</v>
      </c>
      <c r="AU120">
        <v>16660</v>
      </c>
      <c r="AV120">
        <v>0</v>
      </c>
      <c r="AW120">
        <v>340</v>
      </c>
      <c r="AX120">
        <v>0</v>
      </c>
      <c r="BQ120" t="s">
        <v>1457</v>
      </c>
      <c r="BR120" t="s">
        <v>3173</v>
      </c>
    </row>
    <row r="121" spans="1:70" x14ac:dyDescent="0.25">
      <c r="A121" t="s">
        <v>3282</v>
      </c>
      <c r="B121" s="3">
        <v>42459</v>
      </c>
      <c r="C121" t="s">
        <v>50</v>
      </c>
      <c r="D121" t="s">
        <v>3283</v>
      </c>
      <c r="E121" t="s">
        <v>50</v>
      </c>
      <c r="F121">
        <v>17000</v>
      </c>
      <c r="G121" t="s">
        <v>3284</v>
      </c>
      <c r="H121" s="3">
        <v>42459</v>
      </c>
      <c r="I121" t="s">
        <v>214</v>
      </c>
      <c r="J121">
        <v>15000</v>
      </c>
      <c r="K121" s="1"/>
      <c r="M121" s="3">
        <v>42459</v>
      </c>
      <c r="N121" t="s">
        <v>57</v>
      </c>
      <c r="P121" t="s">
        <v>56</v>
      </c>
      <c r="Q121">
        <v>11700</v>
      </c>
      <c r="R121" s="3">
        <v>42480</v>
      </c>
      <c r="S121" t="s">
        <v>54</v>
      </c>
      <c r="U121" t="s">
        <v>60</v>
      </c>
      <c r="V121">
        <v>2950</v>
      </c>
      <c r="AG121" t="s">
        <v>3285</v>
      </c>
      <c r="AH121" s="3">
        <v>42476</v>
      </c>
      <c r="AI121">
        <v>17000</v>
      </c>
      <c r="AJ121">
        <v>0</v>
      </c>
      <c r="AS121" t="s">
        <v>3172</v>
      </c>
      <c r="AT121" s="3">
        <v>42611</v>
      </c>
      <c r="AU121">
        <v>16660</v>
      </c>
      <c r="AV121">
        <v>0</v>
      </c>
      <c r="AW121">
        <v>340</v>
      </c>
      <c r="AX121">
        <v>0</v>
      </c>
      <c r="BQ121" t="s">
        <v>1457</v>
      </c>
      <c r="BR121" t="s">
        <v>3173</v>
      </c>
    </row>
    <row r="122" spans="1:70" x14ac:dyDescent="0.25">
      <c r="A122" t="s">
        <v>3286</v>
      </c>
      <c r="B122" s="3">
        <v>42459</v>
      </c>
      <c r="C122" t="s">
        <v>50</v>
      </c>
      <c r="D122" t="s">
        <v>3283</v>
      </c>
      <c r="E122" t="s">
        <v>50</v>
      </c>
      <c r="F122">
        <v>17000</v>
      </c>
      <c r="G122" t="s">
        <v>3287</v>
      </c>
      <c r="H122" s="3">
        <v>42459</v>
      </c>
      <c r="I122" t="s">
        <v>214</v>
      </c>
      <c r="J122">
        <v>15000</v>
      </c>
      <c r="K122" s="1"/>
      <c r="M122" s="3">
        <v>42459</v>
      </c>
      <c r="N122" t="s">
        <v>57</v>
      </c>
      <c r="P122" t="s">
        <v>56</v>
      </c>
      <c r="Q122">
        <v>11700</v>
      </c>
      <c r="R122" s="3">
        <v>42480</v>
      </c>
      <c r="S122" t="s">
        <v>54</v>
      </c>
      <c r="U122" t="s">
        <v>60</v>
      </c>
      <c r="V122">
        <v>2950</v>
      </c>
      <c r="AG122" t="s">
        <v>3288</v>
      </c>
      <c r="AH122" s="3">
        <v>42476</v>
      </c>
      <c r="AI122">
        <v>17000</v>
      </c>
      <c r="AJ122">
        <v>0</v>
      </c>
      <c r="AS122" t="s">
        <v>3172</v>
      </c>
      <c r="AT122" s="3">
        <v>42611</v>
      </c>
      <c r="AU122">
        <v>16660</v>
      </c>
      <c r="AV122">
        <v>0</v>
      </c>
      <c r="AW122">
        <v>340</v>
      </c>
      <c r="AX122">
        <v>0</v>
      </c>
      <c r="BQ122" t="s">
        <v>1457</v>
      </c>
      <c r="BR122" t="s">
        <v>3173</v>
      </c>
    </row>
    <row r="123" spans="1:70" x14ac:dyDescent="0.25">
      <c r="A123" t="s">
        <v>3289</v>
      </c>
      <c r="B123" s="3">
        <v>42462</v>
      </c>
      <c r="C123" t="s">
        <v>50</v>
      </c>
      <c r="D123" t="s">
        <v>3250</v>
      </c>
      <c r="E123" t="s">
        <v>50</v>
      </c>
      <c r="F123">
        <v>7300</v>
      </c>
      <c r="G123" t="s">
        <v>3290</v>
      </c>
      <c r="H123" s="3">
        <v>42462</v>
      </c>
      <c r="I123" t="s">
        <v>1844</v>
      </c>
      <c r="J123">
        <v>5500</v>
      </c>
      <c r="K123" s="1"/>
      <c r="M123" s="3">
        <v>42462</v>
      </c>
      <c r="N123" t="s">
        <v>57</v>
      </c>
      <c r="P123" t="s">
        <v>56</v>
      </c>
      <c r="Q123">
        <v>4400</v>
      </c>
      <c r="R123" s="3">
        <v>42490</v>
      </c>
      <c r="S123" t="s">
        <v>57</v>
      </c>
      <c r="U123" t="s">
        <v>60</v>
      </c>
      <c r="V123">
        <v>970</v>
      </c>
      <c r="AG123" t="s">
        <v>3291</v>
      </c>
      <c r="AH123" s="3">
        <v>42504</v>
      </c>
      <c r="AI123">
        <v>7300</v>
      </c>
      <c r="AJ123">
        <v>0</v>
      </c>
      <c r="AS123" t="s">
        <v>3172</v>
      </c>
      <c r="AT123" s="3">
        <v>42611</v>
      </c>
      <c r="AU123">
        <v>7154</v>
      </c>
      <c r="AV123">
        <v>0</v>
      </c>
      <c r="AW123">
        <v>146</v>
      </c>
      <c r="AX123">
        <v>0</v>
      </c>
      <c r="BQ123" t="s">
        <v>1457</v>
      </c>
      <c r="BR123" t="s">
        <v>3173</v>
      </c>
    </row>
    <row r="124" spans="1:70" x14ac:dyDescent="0.25">
      <c r="A124" t="s">
        <v>3292</v>
      </c>
      <c r="B124" s="3">
        <v>42470</v>
      </c>
      <c r="C124" t="s">
        <v>50</v>
      </c>
      <c r="D124" t="s">
        <v>3293</v>
      </c>
      <c r="E124" t="s">
        <v>50</v>
      </c>
      <c r="F124">
        <v>6500</v>
      </c>
      <c r="G124" t="s">
        <v>3294</v>
      </c>
      <c r="H124" s="3">
        <v>42470</v>
      </c>
      <c r="I124" t="s">
        <v>1844</v>
      </c>
      <c r="J124">
        <v>5600</v>
      </c>
      <c r="K124" s="1"/>
      <c r="M124" s="3">
        <v>42471</v>
      </c>
      <c r="N124" t="s">
        <v>57</v>
      </c>
      <c r="P124" t="s">
        <v>56</v>
      </c>
      <c r="Q124">
        <v>2150</v>
      </c>
      <c r="R124" s="3">
        <v>42490</v>
      </c>
      <c r="S124" t="s">
        <v>57</v>
      </c>
      <c r="U124" t="s">
        <v>60</v>
      </c>
      <c r="V124">
        <v>3350</v>
      </c>
      <c r="AS124" t="s">
        <v>3295</v>
      </c>
      <c r="AT124" s="3">
        <v>42490</v>
      </c>
      <c r="AU124">
        <v>6500</v>
      </c>
      <c r="AV124">
        <v>0</v>
      </c>
      <c r="AW124">
        <v>0</v>
      </c>
      <c r="AX124">
        <v>0</v>
      </c>
    </row>
    <row r="125" spans="1:70" x14ac:dyDescent="0.25">
      <c r="A125" t="s">
        <v>3296</v>
      </c>
      <c r="B125" s="3">
        <v>42472</v>
      </c>
      <c r="C125" t="s">
        <v>50</v>
      </c>
      <c r="D125" t="s">
        <v>3297</v>
      </c>
      <c r="E125" t="s">
        <v>50</v>
      </c>
      <c r="F125">
        <v>17000</v>
      </c>
      <c r="G125" t="s">
        <v>3298</v>
      </c>
      <c r="H125" s="3">
        <v>42472</v>
      </c>
      <c r="I125" t="s">
        <v>214</v>
      </c>
      <c r="J125">
        <v>15500</v>
      </c>
      <c r="K125" s="1"/>
      <c r="M125" s="3">
        <v>42472</v>
      </c>
      <c r="N125" t="s">
        <v>57</v>
      </c>
      <c r="P125" t="s">
        <v>56</v>
      </c>
      <c r="Q125">
        <v>12300</v>
      </c>
      <c r="R125" s="3">
        <v>42488</v>
      </c>
      <c r="S125" t="s">
        <v>54</v>
      </c>
      <c r="U125" t="s">
        <v>60</v>
      </c>
      <c r="V125">
        <v>2950</v>
      </c>
      <c r="AG125" t="s">
        <v>3299</v>
      </c>
      <c r="AH125" s="3">
        <v>42489</v>
      </c>
      <c r="AI125">
        <v>17000</v>
      </c>
      <c r="AJ125">
        <v>0</v>
      </c>
      <c r="AS125" t="s">
        <v>3172</v>
      </c>
      <c r="AT125" s="3">
        <v>42611</v>
      </c>
      <c r="AU125">
        <v>16660</v>
      </c>
      <c r="AV125">
        <v>0</v>
      </c>
      <c r="AW125">
        <v>340</v>
      </c>
      <c r="AX125">
        <v>0</v>
      </c>
      <c r="BQ125" t="s">
        <v>1457</v>
      </c>
      <c r="BR125" t="s">
        <v>3173</v>
      </c>
    </row>
    <row r="126" spans="1:70" x14ac:dyDescent="0.25">
      <c r="A126" t="s">
        <v>3300</v>
      </c>
      <c r="B126" s="3">
        <v>42472</v>
      </c>
      <c r="C126" t="s">
        <v>50</v>
      </c>
      <c r="D126" t="s">
        <v>3301</v>
      </c>
      <c r="E126" t="s">
        <v>50</v>
      </c>
      <c r="F126">
        <v>40000</v>
      </c>
      <c r="G126" t="s">
        <v>3302</v>
      </c>
      <c r="H126" s="3">
        <v>42472</v>
      </c>
      <c r="I126" t="s">
        <v>1368</v>
      </c>
      <c r="J126">
        <v>36500</v>
      </c>
      <c r="K126" s="1"/>
      <c r="M126" s="3">
        <v>42472</v>
      </c>
      <c r="N126" t="s">
        <v>57</v>
      </c>
      <c r="P126" t="s">
        <v>56</v>
      </c>
      <c r="Q126">
        <v>32000</v>
      </c>
      <c r="R126" s="3">
        <v>42499</v>
      </c>
      <c r="S126" t="s">
        <v>54</v>
      </c>
      <c r="U126" t="s">
        <v>60</v>
      </c>
      <c r="V126">
        <v>3900</v>
      </c>
      <c r="AG126" t="s">
        <v>3303</v>
      </c>
      <c r="AH126" s="3">
        <v>42496</v>
      </c>
      <c r="AI126">
        <v>40000</v>
      </c>
      <c r="AJ126">
        <v>0</v>
      </c>
      <c r="AS126" t="s">
        <v>3172</v>
      </c>
      <c r="AT126" s="3">
        <v>42611</v>
      </c>
      <c r="AU126">
        <v>39200</v>
      </c>
      <c r="AV126">
        <v>0</v>
      </c>
      <c r="AW126">
        <v>800</v>
      </c>
      <c r="AX126">
        <v>0</v>
      </c>
      <c r="BQ126" t="s">
        <v>1457</v>
      </c>
      <c r="BR126" t="s">
        <v>3173</v>
      </c>
    </row>
    <row r="127" spans="1:70" x14ac:dyDescent="0.25">
      <c r="A127" t="s">
        <v>3304</v>
      </c>
      <c r="B127" s="3">
        <v>42476</v>
      </c>
      <c r="C127" t="s">
        <v>50</v>
      </c>
      <c r="D127" t="s">
        <v>3301</v>
      </c>
      <c r="E127" t="s">
        <v>50</v>
      </c>
      <c r="F127">
        <v>85000</v>
      </c>
      <c r="G127" t="s">
        <v>3305</v>
      </c>
      <c r="H127" s="3">
        <v>42476</v>
      </c>
      <c r="I127" t="s">
        <v>3001</v>
      </c>
      <c r="J127">
        <v>77000</v>
      </c>
      <c r="K127" s="1"/>
      <c r="M127" s="3">
        <v>42476</v>
      </c>
      <c r="N127" t="s">
        <v>54</v>
      </c>
      <c r="P127" t="s">
        <v>56</v>
      </c>
      <c r="Q127">
        <v>46300</v>
      </c>
      <c r="R127" s="3">
        <v>42476</v>
      </c>
      <c r="S127" t="s">
        <v>57</v>
      </c>
      <c r="U127" t="s">
        <v>56</v>
      </c>
      <c r="V127">
        <v>20000</v>
      </c>
      <c r="W127" s="3">
        <v>42493</v>
      </c>
      <c r="X127" t="s">
        <v>54</v>
      </c>
      <c r="Z127" t="s">
        <v>60</v>
      </c>
      <c r="AA127">
        <v>9900</v>
      </c>
      <c r="AG127" t="s">
        <v>3306</v>
      </c>
      <c r="AH127" s="3">
        <v>42489</v>
      </c>
      <c r="AI127">
        <v>85000</v>
      </c>
      <c r="AJ127">
        <v>0</v>
      </c>
      <c r="AS127" t="s">
        <v>3172</v>
      </c>
      <c r="AT127" s="3">
        <v>42611</v>
      </c>
      <c r="AU127">
        <v>83300</v>
      </c>
      <c r="AV127">
        <v>0</v>
      </c>
      <c r="AW127">
        <v>1700</v>
      </c>
      <c r="AX127">
        <v>0</v>
      </c>
      <c r="BQ127" t="s">
        <v>1457</v>
      </c>
      <c r="BR127" t="s">
        <v>3173</v>
      </c>
    </row>
    <row r="128" spans="1:70" x14ac:dyDescent="0.25">
      <c r="A128" t="s">
        <v>3307</v>
      </c>
      <c r="B128" s="3">
        <v>42479</v>
      </c>
      <c r="C128" t="s">
        <v>50</v>
      </c>
      <c r="D128" t="s">
        <v>3308</v>
      </c>
      <c r="E128" t="s">
        <v>50</v>
      </c>
      <c r="F128">
        <v>170000</v>
      </c>
      <c r="G128" t="s">
        <v>3309</v>
      </c>
      <c r="H128" s="3">
        <v>42479</v>
      </c>
      <c r="I128" t="s">
        <v>3310</v>
      </c>
      <c r="J128">
        <v>155000</v>
      </c>
      <c r="K128" s="1"/>
      <c r="M128" s="3">
        <v>42480</v>
      </c>
      <c r="N128" t="s">
        <v>54</v>
      </c>
      <c r="P128" t="s">
        <v>56</v>
      </c>
      <c r="Q128">
        <v>139300</v>
      </c>
      <c r="R128" s="3">
        <v>42508</v>
      </c>
      <c r="S128" t="s">
        <v>54</v>
      </c>
      <c r="U128" t="s">
        <v>60</v>
      </c>
      <c r="V128">
        <v>14800</v>
      </c>
      <c r="AG128" t="s">
        <v>3311</v>
      </c>
      <c r="AH128" s="3">
        <v>42504</v>
      </c>
      <c r="AI128">
        <v>170000</v>
      </c>
      <c r="AJ128">
        <v>0</v>
      </c>
      <c r="AS128" t="s">
        <v>3312</v>
      </c>
      <c r="AT128" s="3">
        <v>42556</v>
      </c>
      <c r="AU128">
        <v>166600</v>
      </c>
      <c r="AV128">
        <v>0</v>
      </c>
      <c r="AW128">
        <v>3400</v>
      </c>
      <c r="AX128">
        <v>0</v>
      </c>
      <c r="BQ128" t="s">
        <v>72</v>
      </c>
      <c r="BR128" t="s">
        <v>3313</v>
      </c>
    </row>
    <row r="129" spans="1:74" x14ac:dyDescent="0.25">
      <c r="A129" t="s">
        <v>3314</v>
      </c>
      <c r="B129" s="3">
        <v>42480</v>
      </c>
      <c r="C129" t="s">
        <v>50</v>
      </c>
      <c r="D129" t="s">
        <v>3315</v>
      </c>
      <c r="E129" t="s">
        <v>50</v>
      </c>
      <c r="F129">
        <v>4000</v>
      </c>
      <c r="G129" t="s">
        <v>3316</v>
      </c>
      <c r="H129" s="3">
        <v>42480</v>
      </c>
      <c r="I129" t="s">
        <v>214</v>
      </c>
      <c r="J129">
        <v>3000</v>
      </c>
      <c r="K129" s="1"/>
      <c r="M129" s="3">
        <v>42488</v>
      </c>
      <c r="N129" t="s">
        <v>54</v>
      </c>
      <c r="P129" t="s">
        <v>60</v>
      </c>
      <c r="Q129">
        <v>2950</v>
      </c>
      <c r="AG129" t="s">
        <v>3317</v>
      </c>
      <c r="AH129" s="3">
        <v>42485</v>
      </c>
      <c r="AI129">
        <v>4000</v>
      </c>
      <c r="AJ129">
        <v>0</v>
      </c>
      <c r="AS129" t="s">
        <v>3172</v>
      </c>
      <c r="AT129" s="3">
        <v>42611</v>
      </c>
      <c r="AU129">
        <v>3920</v>
      </c>
      <c r="AV129">
        <v>0</v>
      </c>
      <c r="AW129">
        <v>80</v>
      </c>
      <c r="AX129">
        <v>0</v>
      </c>
      <c r="BQ129" t="s">
        <v>1457</v>
      </c>
      <c r="BR129" t="s">
        <v>3173</v>
      </c>
    </row>
    <row r="130" spans="1:74" x14ac:dyDescent="0.25">
      <c r="A130" t="s">
        <v>3318</v>
      </c>
      <c r="B130" s="3">
        <v>42480</v>
      </c>
      <c r="C130" t="s">
        <v>50</v>
      </c>
      <c r="D130" t="s">
        <v>3319</v>
      </c>
      <c r="E130" t="s">
        <v>50</v>
      </c>
      <c r="F130">
        <v>0</v>
      </c>
      <c r="K130" s="1"/>
      <c r="AG130" t="s">
        <v>3317</v>
      </c>
      <c r="AH130" s="3">
        <v>42485</v>
      </c>
      <c r="AI130">
        <v>0</v>
      </c>
      <c r="AJ130">
        <v>0</v>
      </c>
      <c r="AS130" t="s">
        <v>3172</v>
      </c>
      <c r="AT130" s="3">
        <v>42611</v>
      </c>
      <c r="AU130">
        <v>3920</v>
      </c>
      <c r="AV130">
        <v>0</v>
      </c>
      <c r="AW130">
        <v>80</v>
      </c>
      <c r="AX130">
        <v>0</v>
      </c>
      <c r="BQ130" t="s">
        <v>1457</v>
      </c>
      <c r="BR130" t="s">
        <v>3173</v>
      </c>
    </row>
    <row r="131" spans="1:74" x14ac:dyDescent="0.25">
      <c r="A131" t="s">
        <v>3320</v>
      </c>
      <c r="B131" s="3">
        <v>42483</v>
      </c>
      <c r="C131" t="s">
        <v>50</v>
      </c>
      <c r="D131" t="s">
        <v>3308</v>
      </c>
      <c r="E131" t="s">
        <v>50</v>
      </c>
      <c r="F131">
        <v>155000</v>
      </c>
      <c r="G131" t="s">
        <v>3321</v>
      </c>
      <c r="H131" s="3">
        <v>42483</v>
      </c>
      <c r="I131" t="s">
        <v>214</v>
      </c>
      <c r="J131">
        <v>142000</v>
      </c>
      <c r="K131" s="1"/>
      <c r="M131" s="3">
        <v>42483</v>
      </c>
      <c r="N131" t="s">
        <v>54</v>
      </c>
      <c r="P131" t="s">
        <v>56</v>
      </c>
      <c r="Q131">
        <v>122000</v>
      </c>
      <c r="R131" s="3">
        <v>42510</v>
      </c>
      <c r="S131" t="s">
        <v>54</v>
      </c>
      <c r="U131" t="s">
        <v>60</v>
      </c>
      <c r="V131">
        <v>19000</v>
      </c>
      <c r="AG131" t="s">
        <v>3322</v>
      </c>
      <c r="AH131" s="3">
        <v>42504</v>
      </c>
      <c r="AI131">
        <v>155000</v>
      </c>
      <c r="AJ131">
        <v>0</v>
      </c>
      <c r="AS131" t="s">
        <v>3312</v>
      </c>
      <c r="AT131" s="3">
        <v>42556</v>
      </c>
      <c r="AU131">
        <v>151900</v>
      </c>
      <c r="AV131">
        <v>0</v>
      </c>
      <c r="AW131">
        <v>3100</v>
      </c>
      <c r="AX131">
        <v>0</v>
      </c>
    </row>
    <row r="132" spans="1:74" x14ac:dyDescent="0.25">
      <c r="A132" t="s">
        <v>3327</v>
      </c>
      <c r="B132" s="3">
        <v>42488</v>
      </c>
      <c r="C132" t="s">
        <v>50</v>
      </c>
      <c r="D132" t="s">
        <v>3328</v>
      </c>
      <c r="E132" t="s">
        <v>50</v>
      </c>
      <c r="F132">
        <v>234000</v>
      </c>
      <c r="G132" t="s">
        <v>3329</v>
      </c>
      <c r="H132" s="3">
        <v>42488</v>
      </c>
      <c r="I132" t="s">
        <v>214</v>
      </c>
      <c r="J132">
        <v>205000</v>
      </c>
      <c r="K132" s="1"/>
      <c r="M132" s="3">
        <v>42488</v>
      </c>
      <c r="N132" t="s">
        <v>54</v>
      </c>
      <c r="P132" t="s">
        <v>56</v>
      </c>
      <c r="Q132">
        <v>140000</v>
      </c>
      <c r="R132" s="3">
        <v>42488</v>
      </c>
      <c r="S132" t="s">
        <v>57</v>
      </c>
      <c r="U132" t="s">
        <v>56</v>
      </c>
      <c r="V132">
        <v>25000</v>
      </c>
      <c r="W132" s="3">
        <v>42530</v>
      </c>
      <c r="X132" t="s">
        <v>54</v>
      </c>
      <c r="Z132" t="s">
        <v>60</v>
      </c>
      <c r="AA132">
        <v>39000</v>
      </c>
      <c r="AG132" t="s">
        <v>3330</v>
      </c>
      <c r="AH132" s="3">
        <v>42521</v>
      </c>
      <c r="AI132">
        <v>234000</v>
      </c>
      <c r="AJ132">
        <v>0</v>
      </c>
      <c r="AS132" t="s">
        <v>3331</v>
      </c>
      <c r="AT132" s="3">
        <v>42754</v>
      </c>
      <c r="AU132">
        <v>233365.25</v>
      </c>
      <c r="AV132">
        <v>0</v>
      </c>
      <c r="AW132">
        <v>634.75</v>
      </c>
      <c r="AX132">
        <v>0</v>
      </c>
    </row>
    <row r="133" spans="1:74" x14ac:dyDescent="0.25">
      <c r="A133" t="s">
        <v>3332</v>
      </c>
      <c r="B133" s="3">
        <v>42490</v>
      </c>
      <c r="C133" t="s">
        <v>50</v>
      </c>
      <c r="D133" t="s">
        <v>3328</v>
      </c>
      <c r="E133" t="s">
        <v>50</v>
      </c>
      <c r="F133">
        <v>272400</v>
      </c>
      <c r="G133" t="s">
        <v>3333</v>
      </c>
      <c r="H133" s="3">
        <v>42490</v>
      </c>
      <c r="I133" t="s">
        <v>3334</v>
      </c>
      <c r="J133">
        <v>240000</v>
      </c>
      <c r="K133" s="1"/>
      <c r="M133" s="3">
        <v>42490</v>
      </c>
      <c r="N133" t="s">
        <v>54</v>
      </c>
      <c r="P133" t="s">
        <v>56</v>
      </c>
      <c r="Q133">
        <v>157200</v>
      </c>
      <c r="R133" s="3">
        <v>42490</v>
      </c>
      <c r="S133" t="s">
        <v>57</v>
      </c>
      <c r="U133" t="s">
        <v>56</v>
      </c>
      <c r="V133">
        <v>30000</v>
      </c>
      <c r="W133" s="3">
        <v>42528</v>
      </c>
      <c r="X133" t="s">
        <v>54</v>
      </c>
      <c r="Z133" t="s">
        <v>60</v>
      </c>
      <c r="AA133">
        <v>51500</v>
      </c>
      <c r="AG133" t="s">
        <v>3335</v>
      </c>
      <c r="AH133" s="3">
        <v>42508</v>
      </c>
      <c r="AI133">
        <v>272400</v>
      </c>
      <c r="AJ133">
        <v>0</v>
      </c>
      <c r="AS133" t="s">
        <v>3312</v>
      </c>
      <c r="AT133" s="3">
        <v>42556</v>
      </c>
      <c r="AU133">
        <v>262100</v>
      </c>
      <c r="AV133">
        <v>0</v>
      </c>
      <c r="AW133">
        <v>10300</v>
      </c>
      <c r="AX133">
        <v>0</v>
      </c>
    </row>
    <row r="134" spans="1:74" x14ac:dyDescent="0.25">
      <c r="A134" t="s">
        <v>3336</v>
      </c>
      <c r="B134" s="3">
        <v>42490</v>
      </c>
      <c r="C134" t="s">
        <v>50</v>
      </c>
      <c r="D134" t="s">
        <v>3328</v>
      </c>
      <c r="E134" t="s">
        <v>50</v>
      </c>
      <c r="F134">
        <v>0</v>
      </c>
      <c r="G134" t="s">
        <v>3337</v>
      </c>
      <c r="H134" s="3">
        <v>42490</v>
      </c>
      <c r="I134" t="s">
        <v>3334</v>
      </c>
      <c r="J134">
        <v>210000</v>
      </c>
      <c r="K134" s="1"/>
      <c r="M134" s="3">
        <v>42490</v>
      </c>
      <c r="N134" t="s">
        <v>54</v>
      </c>
      <c r="P134" t="s">
        <v>56</v>
      </c>
      <c r="Q134">
        <v>133200</v>
      </c>
      <c r="R134" s="3">
        <v>42490</v>
      </c>
      <c r="S134" t="s">
        <v>57</v>
      </c>
      <c r="U134" t="s">
        <v>56</v>
      </c>
      <c r="V134">
        <v>30000</v>
      </c>
      <c r="W134" s="3">
        <v>42528</v>
      </c>
      <c r="X134" t="s">
        <v>54</v>
      </c>
      <c r="Z134" t="s">
        <v>60</v>
      </c>
      <c r="AA134">
        <v>45500</v>
      </c>
      <c r="AG134" t="s">
        <v>3338</v>
      </c>
      <c r="AH134" s="3">
        <v>42508</v>
      </c>
      <c r="AI134">
        <v>0</v>
      </c>
      <c r="AJ134">
        <v>0</v>
      </c>
      <c r="AS134" t="s">
        <v>3339</v>
      </c>
      <c r="AT134" s="3">
        <v>42705</v>
      </c>
      <c r="AU134">
        <v>80000</v>
      </c>
      <c r="AV134">
        <v>0</v>
      </c>
      <c r="AW134">
        <v>0</v>
      </c>
      <c r="AX134">
        <v>0</v>
      </c>
      <c r="AY134" t="s">
        <v>3340</v>
      </c>
      <c r="AZ134" s="3">
        <v>42705</v>
      </c>
      <c r="BA134">
        <v>103552</v>
      </c>
      <c r="BB134">
        <v>0</v>
      </c>
      <c r="BC134">
        <v>0</v>
      </c>
      <c r="BD134">
        <v>0</v>
      </c>
      <c r="BE134" t="s">
        <v>3217</v>
      </c>
      <c r="BF134" s="3">
        <v>42984</v>
      </c>
      <c r="BG134">
        <v>59048</v>
      </c>
      <c r="BH134">
        <v>0</v>
      </c>
      <c r="BI134">
        <v>0</v>
      </c>
      <c r="BJ134">
        <v>0</v>
      </c>
      <c r="BU134" t="s">
        <v>72</v>
      </c>
      <c r="BV134" t="s">
        <v>3218</v>
      </c>
    </row>
    <row r="135" spans="1:74" x14ac:dyDescent="0.25">
      <c r="A135" t="s">
        <v>3341</v>
      </c>
      <c r="B135" s="3">
        <v>42490</v>
      </c>
      <c r="C135" t="s">
        <v>50</v>
      </c>
      <c r="D135" t="s">
        <v>3328</v>
      </c>
      <c r="E135" t="s">
        <v>50</v>
      </c>
      <c r="F135">
        <v>242600</v>
      </c>
      <c r="K135" s="1"/>
      <c r="AG135" t="s">
        <v>3338</v>
      </c>
      <c r="AH135" s="3">
        <v>42508</v>
      </c>
      <c r="AI135">
        <v>242600</v>
      </c>
      <c r="AJ135">
        <v>0</v>
      </c>
      <c r="AS135" s="13" t="s">
        <v>3339</v>
      </c>
      <c r="AT135" s="3">
        <v>42705</v>
      </c>
      <c r="AU135">
        <v>80000</v>
      </c>
      <c r="AV135">
        <v>0</v>
      </c>
      <c r="AW135">
        <v>0</v>
      </c>
      <c r="AX135">
        <v>0</v>
      </c>
      <c r="AY135" s="13" t="s">
        <v>3340</v>
      </c>
      <c r="AZ135" s="3">
        <v>42705</v>
      </c>
      <c r="BA135">
        <v>103552</v>
      </c>
      <c r="BB135">
        <v>0</v>
      </c>
      <c r="BC135">
        <v>0</v>
      </c>
      <c r="BD135">
        <v>0</v>
      </c>
      <c r="BE135" s="13" t="s">
        <v>3217</v>
      </c>
      <c r="BF135" s="3">
        <v>42984</v>
      </c>
      <c r="BG135">
        <v>59048</v>
      </c>
      <c r="BH135">
        <v>0</v>
      </c>
      <c r="BI135">
        <v>0</v>
      </c>
      <c r="BJ135">
        <v>0</v>
      </c>
      <c r="BU135" t="s">
        <v>72</v>
      </c>
      <c r="BV135" t="s">
        <v>3218</v>
      </c>
    </row>
    <row r="136" spans="1:74" x14ac:dyDescent="0.25">
      <c r="A136" t="s">
        <v>3345</v>
      </c>
      <c r="B136" s="3">
        <v>42492</v>
      </c>
      <c r="C136" t="s">
        <v>50</v>
      </c>
      <c r="D136" t="s">
        <v>3102</v>
      </c>
      <c r="E136" t="s">
        <v>50</v>
      </c>
      <c r="F136">
        <v>22000</v>
      </c>
      <c r="G136" t="s">
        <v>3346</v>
      </c>
      <c r="H136" s="3">
        <v>42492</v>
      </c>
      <c r="I136" t="s">
        <v>214</v>
      </c>
      <c r="J136">
        <v>20000</v>
      </c>
      <c r="K136" s="1"/>
      <c r="M136" s="3">
        <v>42492</v>
      </c>
      <c r="N136" t="s">
        <v>57</v>
      </c>
      <c r="P136" t="s">
        <v>56</v>
      </c>
      <c r="Q136">
        <v>17750</v>
      </c>
      <c r="R136" s="3">
        <v>42494</v>
      </c>
      <c r="S136" t="s">
        <v>57</v>
      </c>
      <c r="U136" t="s">
        <v>60</v>
      </c>
      <c r="V136">
        <v>1950</v>
      </c>
      <c r="AG136" t="s">
        <v>3347</v>
      </c>
      <c r="AH136" s="3">
        <v>42496</v>
      </c>
      <c r="AI136">
        <v>22000</v>
      </c>
      <c r="AJ136">
        <v>0</v>
      </c>
      <c r="AS136" t="s">
        <v>3172</v>
      </c>
      <c r="AT136" s="3">
        <v>42611</v>
      </c>
      <c r="AU136">
        <v>21560</v>
      </c>
      <c r="AV136">
        <v>0</v>
      </c>
      <c r="AW136">
        <v>440</v>
      </c>
      <c r="AX136">
        <v>0</v>
      </c>
      <c r="BQ136" t="s">
        <v>1457</v>
      </c>
      <c r="BR136" t="s">
        <v>3173</v>
      </c>
    </row>
    <row r="137" spans="1:74" x14ac:dyDescent="0.25">
      <c r="A137" t="s">
        <v>3351</v>
      </c>
      <c r="B137" s="3">
        <v>42497</v>
      </c>
      <c r="C137" t="s">
        <v>50</v>
      </c>
      <c r="D137" t="s">
        <v>3352</v>
      </c>
      <c r="E137" t="s">
        <v>50</v>
      </c>
      <c r="F137">
        <v>10000</v>
      </c>
      <c r="G137" t="s">
        <v>3353</v>
      </c>
      <c r="H137" s="3">
        <v>42497</v>
      </c>
      <c r="I137" t="s">
        <v>3354</v>
      </c>
      <c r="J137">
        <v>8500</v>
      </c>
      <c r="K137" s="1"/>
      <c r="M137" s="3">
        <v>42497</v>
      </c>
      <c r="N137" t="s">
        <v>57</v>
      </c>
      <c r="P137" t="s">
        <v>56</v>
      </c>
      <c r="Q137">
        <v>7300</v>
      </c>
      <c r="R137" s="3">
        <v>42571</v>
      </c>
      <c r="S137" t="s">
        <v>57</v>
      </c>
      <c r="U137" t="s">
        <v>60</v>
      </c>
      <c r="V137">
        <v>950</v>
      </c>
      <c r="AS137" t="s">
        <v>3355</v>
      </c>
      <c r="AT137" s="3">
        <v>42507</v>
      </c>
      <c r="AU137">
        <v>10000</v>
      </c>
      <c r="AV137">
        <v>0</v>
      </c>
      <c r="AW137">
        <v>0</v>
      </c>
      <c r="AX137">
        <v>0</v>
      </c>
    </row>
    <row r="138" spans="1:74" x14ac:dyDescent="0.25">
      <c r="A138" t="s">
        <v>3361</v>
      </c>
      <c r="B138" s="3">
        <v>42499</v>
      </c>
      <c r="C138" t="s">
        <v>50</v>
      </c>
      <c r="D138" t="s">
        <v>3362</v>
      </c>
      <c r="E138" t="s">
        <v>50</v>
      </c>
      <c r="F138">
        <v>22000</v>
      </c>
      <c r="G138" t="s">
        <v>3363</v>
      </c>
      <c r="H138" s="3">
        <v>42499</v>
      </c>
      <c r="I138" t="s">
        <v>2434</v>
      </c>
      <c r="J138">
        <v>19800</v>
      </c>
      <c r="K138" s="1"/>
      <c r="M138" s="3">
        <v>42499</v>
      </c>
      <c r="N138" t="s">
        <v>57</v>
      </c>
      <c r="P138" t="s">
        <v>56</v>
      </c>
      <c r="Q138">
        <v>15100</v>
      </c>
      <c r="R138" s="3">
        <v>42508</v>
      </c>
      <c r="S138" t="s">
        <v>54</v>
      </c>
      <c r="U138" t="s">
        <v>60</v>
      </c>
      <c r="V138">
        <v>4250</v>
      </c>
      <c r="AG138" t="s">
        <v>3364</v>
      </c>
      <c r="AH138" s="3">
        <v>42504</v>
      </c>
      <c r="AI138">
        <v>22000</v>
      </c>
      <c r="AJ138">
        <v>0</v>
      </c>
      <c r="AS138" t="s">
        <v>3172</v>
      </c>
      <c r="AT138" s="3">
        <v>42611</v>
      </c>
      <c r="AU138">
        <v>21560</v>
      </c>
      <c r="AV138">
        <v>0</v>
      </c>
      <c r="AW138">
        <v>440</v>
      </c>
      <c r="AX138">
        <v>0</v>
      </c>
      <c r="BQ138" t="s">
        <v>1457</v>
      </c>
      <c r="BR138" t="s">
        <v>3173</v>
      </c>
    </row>
    <row r="139" spans="1:74" x14ac:dyDescent="0.25">
      <c r="A139" t="s">
        <v>3365</v>
      </c>
      <c r="B139" s="3">
        <v>42499</v>
      </c>
      <c r="C139" t="s">
        <v>50</v>
      </c>
      <c r="D139" t="s">
        <v>3366</v>
      </c>
      <c r="E139" t="s">
        <v>50</v>
      </c>
      <c r="F139">
        <v>6000</v>
      </c>
      <c r="G139" t="s">
        <v>3367</v>
      </c>
      <c r="H139" s="3">
        <v>42499</v>
      </c>
      <c r="I139" t="s">
        <v>214</v>
      </c>
      <c r="J139">
        <v>10000</v>
      </c>
      <c r="K139" s="1"/>
      <c r="M139" s="3">
        <v>42502</v>
      </c>
      <c r="N139" t="s">
        <v>54</v>
      </c>
      <c r="P139" t="s">
        <v>60</v>
      </c>
      <c r="Q139">
        <v>9800</v>
      </c>
      <c r="AG139" t="s">
        <v>3368</v>
      </c>
      <c r="AH139" s="3">
        <v>42504</v>
      </c>
      <c r="AI139">
        <v>6000</v>
      </c>
      <c r="AJ139">
        <v>0</v>
      </c>
      <c r="AS139" t="s">
        <v>3172</v>
      </c>
      <c r="AT139" s="3">
        <v>42611</v>
      </c>
      <c r="AU139">
        <v>5880</v>
      </c>
      <c r="AV139">
        <v>0</v>
      </c>
      <c r="AW139">
        <v>120</v>
      </c>
      <c r="AX139">
        <v>0</v>
      </c>
      <c r="BQ139" t="s">
        <v>1457</v>
      </c>
      <c r="BR139" t="s">
        <v>3173</v>
      </c>
    </row>
    <row r="140" spans="1:74" x14ac:dyDescent="0.25">
      <c r="A140" t="s">
        <v>3369</v>
      </c>
      <c r="B140" s="3">
        <v>42499</v>
      </c>
      <c r="C140" t="s">
        <v>50</v>
      </c>
      <c r="D140" t="s">
        <v>3370</v>
      </c>
      <c r="E140" t="s">
        <v>50</v>
      </c>
      <c r="F140">
        <v>6000</v>
      </c>
      <c r="K140" s="1"/>
      <c r="AG140" t="s">
        <v>3371</v>
      </c>
      <c r="AH140" s="3">
        <v>42504</v>
      </c>
      <c r="AI140">
        <v>6000</v>
      </c>
      <c r="AJ140">
        <v>0</v>
      </c>
      <c r="AS140" t="s">
        <v>3172</v>
      </c>
      <c r="AT140" s="3">
        <v>42611</v>
      </c>
      <c r="AU140">
        <v>5880</v>
      </c>
      <c r="AV140">
        <v>0</v>
      </c>
      <c r="AW140">
        <v>120</v>
      </c>
      <c r="AX140">
        <v>0</v>
      </c>
      <c r="BQ140" t="s">
        <v>1457</v>
      </c>
      <c r="BR140" t="s">
        <v>3173</v>
      </c>
    </row>
    <row r="141" spans="1:74" x14ac:dyDescent="0.25">
      <c r="A141" t="s">
        <v>3381</v>
      </c>
      <c r="B141" s="3">
        <v>42507</v>
      </c>
      <c r="C141" t="s">
        <v>50</v>
      </c>
      <c r="D141" t="s">
        <v>3382</v>
      </c>
      <c r="E141" t="s">
        <v>50</v>
      </c>
      <c r="F141">
        <v>20000</v>
      </c>
      <c r="G141" t="s">
        <v>3383</v>
      </c>
      <c r="H141" s="3">
        <v>42507</v>
      </c>
      <c r="I141" t="s">
        <v>2434</v>
      </c>
      <c r="J141">
        <v>18000</v>
      </c>
      <c r="K141" s="1"/>
      <c r="M141" s="3">
        <v>42507</v>
      </c>
      <c r="N141" t="s">
        <v>57</v>
      </c>
      <c r="P141" t="s">
        <v>56</v>
      </c>
      <c r="Q141">
        <v>14700</v>
      </c>
      <c r="R141" s="3">
        <v>42517</v>
      </c>
      <c r="S141" t="s">
        <v>54</v>
      </c>
      <c r="U141" t="s">
        <v>60</v>
      </c>
      <c r="V141">
        <v>2950</v>
      </c>
      <c r="AG141" t="s">
        <v>3384</v>
      </c>
      <c r="AH141" s="3">
        <v>42517</v>
      </c>
      <c r="AI141">
        <v>20000</v>
      </c>
      <c r="AJ141">
        <v>0</v>
      </c>
      <c r="AS141" t="s">
        <v>3172</v>
      </c>
      <c r="AT141" s="3">
        <v>42611</v>
      </c>
      <c r="AU141">
        <v>19600</v>
      </c>
      <c r="AV141">
        <v>0</v>
      </c>
      <c r="AW141">
        <v>400</v>
      </c>
      <c r="AX141">
        <v>0</v>
      </c>
      <c r="BQ141" t="s">
        <v>1457</v>
      </c>
      <c r="BR141" t="s">
        <v>3173</v>
      </c>
    </row>
    <row r="142" spans="1:74" x14ac:dyDescent="0.25">
      <c r="A142" t="s">
        <v>3385</v>
      </c>
      <c r="B142" s="3">
        <v>42508</v>
      </c>
      <c r="C142" t="s">
        <v>50</v>
      </c>
      <c r="D142" t="s">
        <v>3386</v>
      </c>
      <c r="E142" t="s">
        <v>50</v>
      </c>
      <c r="F142">
        <v>170000</v>
      </c>
      <c r="G142" t="s">
        <v>3387</v>
      </c>
      <c r="H142" s="3">
        <v>42508</v>
      </c>
      <c r="I142" t="s">
        <v>1554</v>
      </c>
      <c r="J142">
        <v>150000</v>
      </c>
      <c r="K142" s="1"/>
      <c r="M142" s="3">
        <v>42508</v>
      </c>
      <c r="N142" t="s">
        <v>54</v>
      </c>
      <c r="P142" t="s">
        <v>56</v>
      </c>
      <c r="Q142">
        <v>118500</v>
      </c>
      <c r="R142" s="3">
        <v>42566</v>
      </c>
      <c r="S142" t="s">
        <v>54</v>
      </c>
      <c r="U142" t="s">
        <v>60</v>
      </c>
      <c r="V142">
        <v>29700</v>
      </c>
      <c r="AG142" t="s">
        <v>3388</v>
      </c>
      <c r="AH142" s="3">
        <v>42537</v>
      </c>
      <c r="AI142">
        <v>170000</v>
      </c>
      <c r="AJ142">
        <v>0</v>
      </c>
      <c r="AS142" t="s">
        <v>3389</v>
      </c>
      <c r="AT142" s="3">
        <v>42693</v>
      </c>
      <c r="AU142">
        <v>166600</v>
      </c>
      <c r="AV142">
        <v>0</v>
      </c>
      <c r="AW142">
        <v>3400</v>
      </c>
      <c r="AX142">
        <v>0</v>
      </c>
    </row>
    <row r="143" spans="1:74" x14ac:dyDescent="0.25">
      <c r="A143" t="s">
        <v>3390</v>
      </c>
      <c r="B143" s="3">
        <v>42513</v>
      </c>
      <c r="C143" t="s">
        <v>50</v>
      </c>
      <c r="D143" t="s">
        <v>3391</v>
      </c>
      <c r="E143" t="s">
        <v>50</v>
      </c>
      <c r="F143">
        <v>19000</v>
      </c>
      <c r="G143" t="s">
        <v>3392</v>
      </c>
      <c r="H143" s="3">
        <v>42513</v>
      </c>
      <c r="I143" t="s">
        <v>214</v>
      </c>
      <c r="J143">
        <v>17500</v>
      </c>
      <c r="K143" s="1"/>
      <c r="M143" s="3">
        <v>42513</v>
      </c>
      <c r="N143" t="s">
        <v>57</v>
      </c>
      <c r="P143" t="s">
        <v>56</v>
      </c>
      <c r="Q143">
        <v>15000</v>
      </c>
      <c r="R143" s="3">
        <v>42525</v>
      </c>
      <c r="S143" t="s">
        <v>54</v>
      </c>
      <c r="U143" t="s">
        <v>60</v>
      </c>
      <c r="V143">
        <v>2150</v>
      </c>
      <c r="AG143" t="s">
        <v>3393</v>
      </c>
      <c r="AH143" s="3">
        <v>42521</v>
      </c>
      <c r="AI143">
        <v>19000</v>
      </c>
      <c r="AJ143">
        <v>0</v>
      </c>
      <c r="AS143" t="s">
        <v>3172</v>
      </c>
      <c r="AT143" s="3">
        <v>42611</v>
      </c>
      <c r="AU143">
        <v>18620</v>
      </c>
      <c r="AV143">
        <v>0</v>
      </c>
      <c r="AW143">
        <v>380</v>
      </c>
      <c r="AX143">
        <v>0</v>
      </c>
      <c r="BQ143" t="s">
        <v>1457</v>
      </c>
      <c r="BR143" t="s">
        <v>3173</v>
      </c>
    </row>
    <row r="144" spans="1:74" x14ac:dyDescent="0.25">
      <c r="A144" t="s">
        <v>3394</v>
      </c>
      <c r="B144" s="3">
        <v>42515</v>
      </c>
      <c r="C144" t="s">
        <v>50</v>
      </c>
      <c r="D144" t="s">
        <v>3278</v>
      </c>
      <c r="E144" t="s">
        <v>50</v>
      </c>
      <c r="F144">
        <v>136000</v>
      </c>
      <c r="G144" t="s">
        <v>3395</v>
      </c>
      <c r="H144" s="3">
        <v>42515</v>
      </c>
      <c r="I144" t="s">
        <v>214</v>
      </c>
      <c r="J144">
        <v>122000</v>
      </c>
      <c r="K144" s="1"/>
      <c r="M144" s="3">
        <v>42515</v>
      </c>
      <c r="N144" t="s">
        <v>54</v>
      </c>
      <c r="P144" t="s">
        <v>56</v>
      </c>
      <c r="Q144">
        <v>79000</v>
      </c>
      <c r="R144" s="3">
        <v>42515</v>
      </c>
      <c r="S144" t="s">
        <v>57</v>
      </c>
      <c r="U144" t="s">
        <v>56</v>
      </c>
      <c r="V144">
        <v>20000</v>
      </c>
      <c r="W144" s="3">
        <v>42537</v>
      </c>
      <c r="X144" t="s">
        <v>54</v>
      </c>
      <c r="Z144" t="s">
        <v>60</v>
      </c>
      <c r="AA144">
        <v>21700</v>
      </c>
      <c r="AG144" t="s">
        <v>3396</v>
      </c>
      <c r="AH144" s="3">
        <v>42538</v>
      </c>
      <c r="AI144">
        <v>136000</v>
      </c>
      <c r="AJ144">
        <v>0</v>
      </c>
      <c r="AS144" t="s">
        <v>3234</v>
      </c>
      <c r="AT144" s="3">
        <v>43080</v>
      </c>
      <c r="AU144">
        <v>136000</v>
      </c>
      <c r="AV144">
        <v>0</v>
      </c>
      <c r="AW144">
        <v>0</v>
      </c>
      <c r="AX144">
        <v>0</v>
      </c>
    </row>
    <row r="145" spans="1:70" x14ac:dyDescent="0.25">
      <c r="A145" t="s">
        <v>3397</v>
      </c>
      <c r="B145" s="3">
        <v>42517</v>
      </c>
      <c r="C145" t="s">
        <v>50</v>
      </c>
      <c r="D145" t="s">
        <v>3033</v>
      </c>
      <c r="E145" t="s">
        <v>50</v>
      </c>
      <c r="F145">
        <v>23000</v>
      </c>
      <c r="G145" t="s">
        <v>3398</v>
      </c>
      <c r="H145" s="3">
        <v>42517</v>
      </c>
      <c r="I145" t="s">
        <v>214</v>
      </c>
      <c r="J145">
        <v>21000</v>
      </c>
      <c r="K145" s="1"/>
      <c r="M145" s="3">
        <v>42517</v>
      </c>
      <c r="N145" t="s">
        <v>57</v>
      </c>
      <c r="P145" t="s">
        <v>56</v>
      </c>
      <c r="Q145">
        <v>17000</v>
      </c>
      <c r="R145" s="3">
        <v>42567</v>
      </c>
      <c r="S145" t="s">
        <v>54</v>
      </c>
      <c r="U145" t="s">
        <v>60</v>
      </c>
      <c r="V145">
        <v>3500</v>
      </c>
      <c r="AG145" t="s">
        <v>3399</v>
      </c>
      <c r="AH145" s="3">
        <v>42537</v>
      </c>
      <c r="AI145">
        <v>23000</v>
      </c>
      <c r="AJ145">
        <v>0</v>
      </c>
      <c r="AS145" t="s">
        <v>3172</v>
      </c>
      <c r="AT145" s="3">
        <v>42611</v>
      </c>
      <c r="AU145">
        <v>22540</v>
      </c>
      <c r="AV145">
        <v>0</v>
      </c>
      <c r="AW145">
        <v>460</v>
      </c>
      <c r="AX145">
        <v>0</v>
      </c>
      <c r="BQ145" t="s">
        <v>1457</v>
      </c>
      <c r="BR145" t="s">
        <v>3173</v>
      </c>
    </row>
    <row r="146" spans="1:70" x14ac:dyDescent="0.25">
      <c r="A146" t="s">
        <v>3400</v>
      </c>
      <c r="B146" s="3">
        <v>42518</v>
      </c>
      <c r="C146" t="s">
        <v>50</v>
      </c>
      <c r="D146" t="s">
        <v>3033</v>
      </c>
      <c r="E146" t="s">
        <v>50</v>
      </c>
      <c r="F146">
        <v>27500</v>
      </c>
      <c r="G146" t="s">
        <v>3401</v>
      </c>
      <c r="H146" s="3">
        <v>42518</v>
      </c>
      <c r="I146" t="s">
        <v>3402</v>
      </c>
      <c r="J146">
        <v>25000</v>
      </c>
      <c r="K146" s="1"/>
      <c r="M146" s="3">
        <v>42518</v>
      </c>
      <c r="N146" t="s">
        <v>57</v>
      </c>
      <c r="P146" t="s">
        <v>56</v>
      </c>
      <c r="Q146">
        <v>20000</v>
      </c>
      <c r="R146" s="3">
        <v>42553</v>
      </c>
      <c r="S146" t="s">
        <v>54</v>
      </c>
      <c r="U146" t="s">
        <v>60</v>
      </c>
      <c r="V146">
        <v>4500</v>
      </c>
      <c r="AG146" t="s">
        <v>3403</v>
      </c>
      <c r="AH146" s="3">
        <v>42537</v>
      </c>
      <c r="AI146">
        <v>27500</v>
      </c>
      <c r="AJ146">
        <v>0</v>
      </c>
      <c r="AS146" t="s">
        <v>3172</v>
      </c>
      <c r="AT146" s="3">
        <v>42611</v>
      </c>
      <c r="AU146">
        <v>26950</v>
      </c>
      <c r="AV146">
        <v>0</v>
      </c>
      <c r="AW146">
        <v>550</v>
      </c>
      <c r="AX146">
        <v>0</v>
      </c>
      <c r="BQ146" t="s">
        <v>1457</v>
      </c>
      <c r="BR146" t="s">
        <v>3173</v>
      </c>
    </row>
    <row r="147" spans="1:70" x14ac:dyDescent="0.25">
      <c r="A147" t="s">
        <v>3404</v>
      </c>
      <c r="B147" s="3">
        <v>42520</v>
      </c>
      <c r="C147" t="s">
        <v>50</v>
      </c>
      <c r="D147" t="s">
        <v>3405</v>
      </c>
      <c r="E147" t="s">
        <v>50</v>
      </c>
      <c r="F147">
        <v>165000</v>
      </c>
      <c r="G147" t="s">
        <v>3406</v>
      </c>
      <c r="H147" s="3">
        <v>42520</v>
      </c>
      <c r="I147" t="s">
        <v>1305</v>
      </c>
      <c r="J147">
        <v>145000</v>
      </c>
      <c r="K147" s="1"/>
      <c r="M147" s="3">
        <v>42520</v>
      </c>
      <c r="N147" t="s">
        <v>54</v>
      </c>
      <c r="P147" t="s">
        <v>56</v>
      </c>
      <c r="Q147">
        <v>112200</v>
      </c>
      <c r="R147" s="3">
        <v>42520</v>
      </c>
      <c r="S147" t="s">
        <v>57</v>
      </c>
      <c r="U147" t="s">
        <v>56</v>
      </c>
      <c r="V147">
        <v>12000</v>
      </c>
      <c r="W147" s="3">
        <v>42556</v>
      </c>
      <c r="X147" t="s">
        <v>54</v>
      </c>
      <c r="Z147" t="s">
        <v>60</v>
      </c>
      <c r="AA147">
        <v>19600</v>
      </c>
      <c r="AG147" t="s">
        <v>3407</v>
      </c>
      <c r="AH147" s="3">
        <v>42558</v>
      </c>
      <c r="AI147">
        <v>165000</v>
      </c>
      <c r="AJ147">
        <v>0</v>
      </c>
      <c r="AS147" t="s">
        <v>3389</v>
      </c>
      <c r="AT147" s="3">
        <v>42693</v>
      </c>
      <c r="AU147">
        <v>156620</v>
      </c>
      <c r="AV147">
        <v>0</v>
      </c>
      <c r="AW147">
        <v>8380</v>
      </c>
      <c r="AX147">
        <v>0</v>
      </c>
    </row>
    <row r="148" spans="1:70" x14ac:dyDescent="0.25">
      <c r="A148" t="s">
        <v>3408</v>
      </c>
      <c r="B148" s="3">
        <v>42522</v>
      </c>
      <c r="C148" t="s">
        <v>50</v>
      </c>
      <c r="D148" t="s">
        <v>3033</v>
      </c>
      <c r="E148" t="s">
        <v>50</v>
      </c>
      <c r="F148">
        <v>11000</v>
      </c>
      <c r="G148" t="s">
        <v>3409</v>
      </c>
      <c r="H148" s="3">
        <v>42522</v>
      </c>
      <c r="I148" t="s">
        <v>290</v>
      </c>
      <c r="J148">
        <v>10000</v>
      </c>
      <c r="K148" s="1"/>
      <c r="M148" s="3">
        <v>42523</v>
      </c>
      <c r="N148" t="s">
        <v>57</v>
      </c>
      <c r="P148" t="s">
        <v>56</v>
      </c>
      <c r="Q148">
        <v>8000</v>
      </c>
      <c r="R148" s="3">
        <v>42538</v>
      </c>
      <c r="S148" t="s">
        <v>54</v>
      </c>
      <c r="U148" t="s">
        <v>60</v>
      </c>
      <c r="V148">
        <v>1750</v>
      </c>
      <c r="AG148" t="s">
        <v>3410</v>
      </c>
      <c r="AH148" s="3">
        <v>42537</v>
      </c>
      <c r="AI148">
        <v>11000</v>
      </c>
      <c r="AJ148">
        <v>0</v>
      </c>
      <c r="AS148" t="s">
        <v>3172</v>
      </c>
      <c r="AT148" s="3">
        <v>42611</v>
      </c>
      <c r="AU148">
        <v>10780</v>
      </c>
      <c r="AV148">
        <v>0</v>
      </c>
      <c r="AW148">
        <v>220</v>
      </c>
      <c r="AX148">
        <v>0</v>
      </c>
      <c r="BQ148" t="s">
        <v>1457</v>
      </c>
      <c r="BR148" t="s">
        <v>3173</v>
      </c>
    </row>
    <row r="149" spans="1:70" x14ac:dyDescent="0.25">
      <c r="A149" t="s">
        <v>3416</v>
      </c>
      <c r="B149" s="3">
        <v>42523</v>
      </c>
      <c r="C149" t="s">
        <v>50</v>
      </c>
      <c r="D149" t="s">
        <v>3391</v>
      </c>
      <c r="E149" t="s">
        <v>50</v>
      </c>
      <c r="F149">
        <v>20500</v>
      </c>
      <c r="G149" t="s">
        <v>3417</v>
      </c>
      <c r="H149" s="3">
        <v>42523</v>
      </c>
      <c r="I149" t="s">
        <v>2434</v>
      </c>
      <c r="J149">
        <v>18000</v>
      </c>
      <c r="K149" s="1"/>
      <c r="M149" s="3">
        <v>42523</v>
      </c>
      <c r="N149" t="s">
        <v>57</v>
      </c>
      <c r="P149" t="s">
        <v>56</v>
      </c>
      <c r="Q149">
        <v>15000</v>
      </c>
      <c r="R149" s="3">
        <v>42548</v>
      </c>
      <c r="S149" t="s">
        <v>54</v>
      </c>
      <c r="U149" t="s">
        <v>60</v>
      </c>
      <c r="V149">
        <v>2600</v>
      </c>
      <c r="AG149" t="s">
        <v>3418</v>
      </c>
      <c r="AH149" s="3">
        <v>42537</v>
      </c>
      <c r="AI149">
        <v>20500</v>
      </c>
      <c r="AJ149">
        <v>0</v>
      </c>
      <c r="AS149" t="s">
        <v>3172</v>
      </c>
      <c r="AT149" s="3">
        <v>42611</v>
      </c>
      <c r="AU149">
        <v>20090</v>
      </c>
      <c r="AV149">
        <v>0</v>
      </c>
      <c r="AW149">
        <v>410</v>
      </c>
      <c r="AX149">
        <v>0</v>
      </c>
      <c r="BQ149" t="s">
        <v>1457</v>
      </c>
      <c r="BR149" t="s">
        <v>3173</v>
      </c>
    </row>
    <row r="150" spans="1:70" x14ac:dyDescent="0.25">
      <c r="A150" t="s">
        <v>3419</v>
      </c>
      <c r="B150" s="3">
        <v>42523</v>
      </c>
      <c r="C150" t="s">
        <v>50</v>
      </c>
      <c r="D150" t="s">
        <v>3420</v>
      </c>
      <c r="E150" t="s">
        <v>50</v>
      </c>
      <c r="F150">
        <v>0</v>
      </c>
      <c r="K150" s="1"/>
      <c r="AG150" t="s">
        <v>3418</v>
      </c>
      <c r="AH150" s="3">
        <v>42537</v>
      </c>
      <c r="AI150">
        <v>0</v>
      </c>
      <c r="AJ150">
        <v>0</v>
      </c>
      <c r="AS150" t="s">
        <v>3172</v>
      </c>
      <c r="AT150" s="3">
        <v>42611</v>
      </c>
      <c r="AU150">
        <v>20090</v>
      </c>
      <c r="AV150">
        <v>0</v>
      </c>
      <c r="AW150">
        <v>410</v>
      </c>
      <c r="AX150">
        <v>0</v>
      </c>
      <c r="BQ150" t="s">
        <v>1457</v>
      </c>
      <c r="BR150" t="s">
        <v>3173</v>
      </c>
    </row>
    <row r="151" spans="1:70" x14ac:dyDescent="0.25">
      <c r="A151" t="s">
        <v>3425</v>
      </c>
      <c r="B151" s="3">
        <v>42525</v>
      </c>
      <c r="C151" t="s">
        <v>50</v>
      </c>
      <c r="D151" t="s">
        <v>3422</v>
      </c>
      <c r="E151" t="s">
        <v>50</v>
      </c>
      <c r="F151">
        <v>0</v>
      </c>
      <c r="K151" s="1"/>
    </row>
    <row r="152" spans="1:70" x14ac:dyDescent="0.25">
      <c r="A152" t="s">
        <v>3426</v>
      </c>
      <c r="B152" s="3">
        <v>42528</v>
      </c>
      <c r="C152" t="s">
        <v>50</v>
      </c>
      <c r="D152" t="s">
        <v>3391</v>
      </c>
      <c r="E152" t="s">
        <v>50</v>
      </c>
      <c r="F152">
        <v>7000</v>
      </c>
      <c r="G152" t="s">
        <v>3427</v>
      </c>
      <c r="H152" s="3">
        <v>42528</v>
      </c>
      <c r="I152" t="s">
        <v>230</v>
      </c>
      <c r="J152">
        <v>6000</v>
      </c>
      <c r="K152" s="1"/>
      <c r="M152" s="3">
        <v>42528</v>
      </c>
      <c r="N152" t="s">
        <v>57</v>
      </c>
      <c r="P152" t="s">
        <v>56</v>
      </c>
      <c r="Q152">
        <v>4900</v>
      </c>
      <c r="R152" s="3">
        <v>42548</v>
      </c>
      <c r="S152" t="s">
        <v>57</v>
      </c>
      <c r="U152" t="s">
        <v>60</v>
      </c>
      <c r="V152">
        <v>970</v>
      </c>
      <c r="AG152" t="s">
        <v>3428</v>
      </c>
      <c r="AH152" s="3">
        <v>42551</v>
      </c>
      <c r="AI152">
        <v>7000</v>
      </c>
      <c r="AJ152">
        <v>0</v>
      </c>
      <c r="AS152" t="s">
        <v>3389</v>
      </c>
      <c r="AT152" s="3">
        <v>42693</v>
      </c>
      <c r="AU152">
        <v>7000</v>
      </c>
      <c r="AV152">
        <v>0</v>
      </c>
      <c r="AW152">
        <v>0</v>
      </c>
      <c r="AX152">
        <v>0</v>
      </c>
    </row>
    <row r="153" spans="1:70" x14ac:dyDescent="0.25">
      <c r="A153" t="s">
        <v>3429</v>
      </c>
      <c r="B153" s="3">
        <v>42530</v>
      </c>
      <c r="C153" t="s">
        <v>50</v>
      </c>
      <c r="D153" t="s">
        <v>3391</v>
      </c>
      <c r="E153" t="s">
        <v>50</v>
      </c>
      <c r="F153">
        <v>9500</v>
      </c>
      <c r="G153" t="s">
        <v>3430</v>
      </c>
      <c r="H153" s="3">
        <v>42530</v>
      </c>
      <c r="I153" t="s">
        <v>290</v>
      </c>
      <c r="J153">
        <v>8000</v>
      </c>
      <c r="K153" s="1"/>
      <c r="M153" s="3">
        <v>42530</v>
      </c>
      <c r="N153" t="s">
        <v>57</v>
      </c>
      <c r="P153" t="s">
        <v>56</v>
      </c>
      <c r="Q153">
        <v>6500</v>
      </c>
      <c r="R153" s="3">
        <v>42558</v>
      </c>
      <c r="S153" t="s">
        <v>57</v>
      </c>
      <c r="U153" t="s">
        <v>60</v>
      </c>
      <c r="V153">
        <v>1300</v>
      </c>
      <c r="AG153" t="s">
        <v>3431</v>
      </c>
      <c r="AH153" s="3">
        <v>42558</v>
      </c>
      <c r="AI153">
        <v>9500</v>
      </c>
      <c r="AJ153">
        <v>0</v>
      </c>
      <c r="AS153" t="s">
        <v>3389</v>
      </c>
      <c r="AT153" s="3">
        <v>42693</v>
      </c>
      <c r="AU153">
        <v>9500</v>
      </c>
      <c r="AV153">
        <v>0</v>
      </c>
      <c r="AW153">
        <v>0</v>
      </c>
      <c r="AX153">
        <v>0</v>
      </c>
    </row>
    <row r="154" spans="1:70" x14ac:dyDescent="0.25">
      <c r="A154" t="s">
        <v>3432</v>
      </c>
      <c r="B154" s="3">
        <v>42534</v>
      </c>
      <c r="C154" t="s">
        <v>50</v>
      </c>
      <c r="D154" t="s">
        <v>2900</v>
      </c>
      <c r="E154" t="s">
        <v>50</v>
      </c>
      <c r="F154">
        <v>0</v>
      </c>
      <c r="G154" t="s">
        <v>3433</v>
      </c>
      <c r="H154" s="3">
        <v>42534</v>
      </c>
      <c r="I154" t="s">
        <v>1305</v>
      </c>
      <c r="J154">
        <v>40000</v>
      </c>
      <c r="K154" s="1"/>
      <c r="M154" s="3">
        <v>42534</v>
      </c>
      <c r="N154" t="s">
        <v>57</v>
      </c>
      <c r="P154" t="s">
        <v>56</v>
      </c>
      <c r="Q154">
        <v>32500</v>
      </c>
      <c r="R154" s="3">
        <v>42573</v>
      </c>
      <c r="S154" t="s">
        <v>54</v>
      </c>
      <c r="U154" t="s">
        <v>60</v>
      </c>
      <c r="V154">
        <v>6800</v>
      </c>
      <c r="AG154" t="s">
        <v>3434</v>
      </c>
      <c r="AH154" s="3">
        <v>42558</v>
      </c>
      <c r="AI154">
        <v>0</v>
      </c>
      <c r="AJ154">
        <v>0</v>
      </c>
      <c r="AS154" t="s">
        <v>3435</v>
      </c>
      <c r="AT154" s="3">
        <v>42754</v>
      </c>
      <c r="AU154">
        <v>46060</v>
      </c>
      <c r="AV154">
        <v>0</v>
      </c>
      <c r="AW154">
        <v>940</v>
      </c>
      <c r="AX154">
        <v>0</v>
      </c>
    </row>
    <row r="155" spans="1:70" x14ac:dyDescent="0.25">
      <c r="A155" t="s">
        <v>3436</v>
      </c>
      <c r="B155" s="3">
        <v>42534</v>
      </c>
      <c r="C155" t="s">
        <v>50</v>
      </c>
      <c r="D155" t="s">
        <v>3391</v>
      </c>
      <c r="E155" t="s">
        <v>50</v>
      </c>
      <c r="F155">
        <v>47000</v>
      </c>
      <c r="K155" s="1"/>
      <c r="AG155" t="s">
        <v>3434</v>
      </c>
      <c r="AH155" s="3">
        <v>42558</v>
      </c>
      <c r="AI155">
        <v>47000</v>
      </c>
      <c r="AJ155">
        <v>0</v>
      </c>
      <c r="AS155" t="s">
        <v>3435</v>
      </c>
      <c r="AT155" s="3">
        <v>42754</v>
      </c>
      <c r="AU155">
        <v>46060</v>
      </c>
      <c r="AV155">
        <v>0</v>
      </c>
      <c r="AW155">
        <v>940</v>
      </c>
      <c r="AX155">
        <v>0</v>
      </c>
    </row>
    <row r="156" spans="1:70" x14ac:dyDescent="0.25">
      <c r="A156" t="s">
        <v>3441</v>
      </c>
      <c r="B156" s="3">
        <v>42546</v>
      </c>
      <c r="C156" t="s">
        <v>50</v>
      </c>
      <c r="D156" t="s">
        <v>2900</v>
      </c>
      <c r="E156" t="s">
        <v>50</v>
      </c>
      <c r="F156">
        <v>20000</v>
      </c>
      <c r="G156" t="s">
        <v>3442</v>
      </c>
      <c r="H156" s="3">
        <v>42546</v>
      </c>
      <c r="I156" t="s">
        <v>3443</v>
      </c>
      <c r="J156">
        <v>18000</v>
      </c>
      <c r="K156" s="1"/>
      <c r="M156" s="3">
        <v>42548</v>
      </c>
      <c r="N156" t="s">
        <v>57</v>
      </c>
      <c r="P156" t="s">
        <v>56</v>
      </c>
      <c r="Q156">
        <v>15000</v>
      </c>
      <c r="R156" s="3">
        <v>42566</v>
      </c>
      <c r="S156" t="s">
        <v>57</v>
      </c>
      <c r="U156" t="s">
        <v>60</v>
      </c>
      <c r="V156">
        <v>2650</v>
      </c>
      <c r="AG156" t="s">
        <v>3444</v>
      </c>
      <c r="AH156" s="3">
        <v>42558</v>
      </c>
      <c r="AI156">
        <v>20000</v>
      </c>
      <c r="AJ156">
        <v>0</v>
      </c>
      <c r="AS156" t="s">
        <v>3389</v>
      </c>
      <c r="AT156" s="3">
        <v>42693</v>
      </c>
      <c r="AU156">
        <v>19600</v>
      </c>
      <c r="AV156">
        <v>0</v>
      </c>
      <c r="AW156">
        <v>400</v>
      </c>
      <c r="AX156">
        <v>0</v>
      </c>
    </row>
    <row r="157" spans="1:70" x14ac:dyDescent="0.25">
      <c r="A157" t="s">
        <v>3445</v>
      </c>
      <c r="B157" s="3">
        <v>42548</v>
      </c>
      <c r="C157" t="s">
        <v>50</v>
      </c>
      <c r="D157" t="s">
        <v>3391</v>
      </c>
      <c r="E157" t="s">
        <v>50</v>
      </c>
      <c r="F157">
        <v>20500</v>
      </c>
      <c r="G157" t="s">
        <v>3446</v>
      </c>
      <c r="H157" s="3">
        <v>42548</v>
      </c>
      <c r="I157" t="s">
        <v>214</v>
      </c>
      <c r="J157">
        <v>17000</v>
      </c>
      <c r="K157" s="1"/>
      <c r="M157" s="3">
        <v>42548</v>
      </c>
      <c r="N157" t="s">
        <v>57</v>
      </c>
      <c r="P157" t="s">
        <v>56</v>
      </c>
      <c r="Q157">
        <v>15000</v>
      </c>
      <c r="R157" s="3">
        <v>42567</v>
      </c>
      <c r="S157" t="s">
        <v>54</v>
      </c>
      <c r="U157" t="s">
        <v>60</v>
      </c>
      <c r="V157">
        <v>1600</v>
      </c>
      <c r="AG157" t="s">
        <v>3447</v>
      </c>
      <c r="AH157" s="3">
        <v>42558</v>
      </c>
      <c r="AI157">
        <v>20500</v>
      </c>
      <c r="AJ157">
        <v>0</v>
      </c>
      <c r="AS157" t="s">
        <v>3389</v>
      </c>
      <c r="AT157" s="3">
        <v>42693</v>
      </c>
      <c r="AU157">
        <v>20500</v>
      </c>
      <c r="AV157">
        <v>0</v>
      </c>
      <c r="AW157">
        <v>0</v>
      </c>
      <c r="AX157">
        <v>0</v>
      </c>
    </row>
    <row r="158" spans="1:70" x14ac:dyDescent="0.25">
      <c r="A158" t="s">
        <v>3448</v>
      </c>
      <c r="B158" s="3">
        <v>42551</v>
      </c>
      <c r="C158" t="s">
        <v>50</v>
      </c>
      <c r="D158" t="s">
        <v>2900</v>
      </c>
      <c r="E158" t="s">
        <v>50</v>
      </c>
      <c r="F158">
        <v>25000</v>
      </c>
      <c r="G158" t="s">
        <v>3449</v>
      </c>
      <c r="H158" s="3">
        <v>42551</v>
      </c>
      <c r="I158" t="s">
        <v>214</v>
      </c>
      <c r="J158">
        <v>23000</v>
      </c>
      <c r="K158" s="1"/>
      <c r="M158" s="3">
        <v>42551</v>
      </c>
      <c r="N158" t="s">
        <v>57</v>
      </c>
      <c r="P158" t="s">
        <v>56</v>
      </c>
      <c r="Q158">
        <v>18000</v>
      </c>
      <c r="R158" s="3">
        <v>42567</v>
      </c>
      <c r="S158" t="s">
        <v>54</v>
      </c>
      <c r="U158" t="s">
        <v>60</v>
      </c>
      <c r="V158">
        <v>4600</v>
      </c>
      <c r="AG158" t="s">
        <v>3450</v>
      </c>
      <c r="AH158" s="3">
        <v>42558</v>
      </c>
      <c r="AI158">
        <v>25000</v>
      </c>
      <c r="AJ158">
        <v>0</v>
      </c>
      <c r="AS158" t="s">
        <v>3435</v>
      </c>
      <c r="AT158" s="3">
        <v>42754</v>
      </c>
      <c r="AU158">
        <v>24500</v>
      </c>
      <c r="AV158">
        <v>0</v>
      </c>
      <c r="AW158">
        <v>500</v>
      </c>
      <c r="AX158">
        <v>0</v>
      </c>
    </row>
    <row r="159" spans="1:70" x14ac:dyDescent="0.25">
      <c r="A159" t="s">
        <v>3451</v>
      </c>
      <c r="B159" s="3">
        <v>42555</v>
      </c>
      <c r="C159" t="s">
        <v>50</v>
      </c>
      <c r="D159" t="s">
        <v>3452</v>
      </c>
      <c r="E159" t="s">
        <v>50</v>
      </c>
      <c r="F159">
        <v>47000</v>
      </c>
      <c r="G159" t="s">
        <v>3453</v>
      </c>
      <c r="H159" s="3">
        <v>42555</v>
      </c>
      <c r="I159" t="s">
        <v>3012</v>
      </c>
      <c r="J159">
        <v>40000</v>
      </c>
      <c r="K159" s="1"/>
      <c r="M159" s="3">
        <v>42555</v>
      </c>
      <c r="N159" t="s">
        <v>54</v>
      </c>
      <c r="P159" t="s">
        <v>56</v>
      </c>
      <c r="Q159">
        <v>34700</v>
      </c>
      <c r="R159" s="3">
        <v>42595</v>
      </c>
      <c r="S159" t="s">
        <v>54</v>
      </c>
      <c r="U159" t="s">
        <v>60</v>
      </c>
      <c r="V159">
        <v>4900</v>
      </c>
      <c r="AG159" t="s">
        <v>3454</v>
      </c>
      <c r="AH159" s="3">
        <v>42588</v>
      </c>
      <c r="AI159">
        <v>47000</v>
      </c>
      <c r="AJ159">
        <v>0</v>
      </c>
      <c r="AS159" t="s">
        <v>3435</v>
      </c>
      <c r="AT159" s="3">
        <v>42754</v>
      </c>
      <c r="AU159">
        <v>46060</v>
      </c>
      <c r="AV159">
        <v>0</v>
      </c>
      <c r="AW159">
        <v>940</v>
      </c>
      <c r="AX159">
        <v>0</v>
      </c>
    </row>
    <row r="160" spans="1:70" x14ac:dyDescent="0.25">
      <c r="A160" t="s">
        <v>3455</v>
      </c>
      <c r="B160" s="3">
        <v>42558</v>
      </c>
      <c r="C160" t="s">
        <v>50</v>
      </c>
      <c r="D160" t="s">
        <v>3412</v>
      </c>
      <c r="E160" t="s">
        <v>50</v>
      </c>
      <c r="F160">
        <v>18600</v>
      </c>
      <c r="G160" t="s">
        <v>3456</v>
      </c>
      <c r="H160" s="3">
        <v>42558</v>
      </c>
      <c r="I160" t="s">
        <v>230</v>
      </c>
      <c r="J160">
        <v>16600</v>
      </c>
      <c r="K160" s="1"/>
      <c r="M160" s="3">
        <v>42558</v>
      </c>
      <c r="N160" t="s">
        <v>57</v>
      </c>
      <c r="P160" t="s">
        <v>56</v>
      </c>
      <c r="Q160">
        <v>14250</v>
      </c>
      <c r="R160" s="3">
        <v>42577</v>
      </c>
      <c r="S160" t="s">
        <v>57</v>
      </c>
      <c r="U160" t="s">
        <v>60</v>
      </c>
      <c r="V160">
        <v>2050</v>
      </c>
      <c r="AG160" t="s">
        <v>3457</v>
      </c>
      <c r="AH160" s="3">
        <v>42570</v>
      </c>
      <c r="AI160">
        <v>18600</v>
      </c>
      <c r="AJ160">
        <v>0</v>
      </c>
      <c r="AS160" t="s">
        <v>3435</v>
      </c>
      <c r="AT160" s="3">
        <v>42754</v>
      </c>
      <c r="AU160">
        <v>18228</v>
      </c>
      <c r="AV160">
        <v>0</v>
      </c>
      <c r="AW160">
        <v>372</v>
      </c>
      <c r="AX160">
        <v>0</v>
      </c>
    </row>
    <row r="161" spans="1:70" x14ac:dyDescent="0.25">
      <c r="A161" t="s">
        <v>3458</v>
      </c>
      <c r="B161" s="3">
        <v>42563</v>
      </c>
      <c r="C161" t="s">
        <v>50</v>
      </c>
      <c r="D161" t="s">
        <v>3391</v>
      </c>
      <c r="E161" t="s">
        <v>50</v>
      </c>
      <c r="F161">
        <v>17500</v>
      </c>
      <c r="G161" t="s">
        <v>3459</v>
      </c>
      <c r="H161" s="3">
        <v>42563</v>
      </c>
      <c r="I161" t="s">
        <v>214</v>
      </c>
      <c r="J161">
        <v>16000</v>
      </c>
      <c r="K161" s="1"/>
      <c r="M161" s="3">
        <v>42563</v>
      </c>
      <c r="N161" t="s">
        <v>57</v>
      </c>
      <c r="P161" t="s">
        <v>56</v>
      </c>
      <c r="Q161">
        <v>14000</v>
      </c>
      <c r="R161" s="3">
        <v>42620</v>
      </c>
      <c r="S161" t="s">
        <v>54</v>
      </c>
      <c r="U161" t="s">
        <v>60</v>
      </c>
      <c r="V161">
        <v>1600</v>
      </c>
      <c r="AG161" t="s">
        <v>3460</v>
      </c>
      <c r="AH161" s="3">
        <v>42593</v>
      </c>
      <c r="AI161">
        <v>17500</v>
      </c>
      <c r="AJ161">
        <v>0</v>
      </c>
      <c r="AS161" t="s">
        <v>3461</v>
      </c>
      <c r="AT161" s="3">
        <v>42735</v>
      </c>
      <c r="AU161">
        <v>17150</v>
      </c>
      <c r="AV161">
        <v>0</v>
      </c>
      <c r="AW161">
        <v>350</v>
      </c>
      <c r="AX161">
        <v>0</v>
      </c>
    </row>
    <row r="162" spans="1:70" x14ac:dyDescent="0.25">
      <c r="A162" t="s">
        <v>3462</v>
      </c>
      <c r="B162" s="3">
        <v>42564</v>
      </c>
      <c r="C162" t="s">
        <v>50</v>
      </c>
      <c r="D162" t="s">
        <v>3463</v>
      </c>
      <c r="E162" t="s">
        <v>50</v>
      </c>
      <c r="F162">
        <v>26000</v>
      </c>
      <c r="G162" t="s">
        <v>3464</v>
      </c>
      <c r="H162" s="3">
        <v>42564</v>
      </c>
      <c r="I162" t="s">
        <v>290</v>
      </c>
      <c r="J162">
        <v>24000</v>
      </c>
      <c r="K162" s="1"/>
      <c r="M162" s="3">
        <v>42564</v>
      </c>
      <c r="N162" t="s">
        <v>57</v>
      </c>
      <c r="P162" t="s">
        <v>56</v>
      </c>
      <c r="Q162">
        <v>20000</v>
      </c>
      <c r="R162" s="3">
        <v>42581</v>
      </c>
      <c r="S162" t="s">
        <v>54</v>
      </c>
      <c r="U162" t="s">
        <v>60</v>
      </c>
      <c r="V162">
        <v>3600</v>
      </c>
      <c r="AG162" t="s">
        <v>3465</v>
      </c>
      <c r="AH162" s="3">
        <v>42593</v>
      </c>
      <c r="AI162">
        <v>26000</v>
      </c>
      <c r="AJ162">
        <v>0</v>
      </c>
      <c r="AS162" t="s">
        <v>3461</v>
      </c>
      <c r="AT162" s="3">
        <v>42735</v>
      </c>
      <c r="AU162">
        <v>25480</v>
      </c>
      <c r="AV162">
        <v>0</v>
      </c>
      <c r="AW162">
        <v>520</v>
      </c>
      <c r="AX162">
        <v>0</v>
      </c>
    </row>
    <row r="163" spans="1:70" x14ac:dyDescent="0.25">
      <c r="A163" t="s">
        <v>3466</v>
      </c>
      <c r="B163" s="3">
        <v>42564</v>
      </c>
      <c r="C163" t="s">
        <v>50</v>
      </c>
      <c r="D163" t="s">
        <v>3467</v>
      </c>
      <c r="E163" t="s">
        <v>50</v>
      </c>
      <c r="F163">
        <v>0</v>
      </c>
      <c r="K163" s="1"/>
      <c r="AG163" t="s">
        <v>3465</v>
      </c>
      <c r="AH163" s="3">
        <v>42593</v>
      </c>
      <c r="AI163">
        <v>0</v>
      </c>
      <c r="AJ163">
        <v>0</v>
      </c>
      <c r="AS163" t="s">
        <v>3461</v>
      </c>
      <c r="AT163" s="3">
        <v>42735</v>
      </c>
      <c r="AU163">
        <v>25480</v>
      </c>
      <c r="AV163">
        <v>0</v>
      </c>
      <c r="AW163">
        <v>520</v>
      </c>
      <c r="AX163">
        <v>0</v>
      </c>
    </row>
    <row r="164" spans="1:70" x14ac:dyDescent="0.25">
      <c r="A164" t="s">
        <v>3480</v>
      </c>
      <c r="B164" s="3">
        <v>42581</v>
      </c>
      <c r="C164" t="s">
        <v>50</v>
      </c>
      <c r="D164" t="s">
        <v>3016</v>
      </c>
      <c r="E164" t="s">
        <v>50</v>
      </c>
      <c r="F164">
        <v>0</v>
      </c>
      <c r="G164" t="s">
        <v>3481</v>
      </c>
      <c r="H164" s="3">
        <v>42581</v>
      </c>
      <c r="I164" t="s">
        <v>214</v>
      </c>
      <c r="J164">
        <v>8000</v>
      </c>
      <c r="K164" s="1"/>
      <c r="M164" s="3">
        <v>42581</v>
      </c>
      <c r="N164" t="s">
        <v>57</v>
      </c>
      <c r="P164" t="s">
        <v>56</v>
      </c>
      <c r="Q164">
        <v>6800</v>
      </c>
      <c r="R164" s="3">
        <v>42590</v>
      </c>
      <c r="S164" t="s">
        <v>57</v>
      </c>
      <c r="U164" t="s">
        <v>60</v>
      </c>
      <c r="V164">
        <v>970</v>
      </c>
      <c r="AG164" t="s">
        <v>3482</v>
      </c>
      <c r="AH164" s="3">
        <v>42593</v>
      </c>
      <c r="AI164">
        <v>0</v>
      </c>
      <c r="AJ164">
        <v>0</v>
      </c>
      <c r="AS164" t="s">
        <v>3461</v>
      </c>
      <c r="AT164" s="3">
        <v>42735</v>
      </c>
      <c r="AU164">
        <v>8820</v>
      </c>
      <c r="AV164">
        <v>0</v>
      </c>
      <c r="AW164">
        <v>180</v>
      </c>
      <c r="AX164">
        <v>0</v>
      </c>
    </row>
    <row r="165" spans="1:70" x14ac:dyDescent="0.25">
      <c r="A165" t="s">
        <v>3483</v>
      </c>
      <c r="B165" s="3">
        <v>42581</v>
      </c>
      <c r="C165" t="s">
        <v>50</v>
      </c>
      <c r="D165" t="s">
        <v>3016</v>
      </c>
      <c r="E165" t="s">
        <v>50</v>
      </c>
      <c r="F165">
        <v>9000</v>
      </c>
      <c r="K165" s="1"/>
      <c r="AG165" t="s">
        <v>3482</v>
      </c>
      <c r="AH165" s="3">
        <v>42593</v>
      </c>
      <c r="AI165">
        <v>9000</v>
      </c>
      <c r="AJ165">
        <v>0</v>
      </c>
      <c r="AS165" t="s">
        <v>3461</v>
      </c>
      <c r="AT165" s="3">
        <v>42735</v>
      </c>
      <c r="AU165">
        <v>8820</v>
      </c>
      <c r="AV165">
        <v>0</v>
      </c>
      <c r="AW165">
        <v>180</v>
      </c>
      <c r="AX165">
        <v>0</v>
      </c>
    </row>
    <row r="166" spans="1:70" x14ac:dyDescent="0.25">
      <c r="A166" t="s">
        <v>3484</v>
      </c>
      <c r="B166" s="3">
        <v>42586</v>
      </c>
      <c r="C166" t="s">
        <v>50</v>
      </c>
      <c r="D166" t="s">
        <v>3485</v>
      </c>
      <c r="E166" t="s">
        <v>50</v>
      </c>
      <c r="F166">
        <v>152500</v>
      </c>
      <c r="G166" t="s">
        <v>3486</v>
      </c>
      <c r="H166" s="3">
        <v>42586</v>
      </c>
      <c r="I166" t="s">
        <v>214</v>
      </c>
      <c r="J166">
        <v>132000</v>
      </c>
      <c r="K166" s="1"/>
      <c r="M166" s="3">
        <v>42586</v>
      </c>
      <c r="N166" t="s">
        <v>54</v>
      </c>
      <c r="P166" t="s">
        <v>56</v>
      </c>
      <c r="Q166">
        <v>96200</v>
      </c>
      <c r="R166" s="3">
        <v>42586</v>
      </c>
      <c r="S166" t="s">
        <v>57</v>
      </c>
      <c r="U166" t="s">
        <v>56</v>
      </c>
      <c r="V166">
        <v>10000</v>
      </c>
      <c r="W166" s="3">
        <v>42644</v>
      </c>
      <c r="X166" t="s">
        <v>54</v>
      </c>
      <c r="Z166" t="s">
        <v>60</v>
      </c>
      <c r="AA166">
        <v>24700</v>
      </c>
      <c r="AG166" t="s">
        <v>3487</v>
      </c>
      <c r="AH166" s="3">
        <v>42675</v>
      </c>
      <c r="AI166">
        <v>152500</v>
      </c>
      <c r="AJ166">
        <v>0</v>
      </c>
      <c r="AS166" t="s">
        <v>3331</v>
      </c>
      <c r="AT166" s="3">
        <v>42754</v>
      </c>
      <c r="AU166">
        <v>152118.5</v>
      </c>
      <c r="AV166">
        <v>0</v>
      </c>
      <c r="AW166">
        <v>381.5</v>
      </c>
      <c r="AX166">
        <v>0</v>
      </c>
    </row>
    <row r="167" spans="1:70" x14ac:dyDescent="0.25">
      <c r="A167" t="s">
        <v>3488</v>
      </c>
      <c r="B167" s="3">
        <v>42587</v>
      </c>
      <c r="C167" t="s">
        <v>50</v>
      </c>
      <c r="D167" t="s">
        <v>3489</v>
      </c>
      <c r="E167" t="s">
        <v>50</v>
      </c>
      <c r="F167">
        <v>17000</v>
      </c>
      <c r="G167" t="s">
        <v>3490</v>
      </c>
      <c r="H167" s="3">
        <v>42587</v>
      </c>
      <c r="I167" t="s">
        <v>214</v>
      </c>
      <c r="J167">
        <v>15500</v>
      </c>
      <c r="K167" s="1"/>
      <c r="M167" s="3">
        <v>42587</v>
      </c>
      <c r="N167" t="s">
        <v>57</v>
      </c>
      <c r="P167" t="s">
        <v>56</v>
      </c>
      <c r="Q167">
        <v>12000</v>
      </c>
      <c r="R167" s="3">
        <v>42620</v>
      </c>
      <c r="S167" t="s">
        <v>54</v>
      </c>
      <c r="U167" t="s">
        <v>60</v>
      </c>
      <c r="V167">
        <v>3100</v>
      </c>
      <c r="AG167" t="s">
        <v>3491</v>
      </c>
      <c r="AH167" s="3">
        <v>42599</v>
      </c>
      <c r="AI167">
        <v>17000</v>
      </c>
      <c r="AJ167">
        <v>0</v>
      </c>
      <c r="AS167" t="s">
        <v>3461</v>
      </c>
      <c r="AT167" s="3">
        <v>42735</v>
      </c>
      <c r="AU167">
        <v>16660</v>
      </c>
      <c r="AV167">
        <v>0</v>
      </c>
      <c r="AW167">
        <v>340</v>
      </c>
      <c r="AX167">
        <v>0</v>
      </c>
    </row>
    <row r="168" spans="1:70" x14ac:dyDescent="0.25">
      <c r="A168" t="s">
        <v>3498</v>
      </c>
      <c r="B168" s="3">
        <v>42598</v>
      </c>
      <c r="C168" t="s">
        <v>50</v>
      </c>
      <c r="D168" t="s">
        <v>3499</v>
      </c>
      <c r="E168" t="s">
        <v>50</v>
      </c>
      <c r="F168">
        <v>13500</v>
      </c>
      <c r="G168" t="s">
        <v>3500</v>
      </c>
      <c r="H168" s="3">
        <v>42598</v>
      </c>
      <c r="I168" t="s">
        <v>230</v>
      </c>
      <c r="J168">
        <v>12500</v>
      </c>
      <c r="K168" s="1"/>
      <c r="M168" s="3">
        <v>42598</v>
      </c>
      <c r="N168" t="s">
        <v>57</v>
      </c>
      <c r="P168" t="s">
        <v>56</v>
      </c>
      <c r="Q168">
        <v>11300</v>
      </c>
      <c r="R168" s="3">
        <v>42630</v>
      </c>
      <c r="S168" t="s">
        <v>54</v>
      </c>
      <c r="U168" t="s">
        <v>60</v>
      </c>
      <c r="V168">
        <v>970</v>
      </c>
      <c r="AG168" t="s">
        <v>3501</v>
      </c>
      <c r="AH168" s="3">
        <v>42639</v>
      </c>
      <c r="AI168">
        <v>13500</v>
      </c>
      <c r="AJ168">
        <v>0</v>
      </c>
      <c r="AS168" t="s">
        <v>3461</v>
      </c>
      <c r="AT168" s="3">
        <v>42735</v>
      </c>
      <c r="AU168">
        <v>13230</v>
      </c>
      <c r="AV168">
        <v>0</v>
      </c>
      <c r="AW168">
        <v>270</v>
      </c>
      <c r="AX168">
        <v>0</v>
      </c>
    </row>
    <row r="169" spans="1:70" x14ac:dyDescent="0.25">
      <c r="A169" t="s">
        <v>3515</v>
      </c>
      <c r="B169" s="3">
        <v>42619</v>
      </c>
      <c r="C169" t="s">
        <v>3378</v>
      </c>
      <c r="D169" t="s">
        <v>2900</v>
      </c>
      <c r="E169" t="s">
        <v>50</v>
      </c>
      <c r="F169">
        <v>12000</v>
      </c>
      <c r="G169" t="s">
        <v>3516</v>
      </c>
      <c r="H169" s="3">
        <v>42619</v>
      </c>
      <c r="I169" t="s">
        <v>91</v>
      </c>
      <c r="J169">
        <v>10000</v>
      </c>
      <c r="K169" s="1"/>
      <c r="M169" s="3">
        <v>42619</v>
      </c>
      <c r="N169" t="s">
        <v>57</v>
      </c>
      <c r="P169" t="s">
        <v>56</v>
      </c>
      <c r="Q169">
        <v>8350</v>
      </c>
      <c r="R169" s="3">
        <v>42620</v>
      </c>
      <c r="S169" t="s">
        <v>57</v>
      </c>
      <c r="U169" t="s">
        <v>60</v>
      </c>
      <c r="V169">
        <v>1470</v>
      </c>
      <c r="AG169" t="s">
        <v>3517</v>
      </c>
      <c r="AH169" s="3">
        <v>42620</v>
      </c>
      <c r="AI169">
        <v>12000</v>
      </c>
      <c r="AJ169">
        <v>0</v>
      </c>
      <c r="AS169" t="s">
        <v>3461</v>
      </c>
      <c r="AT169" s="3">
        <v>42735</v>
      </c>
      <c r="AU169">
        <v>11760</v>
      </c>
      <c r="AV169">
        <v>0</v>
      </c>
      <c r="AW169">
        <v>240</v>
      </c>
      <c r="AX169">
        <v>0</v>
      </c>
    </row>
    <row r="170" spans="1:70" x14ac:dyDescent="0.25">
      <c r="A170" t="s">
        <v>3518</v>
      </c>
      <c r="B170" s="3">
        <v>42628</v>
      </c>
      <c r="C170" t="s">
        <v>50</v>
      </c>
      <c r="D170" t="s">
        <v>3519</v>
      </c>
      <c r="E170" t="s">
        <v>50</v>
      </c>
      <c r="F170">
        <v>83000</v>
      </c>
      <c r="G170" t="s">
        <v>3520</v>
      </c>
      <c r="H170" s="3">
        <v>42628</v>
      </c>
      <c r="I170" t="s">
        <v>1305</v>
      </c>
      <c r="J170">
        <v>70000</v>
      </c>
      <c r="K170" s="1"/>
      <c r="M170" s="3">
        <v>42628</v>
      </c>
      <c r="N170" t="s">
        <v>54</v>
      </c>
      <c r="P170" t="s">
        <v>56</v>
      </c>
      <c r="Q170">
        <v>35200</v>
      </c>
      <c r="R170" s="3">
        <v>42628</v>
      </c>
      <c r="S170" t="s">
        <v>57</v>
      </c>
      <c r="U170" t="s">
        <v>56</v>
      </c>
      <c r="V170">
        <v>24000</v>
      </c>
      <c r="W170" s="3">
        <v>42732</v>
      </c>
      <c r="X170" t="s">
        <v>54</v>
      </c>
      <c r="Z170" t="s">
        <v>60</v>
      </c>
      <c r="AA170">
        <v>9800</v>
      </c>
      <c r="AG170" t="s">
        <v>3521</v>
      </c>
      <c r="AH170" s="3">
        <v>42675</v>
      </c>
      <c r="AI170">
        <v>83000</v>
      </c>
      <c r="AJ170">
        <v>0</v>
      </c>
      <c r="AS170" t="s">
        <v>3003</v>
      </c>
      <c r="AT170" s="3">
        <v>42770</v>
      </c>
      <c r="AU170">
        <v>82793</v>
      </c>
      <c r="AV170">
        <v>0</v>
      </c>
      <c r="AW170">
        <v>207</v>
      </c>
      <c r="AX170">
        <v>0</v>
      </c>
      <c r="BQ170" t="s">
        <v>72</v>
      </c>
      <c r="BR170" t="s">
        <v>3004</v>
      </c>
    </row>
    <row r="171" spans="1:70" x14ac:dyDescent="0.25">
      <c r="A171" t="s">
        <v>3522</v>
      </c>
      <c r="B171" s="3">
        <v>42632</v>
      </c>
      <c r="C171" t="s">
        <v>50</v>
      </c>
      <c r="D171" t="s">
        <v>3519</v>
      </c>
      <c r="E171" t="s">
        <v>50</v>
      </c>
      <c r="F171">
        <v>27000</v>
      </c>
      <c r="G171" t="s">
        <v>3523</v>
      </c>
      <c r="H171" s="3">
        <v>42632</v>
      </c>
      <c r="I171" t="s">
        <v>3012</v>
      </c>
      <c r="J171">
        <v>24000</v>
      </c>
      <c r="K171" s="1"/>
      <c r="M171" s="3">
        <v>42632</v>
      </c>
      <c r="N171" t="s">
        <v>57</v>
      </c>
      <c r="P171" t="s">
        <v>56</v>
      </c>
      <c r="Q171">
        <v>21700</v>
      </c>
      <c r="R171" s="3">
        <v>42646</v>
      </c>
      <c r="S171" t="s">
        <v>54</v>
      </c>
      <c r="U171" t="s">
        <v>60</v>
      </c>
      <c r="V171">
        <v>1950</v>
      </c>
      <c r="AG171" t="s">
        <v>3524</v>
      </c>
      <c r="AH171" s="3">
        <v>42639</v>
      </c>
      <c r="AI171">
        <v>27000</v>
      </c>
      <c r="AJ171">
        <v>0</v>
      </c>
      <c r="AS171" t="s">
        <v>3461</v>
      </c>
      <c r="AT171" s="3">
        <v>42735</v>
      </c>
      <c r="AU171">
        <v>26460</v>
      </c>
      <c r="AV171">
        <v>0</v>
      </c>
      <c r="AW171">
        <v>540</v>
      </c>
      <c r="AX171">
        <v>0</v>
      </c>
    </row>
    <row r="172" spans="1:70" x14ac:dyDescent="0.25">
      <c r="A172" t="s">
        <v>3544</v>
      </c>
      <c r="B172" s="3">
        <v>42653</v>
      </c>
      <c r="C172" t="s">
        <v>50</v>
      </c>
      <c r="D172" t="s">
        <v>3545</v>
      </c>
      <c r="E172" t="s">
        <v>50</v>
      </c>
      <c r="F172">
        <v>25000</v>
      </c>
      <c r="G172" t="s">
        <v>3546</v>
      </c>
      <c r="H172" s="3">
        <v>42653</v>
      </c>
      <c r="I172" t="s">
        <v>1305</v>
      </c>
      <c r="J172">
        <v>22500</v>
      </c>
      <c r="K172" s="1"/>
      <c r="M172" s="3">
        <v>42656</v>
      </c>
      <c r="N172" t="s">
        <v>57</v>
      </c>
      <c r="P172" t="s">
        <v>56</v>
      </c>
      <c r="Q172">
        <v>17200</v>
      </c>
      <c r="R172" s="3">
        <v>42678</v>
      </c>
      <c r="S172" t="s">
        <v>54</v>
      </c>
      <c r="U172" t="s">
        <v>60</v>
      </c>
      <c r="V172">
        <v>4900</v>
      </c>
      <c r="AG172" t="s">
        <v>3547</v>
      </c>
      <c r="AH172" s="3">
        <v>42667</v>
      </c>
      <c r="AI172">
        <v>25000</v>
      </c>
      <c r="AJ172">
        <v>0</v>
      </c>
      <c r="AS172" t="s">
        <v>3003</v>
      </c>
      <c r="AT172" s="3">
        <v>42770</v>
      </c>
      <c r="AU172">
        <v>24937</v>
      </c>
      <c r="AV172">
        <v>0</v>
      </c>
      <c r="AW172">
        <v>63</v>
      </c>
      <c r="AX172">
        <v>0</v>
      </c>
      <c r="BQ172" t="s">
        <v>72</v>
      </c>
      <c r="BR172" t="s">
        <v>3004</v>
      </c>
    </row>
    <row r="173" spans="1:70" x14ac:dyDescent="0.25">
      <c r="A173" s="4" t="s">
        <v>3548</v>
      </c>
      <c r="B173" s="3">
        <v>42684</v>
      </c>
      <c r="C173" t="s">
        <v>50</v>
      </c>
      <c r="D173" t="s">
        <v>3549</v>
      </c>
      <c r="E173" t="s">
        <v>50</v>
      </c>
      <c r="F173">
        <v>75000</v>
      </c>
      <c r="G173" t="s">
        <v>3550</v>
      </c>
      <c r="H173" s="3">
        <v>42684</v>
      </c>
      <c r="I173" t="s">
        <v>1305</v>
      </c>
      <c r="J173">
        <v>92500</v>
      </c>
      <c r="K173" s="1" t="s">
        <v>67</v>
      </c>
      <c r="M173" s="3">
        <v>42685</v>
      </c>
      <c r="N173" t="s">
        <v>54</v>
      </c>
      <c r="P173" t="s">
        <v>56</v>
      </c>
      <c r="Q173">
        <v>59300</v>
      </c>
      <c r="R173" s="3">
        <v>42727</v>
      </c>
      <c r="S173" t="s">
        <v>57</v>
      </c>
      <c r="U173" t="s">
        <v>56</v>
      </c>
      <c r="V173">
        <v>22500</v>
      </c>
      <c r="W173" s="3">
        <v>42790</v>
      </c>
      <c r="X173" t="s">
        <v>54</v>
      </c>
      <c r="Z173" t="s">
        <v>60</v>
      </c>
      <c r="AA173">
        <v>9800</v>
      </c>
      <c r="AG173" t="s">
        <v>3551</v>
      </c>
      <c r="AH173" s="3">
        <v>42719</v>
      </c>
      <c r="AI173">
        <v>22500</v>
      </c>
      <c r="AJ173">
        <v>0</v>
      </c>
      <c r="AK173" s="5" t="s">
        <v>3552</v>
      </c>
      <c r="AL173" s="3">
        <v>42685</v>
      </c>
      <c r="AM173" s="5">
        <v>75000</v>
      </c>
      <c r="AN173">
        <v>0</v>
      </c>
      <c r="AS173" t="s">
        <v>3553</v>
      </c>
      <c r="AT173" s="3">
        <v>42685</v>
      </c>
      <c r="AU173">
        <v>75000</v>
      </c>
      <c r="AV173">
        <v>0</v>
      </c>
      <c r="AW173">
        <v>0</v>
      </c>
      <c r="AX173">
        <v>0</v>
      </c>
      <c r="AY173" t="s">
        <v>3554</v>
      </c>
      <c r="AZ173" s="3">
        <v>42693</v>
      </c>
      <c r="BA173">
        <v>75000</v>
      </c>
      <c r="BB173">
        <v>0</v>
      </c>
      <c r="BC173">
        <v>0</v>
      </c>
      <c r="BD173">
        <v>0</v>
      </c>
      <c r="BE173" t="s">
        <v>3555</v>
      </c>
      <c r="BF173" s="3">
        <v>42800</v>
      </c>
      <c r="BG173">
        <v>45000</v>
      </c>
      <c r="BH173">
        <v>0</v>
      </c>
      <c r="BI173">
        <v>0</v>
      </c>
      <c r="BJ173">
        <v>0</v>
      </c>
    </row>
    <row r="174" spans="1:70" x14ac:dyDescent="0.25">
      <c r="A174" s="4" t="s">
        <v>3559</v>
      </c>
      <c r="B174" s="3">
        <v>42685</v>
      </c>
      <c r="C174" t="s">
        <v>50</v>
      </c>
      <c r="D174" t="s">
        <v>3549</v>
      </c>
      <c r="E174" t="s">
        <v>50</v>
      </c>
      <c r="F174">
        <v>75000</v>
      </c>
      <c r="G174" t="s">
        <v>3560</v>
      </c>
      <c r="H174" s="3">
        <v>42685</v>
      </c>
      <c r="I174" t="s">
        <v>1305</v>
      </c>
      <c r="J174">
        <v>92500</v>
      </c>
      <c r="K174" s="1" t="s">
        <v>67</v>
      </c>
      <c r="M174" s="3">
        <v>42686</v>
      </c>
      <c r="N174" t="s">
        <v>54</v>
      </c>
      <c r="P174" t="s">
        <v>56</v>
      </c>
      <c r="Q174">
        <v>59300</v>
      </c>
      <c r="R174" s="3">
        <v>42727</v>
      </c>
      <c r="S174" t="s">
        <v>57</v>
      </c>
      <c r="U174" t="s">
        <v>56</v>
      </c>
      <c r="V174">
        <v>22500</v>
      </c>
      <c r="W174" s="3">
        <v>42790</v>
      </c>
      <c r="X174" t="s">
        <v>54</v>
      </c>
      <c r="Z174" t="s">
        <v>60</v>
      </c>
      <c r="AA174">
        <v>9800</v>
      </c>
      <c r="AG174" t="s">
        <v>3551</v>
      </c>
      <c r="AH174" s="3">
        <v>42719</v>
      </c>
      <c r="AI174">
        <v>22500</v>
      </c>
      <c r="AJ174">
        <v>0</v>
      </c>
      <c r="AK174" s="5" t="s">
        <v>3552</v>
      </c>
      <c r="AL174" s="3">
        <v>42685</v>
      </c>
      <c r="AM174" s="5">
        <v>75000</v>
      </c>
      <c r="AN174">
        <v>0</v>
      </c>
      <c r="AS174" s="13" t="s">
        <v>3553</v>
      </c>
      <c r="AT174" s="3">
        <v>42685</v>
      </c>
      <c r="AU174">
        <v>75000</v>
      </c>
      <c r="AV174">
        <v>0</v>
      </c>
      <c r="AW174">
        <v>0</v>
      </c>
      <c r="AX174">
        <v>0</v>
      </c>
      <c r="AY174" s="13" t="s">
        <v>3554</v>
      </c>
      <c r="AZ174" s="3">
        <v>42693</v>
      </c>
      <c r="BA174">
        <v>75000</v>
      </c>
      <c r="BB174">
        <v>0</v>
      </c>
      <c r="BC174">
        <v>0</v>
      </c>
      <c r="BD174">
        <v>0</v>
      </c>
      <c r="BE174" s="13" t="s">
        <v>3555</v>
      </c>
      <c r="BF174" s="3">
        <v>42800</v>
      </c>
      <c r="BG174">
        <v>45000</v>
      </c>
      <c r="BH174">
        <v>0</v>
      </c>
      <c r="BI174">
        <v>0</v>
      </c>
      <c r="BJ174">
        <v>0</v>
      </c>
    </row>
    <row r="175" spans="1:70" x14ac:dyDescent="0.25">
      <c r="A175" t="s">
        <v>3561</v>
      </c>
      <c r="B175" s="3">
        <v>42696</v>
      </c>
      <c r="C175" t="s">
        <v>50</v>
      </c>
      <c r="D175" t="s">
        <v>3562</v>
      </c>
      <c r="E175" t="s">
        <v>50</v>
      </c>
      <c r="F175">
        <v>30000</v>
      </c>
      <c r="G175" t="s">
        <v>3563</v>
      </c>
      <c r="H175" s="3">
        <v>42696</v>
      </c>
      <c r="I175" t="s">
        <v>1244</v>
      </c>
      <c r="J175">
        <v>27000</v>
      </c>
      <c r="K175" s="1"/>
      <c r="M175" s="3">
        <v>42696</v>
      </c>
      <c r="N175" t="s">
        <v>54</v>
      </c>
      <c r="P175" t="s">
        <v>56</v>
      </c>
      <c r="Q175">
        <v>24000</v>
      </c>
      <c r="R175" s="3">
        <v>42773</v>
      </c>
      <c r="S175" t="s">
        <v>54</v>
      </c>
      <c r="U175" t="s">
        <v>60</v>
      </c>
      <c r="V175">
        <v>2450</v>
      </c>
      <c r="AG175" t="s">
        <v>3564</v>
      </c>
      <c r="AH175" s="3">
        <v>42727</v>
      </c>
      <c r="AI175">
        <v>30000</v>
      </c>
      <c r="AJ175">
        <v>0</v>
      </c>
      <c r="AS175" t="s">
        <v>3003</v>
      </c>
      <c r="AT175" s="3">
        <v>42770</v>
      </c>
      <c r="AU175">
        <v>29925</v>
      </c>
      <c r="AV175">
        <v>0</v>
      </c>
      <c r="AW175">
        <v>75</v>
      </c>
      <c r="AX175">
        <v>0</v>
      </c>
      <c r="BQ175" t="s">
        <v>72</v>
      </c>
      <c r="BR175" t="s">
        <v>3004</v>
      </c>
    </row>
    <row r="176" spans="1:70" x14ac:dyDescent="0.25">
      <c r="A176" t="s">
        <v>3586</v>
      </c>
      <c r="B176" s="3">
        <v>42760</v>
      </c>
      <c r="C176" t="s">
        <v>50</v>
      </c>
      <c r="D176" t="s">
        <v>3577</v>
      </c>
      <c r="E176" t="s">
        <v>50</v>
      </c>
      <c r="F176">
        <v>135000</v>
      </c>
      <c r="G176" t="s">
        <v>3587</v>
      </c>
      <c r="H176" s="3">
        <v>42760</v>
      </c>
      <c r="I176" t="s">
        <v>2204</v>
      </c>
      <c r="J176">
        <v>130000</v>
      </c>
      <c r="K176" s="1"/>
      <c r="M176" s="3">
        <v>42760</v>
      </c>
      <c r="N176" t="s">
        <v>54</v>
      </c>
      <c r="P176" t="s">
        <v>56</v>
      </c>
      <c r="Q176">
        <v>114200</v>
      </c>
      <c r="R176" s="3">
        <v>42812</v>
      </c>
      <c r="S176" t="s">
        <v>54</v>
      </c>
      <c r="U176" t="s">
        <v>60</v>
      </c>
      <c r="V176">
        <v>14700</v>
      </c>
      <c r="AS176" t="s">
        <v>3588</v>
      </c>
      <c r="AT176" s="3">
        <v>42760</v>
      </c>
      <c r="AU176">
        <v>67500</v>
      </c>
      <c r="AV176">
        <v>0</v>
      </c>
      <c r="AW176">
        <v>0</v>
      </c>
      <c r="AX176">
        <v>0</v>
      </c>
      <c r="AY176" t="s">
        <v>3589</v>
      </c>
      <c r="AZ176" s="3">
        <v>42783</v>
      </c>
      <c r="BA176">
        <v>64800</v>
      </c>
      <c r="BB176">
        <v>0</v>
      </c>
      <c r="BC176">
        <v>2700</v>
      </c>
      <c r="BD176">
        <v>0</v>
      </c>
    </row>
    <row r="177" spans="1:50" x14ac:dyDescent="0.25">
      <c r="A177" t="s">
        <v>3590</v>
      </c>
      <c r="B177" s="3">
        <v>42768</v>
      </c>
      <c r="C177" t="s">
        <v>50</v>
      </c>
      <c r="D177" t="s">
        <v>3591</v>
      </c>
      <c r="E177" t="s">
        <v>50</v>
      </c>
      <c r="F177">
        <v>50000</v>
      </c>
      <c r="G177" t="s">
        <v>3592</v>
      </c>
      <c r="H177" s="3">
        <v>42768</v>
      </c>
      <c r="I177" t="s">
        <v>3593</v>
      </c>
      <c r="J177">
        <v>46000</v>
      </c>
      <c r="K177" s="1"/>
      <c r="M177" s="3">
        <v>42769</v>
      </c>
      <c r="N177" t="s">
        <v>54</v>
      </c>
      <c r="P177" t="s">
        <v>56</v>
      </c>
      <c r="Q177">
        <v>35600</v>
      </c>
      <c r="R177" s="3">
        <v>42769</v>
      </c>
      <c r="S177" t="s">
        <v>57</v>
      </c>
      <c r="U177" t="s">
        <v>56</v>
      </c>
      <c r="V177">
        <v>5000</v>
      </c>
      <c r="W177" s="3">
        <v>42835</v>
      </c>
      <c r="X177" t="s">
        <v>54</v>
      </c>
      <c r="Y177" t="s">
        <v>2514</v>
      </c>
      <c r="Z177" t="s">
        <v>60</v>
      </c>
      <c r="AA177">
        <v>4900</v>
      </c>
      <c r="AG177" t="s">
        <v>3594</v>
      </c>
      <c r="AH177" s="3">
        <v>42825</v>
      </c>
      <c r="AI177">
        <v>50000</v>
      </c>
      <c r="AJ177">
        <v>0</v>
      </c>
      <c r="AS177" t="s">
        <v>3595</v>
      </c>
      <c r="AT177" s="3">
        <v>42853</v>
      </c>
      <c r="AU177">
        <v>49875</v>
      </c>
      <c r="AV177">
        <v>0</v>
      </c>
      <c r="AW177">
        <v>125</v>
      </c>
      <c r="AX177">
        <v>0</v>
      </c>
    </row>
    <row r="178" spans="1:50" x14ac:dyDescent="0.25">
      <c r="A178" t="s">
        <v>3596</v>
      </c>
      <c r="B178" s="3">
        <v>42782</v>
      </c>
      <c r="C178" t="s">
        <v>50</v>
      </c>
      <c r="D178" t="s">
        <v>3597</v>
      </c>
      <c r="E178" t="s">
        <v>50</v>
      </c>
      <c r="F178">
        <v>164000</v>
      </c>
      <c r="G178" t="s">
        <v>3598</v>
      </c>
      <c r="H178" s="3">
        <v>42782</v>
      </c>
      <c r="I178" t="s">
        <v>1305</v>
      </c>
      <c r="J178">
        <v>149000</v>
      </c>
      <c r="K178" s="1"/>
      <c r="M178" s="3">
        <v>42783</v>
      </c>
      <c r="N178" t="s">
        <v>54</v>
      </c>
      <c r="P178" t="s">
        <v>56</v>
      </c>
      <c r="Q178">
        <v>128200</v>
      </c>
      <c r="R178" s="3">
        <v>42842</v>
      </c>
      <c r="S178" t="s">
        <v>54</v>
      </c>
      <c r="T178" t="s">
        <v>3599</v>
      </c>
      <c r="U178" t="s">
        <v>60</v>
      </c>
      <c r="V178">
        <v>19700</v>
      </c>
      <c r="AG178" t="s">
        <v>3600</v>
      </c>
      <c r="AH178" s="3">
        <v>42825</v>
      </c>
      <c r="AI178">
        <v>164000</v>
      </c>
      <c r="AJ178">
        <v>0</v>
      </c>
      <c r="AS178" t="s">
        <v>3595</v>
      </c>
      <c r="AT178" s="3">
        <v>42853</v>
      </c>
      <c r="AU178">
        <v>163590</v>
      </c>
      <c r="AV178">
        <v>0</v>
      </c>
      <c r="AW178">
        <v>410</v>
      </c>
      <c r="AX178">
        <v>0</v>
      </c>
    </row>
    <row r="179" spans="1:50" x14ac:dyDescent="0.25">
      <c r="A179" t="s">
        <v>3601</v>
      </c>
      <c r="B179" s="3">
        <v>42795</v>
      </c>
      <c r="C179" t="s">
        <v>50</v>
      </c>
      <c r="D179" t="s">
        <v>3602</v>
      </c>
      <c r="E179" t="s">
        <v>50</v>
      </c>
      <c r="F179">
        <v>54000</v>
      </c>
      <c r="G179" t="s">
        <v>3603</v>
      </c>
      <c r="H179" s="3">
        <v>42795</v>
      </c>
      <c r="I179" t="s">
        <v>1305</v>
      </c>
      <c r="J179">
        <v>50000</v>
      </c>
      <c r="K179" s="1"/>
      <c r="M179" s="3">
        <v>42796</v>
      </c>
      <c r="N179" t="s">
        <v>54</v>
      </c>
      <c r="P179" t="s">
        <v>56</v>
      </c>
      <c r="Q179">
        <v>39200</v>
      </c>
      <c r="R179" s="3">
        <v>42901</v>
      </c>
      <c r="S179" t="s">
        <v>54</v>
      </c>
      <c r="T179" t="s">
        <v>1306</v>
      </c>
      <c r="U179" t="s">
        <v>60</v>
      </c>
      <c r="V179">
        <v>9800</v>
      </c>
      <c r="AG179" t="s">
        <v>3604</v>
      </c>
      <c r="AH179" s="3">
        <v>42871</v>
      </c>
      <c r="AI179">
        <v>54000</v>
      </c>
      <c r="AJ179">
        <v>0</v>
      </c>
      <c r="AS179" t="s">
        <v>3605</v>
      </c>
      <c r="AT179" s="3">
        <v>42901</v>
      </c>
      <c r="AU179">
        <v>52920</v>
      </c>
      <c r="AV179">
        <v>0</v>
      </c>
      <c r="AW179">
        <v>1080</v>
      </c>
      <c r="AX179">
        <v>0</v>
      </c>
    </row>
    <row r="180" spans="1:50" x14ac:dyDescent="0.25">
      <c r="A180" t="s">
        <v>3606</v>
      </c>
      <c r="B180" s="3">
        <v>42931</v>
      </c>
      <c r="C180" t="s">
        <v>50</v>
      </c>
      <c r="D180" t="s">
        <v>2735</v>
      </c>
      <c r="E180" t="s">
        <v>50</v>
      </c>
      <c r="F180">
        <v>82000</v>
      </c>
      <c r="G180" t="s">
        <v>3607</v>
      </c>
      <c r="H180" s="3">
        <v>42931</v>
      </c>
      <c r="I180" t="s">
        <v>2471</v>
      </c>
      <c r="J180">
        <v>74000</v>
      </c>
      <c r="K180" s="1"/>
      <c r="M180" s="3">
        <v>42933</v>
      </c>
      <c r="N180" t="s">
        <v>54</v>
      </c>
      <c r="O180" t="s">
        <v>3608</v>
      </c>
      <c r="P180" t="s">
        <v>56</v>
      </c>
      <c r="Q180">
        <v>59000</v>
      </c>
      <c r="R180" s="3">
        <v>42958</v>
      </c>
      <c r="S180" t="s">
        <v>54</v>
      </c>
      <c r="T180" t="s">
        <v>3608</v>
      </c>
      <c r="U180" t="s">
        <v>60</v>
      </c>
      <c r="V180">
        <v>13800</v>
      </c>
      <c r="AG180" t="s">
        <v>3609</v>
      </c>
      <c r="AH180" s="3">
        <v>42979</v>
      </c>
      <c r="AI180">
        <v>82000</v>
      </c>
      <c r="AJ180">
        <v>0</v>
      </c>
      <c r="AS180" t="s">
        <v>3610</v>
      </c>
      <c r="AT180" s="3">
        <v>43011</v>
      </c>
      <c r="AU180">
        <v>80360</v>
      </c>
      <c r="AV180">
        <v>0</v>
      </c>
      <c r="AW180">
        <v>1640</v>
      </c>
      <c r="AX180">
        <v>0</v>
      </c>
    </row>
    <row r="181" spans="1:50" x14ac:dyDescent="0.25">
      <c r="A181" t="s">
        <v>3611</v>
      </c>
      <c r="B181" s="3">
        <v>42977</v>
      </c>
      <c r="C181" t="s">
        <v>50</v>
      </c>
      <c r="D181" t="s">
        <v>3612</v>
      </c>
      <c r="E181" t="s">
        <v>50</v>
      </c>
      <c r="F181">
        <v>19500</v>
      </c>
      <c r="G181" t="s">
        <v>3613</v>
      </c>
      <c r="H181" s="3">
        <v>42977</v>
      </c>
      <c r="I181" t="s">
        <v>3614</v>
      </c>
      <c r="J181">
        <v>17000</v>
      </c>
      <c r="K181" s="1"/>
      <c r="M181" s="3">
        <v>42977</v>
      </c>
      <c r="N181" t="s">
        <v>54</v>
      </c>
      <c r="O181" t="s">
        <v>3615</v>
      </c>
      <c r="P181" t="s">
        <v>56</v>
      </c>
      <c r="Q181">
        <v>14200</v>
      </c>
      <c r="R181" s="3">
        <v>42997</v>
      </c>
      <c r="S181" t="s">
        <v>54</v>
      </c>
      <c r="T181" t="s">
        <v>305</v>
      </c>
      <c r="U181" t="s">
        <v>60</v>
      </c>
      <c r="V181">
        <v>2400</v>
      </c>
      <c r="AG181" t="s">
        <v>3616</v>
      </c>
      <c r="AH181" s="3">
        <v>42998</v>
      </c>
      <c r="AI181">
        <v>19500</v>
      </c>
      <c r="AJ181">
        <v>0</v>
      </c>
      <c r="AS181" t="s">
        <v>3617</v>
      </c>
      <c r="AT181" s="3">
        <v>43047</v>
      </c>
      <c r="AU181">
        <v>19110</v>
      </c>
      <c r="AV181">
        <v>0</v>
      </c>
      <c r="AW181">
        <v>390</v>
      </c>
      <c r="AX181">
        <v>0</v>
      </c>
    </row>
    <row r="182" spans="1:50" x14ac:dyDescent="0.25">
      <c r="A182" t="s">
        <v>3618</v>
      </c>
      <c r="B182" s="3">
        <v>42977</v>
      </c>
      <c r="C182" t="s">
        <v>50</v>
      </c>
      <c r="D182" t="s">
        <v>2839</v>
      </c>
      <c r="E182" t="s">
        <v>50</v>
      </c>
      <c r="F182">
        <v>35000</v>
      </c>
      <c r="G182" t="s">
        <v>3619</v>
      </c>
      <c r="H182" s="3">
        <v>42977</v>
      </c>
      <c r="I182" t="s">
        <v>2056</v>
      </c>
      <c r="J182">
        <v>31000</v>
      </c>
      <c r="K182" s="1"/>
      <c r="M182" s="3">
        <v>42977</v>
      </c>
      <c r="N182" t="s">
        <v>57</v>
      </c>
      <c r="P182" t="s">
        <v>56</v>
      </c>
      <c r="Q182">
        <v>10000</v>
      </c>
      <c r="R182" s="3">
        <v>42978</v>
      </c>
      <c r="S182" t="s">
        <v>54</v>
      </c>
      <c r="T182" t="s">
        <v>3620</v>
      </c>
      <c r="U182" t="s">
        <v>56</v>
      </c>
      <c r="V182">
        <v>17500</v>
      </c>
      <c r="W182" s="3">
        <v>43020</v>
      </c>
      <c r="X182" t="s">
        <v>54</v>
      </c>
      <c r="Y182" t="s">
        <v>3621</v>
      </c>
      <c r="Z182" t="s">
        <v>60</v>
      </c>
      <c r="AA182">
        <v>2950</v>
      </c>
      <c r="AG182" t="s">
        <v>3622</v>
      </c>
      <c r="AH182" s="3">
        <v>43017</v>
      </c>
      <c r="AI182">
        <v>35000</v>
      </c>
      <c r="AJ182">
        <v>0</v>
      </c>
      <c r="AS182" t="s">
        <v>3617</v>
      </c>
      <c r="AT182" s="3">
        <v>43047</v>
      </c>
      <c r="AU182">
        <v>34300</v>
      </c>
      <c r="AV182">
        <v>0</v>
      </c>
      <c r="AW182">
        <v>700</v>
      </c>
      <c r="AX182">
        <v>0</v>
      </c>
    </row>
    <row r="183" spans="1:50" x14ac:dyDescent="0.25">
      <c r="A183" t="s">
        <v>3623</v>
      </c>
      <c r="B183" s="3">
        <v>42973</v>
      </c>
      <c r="C183" t="s">
        <v>50</v>
      </c>
      <c r="D183" t="s">
        <v>3624</v>
      </c>
      <c r="E183" t="s">
        <v>50</v>
      </c>
      <c r="F183">
        <v>22500</v>
      </c>
      <c r="G183" t="s">
        <v>3625</v>
      </c>
      <c r="H183" s="3">
        <v>42977</v>
      </c>
      <c r="I183" t="s">
        <v>1375</v>
      </c>
      <c r="J183">
        <v>20500</v>
      </c>
      <c r="K183" s="1"/>
      <c r="M183" s="3">
        <v>42977</v>
      </c>
      <c r="N183" t="s">
        <v>54</v>
      </c>
      <c r="O183" t="s">
        <v>1375</v>
      </c>
      <c r="P183" t="s">
        <v>56</v>
      </c>
      <c r="Q183">
        <v>18100</v>
      </c>
      <c r="R183" s="3">
        <v>43015</v>
      </c>
      <c r="S183" t="s">
        <v>54</v>
      </c>
      <c r="T183" t="s">
        <v>1596</v>
      </c>
      <c r="U183" t="s">
        <v>60</v>
      </c>
      <c r="V183">
        <v>1950</v>
      </c>
      <c r="AG183" t="s">
        <v>3626</v>
      </c>
      <c r="AH183" s="3">
        <v>42998</v>
      </c>
      <c r="AI183">
        <v>22500</v>
      </c>
      <c r="AJ183">
        <v>0</v>
      </c>
      <c r="AS183" t="s">
        <v>3617</v>
      </c>
      <c r="AT183" s="3">
        <v>43047</v>
      </c>
      <c r="AU183">
        <v>22050</v>
      </c>
      <c r="AV183">
        <v>0</v>
      </c>
      <c r="AW183">
        <v>450</v>
      </c>
      <c r="AX183">
        <v>0</v>
      </c>
    </row>
    <row r="184" spans="1:50" x14ac:dyDescent="0.25">
      <c r="A184" t="s">
        <v>3627</v>
      </c>
      <c r="B184" s="3">
        <v>42979</v>
      </c>
      <c r="C184" t="s">
        <v>50</v>
      </c>
      <c r="D184" t="s">
        <v>3624</v>
      </c>
      <c r="E184" t="s">
        <v>50</v>
      </c>
      <c r="F184">
        <v>19500</v>
      </c>
      <c r="G184" t="s">
        <v>3628</v>
      </c>
      <c r="H184" s="3">
        <v>42979</v>
      </c>
      <c r="I184" t="s">
        <v>214</v>
      </c>
      <c r="J184">
        <v>17500</v>
      </c>
      <c r="K184" s="1"/>
      <c r="M184" s="3">
        <v>42983</v>
      </c>
      <c r="N184" t="s">
        <v>54</v>
      </c>
      <c r="O184" t="s">
        <v>214</v>
      </c>
      <c r="P184" t="s">
        <v>56</v>
      </c>
      <c r="Q184">
        <v>15600</v>
      </c>
      <c r="R184" s="3">
        <v>43085</v>
      </c>
      <c r="S184" t="s">
        <v>54</v>
      </c>
      <c r="T184" t="s">
        <v>2567</v>
      </c>
      <c r="U184" t="s">
        <v>60</v>
      </c>
      <c r="V184">
        <v>1450</v>
      </c>
      <c r="AG184" t="s">
        <v>3629</v>
      </c>
      <c r="AH184" s="3">
        <v>43066</v>
      </c>
      <c r="AI184">
        <v>19500</v>
      </c>
      <c r="AJ184">
        <v>0</v>
      </c>
      <c r="AS184" t="s">
        <v>3630</v>
      </c>
      <c r="AT184" s="3">
        <v>43110</v>
      </c>
      <c r="AU184">
        <v>19110</v>
      </c>
      <c r="AV184">
        <v>0</v>
      </c>
      <c r="AW184">
        <v>390</v>
      </c>
      <c r="AX184">
        <v>0</v>
      </c>
    </row>
    <row r="185" spans="1:50" x14ac:dyDescent="0.25">
      <c r="A185" t="s">
        <v>3631</v>
      </c>
      <c r="B185" s="3">
        <v>42980</v>
      </c>
      <c r="C185" t="s">
        <v>50</v>
      </c>
      <c r="D185" t="s">
        <v>3624</v>
      </c>
      <c r="E185" t="s">
        <v>50</v>
      </c>
      <c r="F185">
        <v>19500</v>
      </c>
      <c r="G185" t="s">
        <v>3632</v>
      </c>
      <c r="H185" s="3">
        <v>42980</v>
      </c>
      <c r="I185" t="s">
        <v>214</v>
      </c>
      <c r="J185">
        <v>18000</v>
      </c>
      <c r="K185" s="1"/>
      <c r="M185" s="3">
        <v>42986</v>
      </c>
      <c r="N185" t="s">
        <v>54</v>
      </c>
      <c r="O185" t="s">
        <v>3633</v>
      </c>
      <c r="P185" t="s">
        <v>56</v>
      </c>
      <c r="Q185">
        <v>15600</v>
      </c>
      <c r="R185" s="3">
        <v>43015</v>
      </c>
      <c r="S185" t="s">
        <v>54</v>
      </c>
      <c r="T185" t="s">
        <v>1596</v>
      </c>
      <c r="U185" t="s">
        <v>60</v>
      </c>
      <c r="V185">
        <v>1950</v>
      </c>
      <c r="AG185" t="s">
        <v>3634</v>
      </c>
      <c r="AH185" s="3">
        <v>43066</v>
      </c>
      <c r="AI185">
        <v>19500</v>
      </c>
      <c r="AJ185">
        <v>0</v>
      </c>
      <c r="AS185" t="s">
        <v>3630</v>
      </c>
      <c r="AT185" s="3">
        <v>43110</v>
      </c>
      <c r="AU185">
        <v>19110</v>
      </c>
      <c r="AV185">
        <v>0</v>
      </c>
      <c r="AW185">
        <v>390</v>
      </c>
      <c r="AX185">
        <v>0</v>
      </c>
    </row>
    <row r="186" spans="1:50" x14ac:dyDescent="0.25">
      <c r="A186" t="s">
        <v>3635</v>
      </c>
      <c r="B186" s="3">
        <v>42985</v>
      </c>
      <c r="C186" t="s">
        <v>50</v>
      </c>
      <c r="D186" t="s">
        <v>3612</v>
      </c>
      <c r="E186" t="s">
        <v>50</v>
      </c>
      <c r="F186">
        <v>13500</v>
      </c>
      <c r="G186" t="s">
        <v>3636</v>
      </c>
      <c r="H186" s="3">
        <v>42985</v>
      </c>
      <c r="I186" t="s">
        <v>290</v>
      </c>
      <c r="J186">
        <v>12000</v>
      </c>
      <c r="K186" s="1"/>
      <c r="M186" s="3">
        <v>42986</v>
      </c>
      <c r="N186" t="s">
        <v>54</v>
      </c>
      <c r="O186" t="s">
        <v>3637</v>
      </c>
      <c r="P186" t="s">
        <v>56</v>
      </c>
      <c r="Q186">
        <v>9000</v>
      </c>
      <c r="R186" s="3">
        <v>43006</v>
      </c>
      <c r="S186" t="s">
        <v>54</v>
      </c>
      <c r="T186" t="s">
        <v>308</v>
      </c>
      <c r="U186" t="s">
        <v>60</v>
      </c>
      <c r="V186">
        <v>2500</v>
      </c>
      <c r="AG186" t="s">
        <v>3638</v>
      </c>
      <c r="AH186" s="3">
        <v>43066</v>
      </c>
      <c r="AI186">
        <v>13500</v>
      </c>
      <c r="AJ186">
        <v>0</v>
      </c>
      <c r="AS186" t="s">
        <v>3630</v>
      </c>
      <c r="AT186" s="3">
        <v>43110</v>
      </c>
      <c r="AU186">
        <v>13230</v>
      </c>
      <c r="AV186">
        <v>0</v>
      </c>
      <c r="AW186">
        <v>270</v>
      </c>
      <c r="AX186">
        <v>0</v>
      </c>
    </row>
    <row r="187" spans="1:50" x14ac:dyDescent="0.25">
      <c r="A187" t="s">
        <v>3639</v>
      </c>
      <c r="B187" s="3">
        <v>43039</v>
      </c>
      <c r="C187" t="s">
        <v>50</v>
      </c>
      <c r="D187" t="s">
        <v>3640</v>
      </c>
      <c r="E187" t="s">
        <v>50</v>
      </c>
      <c r="F187">
        <v>25000</v>
      </c>
      <c r="G187" t="s">
        <v>3641</v>
      </c>
      <c r="H187" s="3">
        <v>43039</v>
      </c>
      <c r="I187" t="s">
        <v>1375</v>
      </c>
      <c r="J187">
        <v>21000</v>
      </c>
      <c r="K187" s="1"/>
      <c r="M187" s="3">
        <v>43040</v>
      </c>
      <c r="N187" t="s">
        <v>54</v>
      </c>
      <c r="O187" t="s">
        <v>3642</v>
      </c>
      <c r="P187" t="s">
        <v>56</v>
      </c>
      <c r="Q187">
        <v>17700</v>
      </c>
      <c r="R187" s="3">
        <v>43112</v>
      </c>
      <c r="S187" t="s">
        <v>54</v>
      </c>
      <c r="T187" t="s">
        <v>1672</v>
      </c>
      <c r="U187" t="s">
        <v>60</v>
      </c>
      <c r="V187">
        <v>2900</v>
      </c>
      <c r="AG187" t="s">
        <v>3643</v>
      </c>
      <c r="AH187" s="3">
        <v>43096</v>
      </c>
      <c r="AI187">
        <v>25000</v>
      </c>
      <c r="AJ187">
        <v>0</v>
      </c>
      <c r="AS187" t="s">
        <v>3644</v>
      </c>
      <c r="AT187" s="3">
        <v>43123</v>
      </c>
      <c r="AU187">
        <v>24500</v>
      </c>
      <c r="AV187">
        <v>0</v>
      </c>
      <c r="AW187">
        <v>500</v>
      </c>
      <c r="AX187">
        <v>0</v>
      </c>
    </row>
    <row r="188" spans="1:50" x14ac:dyDescent="0.25">
      <c r="A188" t="s">
        <v>3645</v>
      </c>
      <c r="B188" s="3">
        <v>43094</v>
      </c>
      <c r="C188" t="s">
        <v>50</v>
      </c>
      <c r="D188" t="s">
        <v>3646</v>
      </c>
      <c r="E188" t="s">
        <v>50</v>
      </c>
      <c r="F188">
        <v>80000</v>
      </c>
      <c r="G188" t="s">
        <v>3647</v>
      </c>
      <c r="H188" s="3">
        <v>43094</v>
      </c>
      <c r="I188" t="s">
        <v>1305</v>
      </c>
      <c r="J188">
        <v>70000</v>
      </c>
      <c r="K188" s="1"/>
      <c r="M188" s="3">
        <v>43096</v>
      </c>
      <c r="N188" t="s">
        <v>1336</v>
      </c>
      <c r="O188" t="s">
        <v>3648</v>
      </c>
      <c r="P188" t="s">
        <v>56</v>
      </c>
      <c r="Q188">
        <v>15000</v>
      </c>
      <c r="R188" s="3">
        <v>43096</v>
      </c>
      <c r="S188" t="s">
        <v>54</v>
      </c>
      <c r="T188" t="s">
        <v>2684</v>
      </c>
      <c r="U188" t="s">
        <v>56</v>
      </c>
      <c r="V188">
        <v>44300</v>
      </c>
      <c r="W188" s="3">
        <v>43186</v>
      </c>
      <c r="X188" t="s">
        <v>54</v>
      </c>
      <c r="Y188" t="s">
        <v>1306</v>
      </c>
      <c r="Z188" t="s">
        <v>60</v>
      </c>
      <c r="AA188">
        <v>9800</v>
      </c>
      <c r="AG188" t="s">
        <v>3649</v>
      </c>
      <c r="AH188" s="3">
        <v>43144</v>
      </c>
      <c r="AI188">
        <v>80000</v>
      </c>
      <c r="AJ188">
        <v>0</v>
      </c>
      <c r="AS188" t="s">
        <v>3650</v>
      </c>
      <c r="AT188" s="3">
        <v>43173</v>
      </c>
      <c r="AU188">
        <v>328300</v>
      </c>
      <c r="AV188">
        <v>0</v>
      </c>
      <c r="AW188">
        <v>6700</v>
      </c>
      <c r="AX188">
        <v>0</v>
      </c>
    </row>
    <row r="189" spans="1:50" x14ac:dyDescent="0.25">
      <c r="A189" t="s">
        <v>3651</v>
      </c>
      <c r="B189" s="3">
        <v>43094</v>
      </c>
      <c r="C189" t="s">
        <v>50</v>
      </c>
      <c r="D189" t="s">
        <v>3646</v>
      </c>
      <c r="E189" t="s">
        <v>50</v>
      </c>
      <c r="F189">
        <v>80000</v>
      </c>
      <c r="G189" t="s">
        <v>3652</v>
      </c>
      <c r="H189" s="3">
        <v>43094</v>
      </c>
      <c r="I189" t="s">
        <v>1305</v>
      </c>
      <c r="J189">
        <v>70000</v>
      </c>
      <c r="K189" s="1"/>
      <c r="M189" s="3">
        <v>43096</v>
      </c>
      <c r="N189" t="s">
        <v>1336</v>
      </c>
      <c r="O189" t="s">
        <v>3653</v>
      </c>
      <c r="P189" t="s">
        <v>56</v>
      </c>
      <c r="Q189">
        <v>15000</v>
      </c>
      <c r="R189" s="3">
        <v>43096</v>
      </c>
      <c r="S189" t="s">
        <v>54</v>
      </c>
      <c r="T189" t="s">
        <v>2684</v>
      </c>
      <c r="U189" t="s">
        <v>56</v>
      </c>
      <c r="V189">
        <v>44300</v>
      </c>
      <c r="W189" s="3">
        <v>43186</v>
      </c>
      <c r="X189" t="s">
        <v>54</v>
      </c>
      <c r="Y189" t="s">
        <v>1306</v>
      </c>
      <c r="Z189" t="s">
        <v>60</v>
      </c>
      <c r="AA189">
        <v>9800</v>
      </c>
      <c r="AG189" t="s">
        <v>3649</v>
      </c>
      <c r="AH189" s="3">
        <v>43144</v>
      </c>
      <c r="AI189">
        <v>80000</v>
      </c>
      <c r="AJ189">
        <v>0</v>
      </c>
      <c r="AS189" t="s">
        <v>3650</v>
      </c>
      <c r="AT189" s="3">
        <v>43173</v>
      </c>
      <c r="AU189">
        <v>328300</v>
      </c>
      <c r="AV189">
        <v>0</v>
      </c>
      <c r="AW189">
        <v>6700</v>
      </c>
      <c r="AX189">
        <v>0</v>
      </c>
    </row>
    <row r="190" spans="1:50" x14ac:dyDescent="0.25">
      <c r="A190" t="s">
        <v>3654</v>
      </c>
      <c r="B190" s="3">
        <v>43094</v>
      </c>
      <c r="C190" t="s">
        <v>50</v>
      </c>
      <c r="D190" t="s">
        <v>3646</v>
      </c>
      <c r="E190" t="s">
        <v>50</v>
      </c>
      <c r="F190">
        <v>90000</v>
      </c>
      <c r="G190" t="s">
        <v>3655</v>
      </c>
      <c r="H190" s="3">
        <v>43094</v>
      </c>
      <c r="I190" t="s">
        <v>214</v>
      </c>
      <c r="J190">
        <v>85000</v>
      </c>
      <c r="K190" s="1"/>
      <c r="M190" s="3">
        <v>43095</v>
      </c>
      <c r="N190" t="s">
        <v>1336</v>
      </c>
      <c r="O190" t="s">
        <v>214</v>
      </c>
      <c r="P190" t="s">
        <v>56</v>
      </c>
      <c r="Q190">
        <v>15000</v>
      </c>
      <c r="R190" s="3">
        <v>43095</v>
      </c>
      <c r="S190" t="s">
        <v>54</v>
      </c>
      <c r="T190" t="s">
        <v>1672</v>
      </c>
      <c r="U190" t="s">
        <v>56</v>
      </c>
      <c r="V190">
        <v>52200</v>
      </c>
      <c r="W190" s="3">
        <v>43183</v>
      </c>
      <c r="X190" t="s">
        <v>54</v>
      </c>
      <c r="Y190" t="s">
        <v>214</v>
      </c>
      <c r="Z190" t="s">
        <v>60</v>
      </c>
      <c r="AA190">
        <v>16800</v>
      </c>
      <c r="AG190" t="s">
        <v>3649</v>
      </c>
      <c r="AH190" s="3">
        <v>43144</v>
      </c>
      <c r="AI190">
        <v>90000</v>
      </c>
      <c r="AJ190">
        <v>0</v>
      </c>
      <c r="AS190" t="s">
        <v>3650</v>
      </c>
      <c r="AT190" s="3">
        <v>43173</v>
      </c>
      <c r="AU190">
        <v>328300</v>
      </c>
      <c r="AV190">
        <v>0</v>
      </c>
      <c r="AW190">
        <v>6700</v>
      </c>
      <c r="AX190">
        <v>0</v>
      </c>
    </row>
    <row r="191" spans="1:50" x14ac:dyDescent="0.25">
      <c r="A191" t="s">
        <v>3656</v>
      </c>
      <c r="B191" s="3">
        <v>43096</v>
      </c>
      <c r="C191" t="s">
        <v>50</v>
      </c>
      <c r="D191" t="s">
        <v>3646</v>
      </c>
      <c r="E191" t="s">
        <v>50</v>
      </c>
      <c r="F191">
        <v>85000</v>
      </c>
      <c r="G191" t="s">
        <v>3657</v>
      </c>
      <c r="H191" s="3">
        <v>43096</v>
      </c>
      <c r="I191" t="s">
        <v>1305</v>
      </c>
      <c r="J191">
        <v>75000</v>
      </c>
      <c r="K191" s="1"/>
      <c r="M191" s="3">
        <v>43098</v>
      </c>
      <c r="N191" t="s">
        <v>1336</v>
      </c>
      <c r="O191" t="s">
        <v>1306</v>
      </c>
      <c r="P191" t="s">
        <v>56</v>
      </c>
      <c r="Q191">
        <v>15000</v>
      </c>
      <c r="R191" s="3">
        <v>43098</v>
      </c>
      <c r="S191" t="s">
        <v>54</v>
      </c>
      <c r="T191" t="s">
        <v>3658</v>
      </c>
      <c r="U191" t="s">
        <v>56</v>
      </c>
      <c r="V191">
        <v>49200</v>
      </c>
      <c r="W191" s="3">
        <v>43186</v>
      </c>
      <c r="X191" t="s">
        <v>54</v>
      </c>
      <c r="Y191" t="s">
        <v>1306</v>
      </c>
      <c r="Z191" t="s">
        <v>60</v>
      </c>
      <c r="AA191">
        <v>9800</v>
      </c>
      <c r="AG191" t="s">
        <v>3649</v>
      </c>
      <c r="AH191" s="3">
        <v>43144</v>
      </c>
      <c r="AI191">
        <v>85000</v>
      </c>
      <c r="AJ191">
        <v>0</v>
      </c>
      <c r="AS191" t="s">
        <v>3650</v>
      </c>
      <c r="AT191" s="3">
        <v>43173</v>
      </c>
      <c r="AU191">
        <v>328300</v>
      </c>
      <c r="AV191">
        <v>0</v>
      </c>
      <c r="AW191">
        <v>6700</v>
      </c>
      <c r="AX191">
        <v>0</v>
      </c>
    </row>
    <row r="192" spans="1:50" x14ac:dyDescent="0.25">
      <c r="A192" t="s">
        <v>3659</v>
      </c>
      <c r="B192" s="3">
        <v>43099</v>
      </c>
      <c r="C192" t="s">
        <v>50</v>
      </c>
      <c r="D192" t="s">
        <v>3660</v>
      </c>
      <c r="E192" t="s">
        <v>50</v>
      </c>
      <c r="F192">
        <v>40000</v>
      </c>
      <c r="G192" t="s">
        <v>3661</v>
      </c>
      <c r="H192" s="3">
        <v>43099</v>
      </c>
      <c r="I192" t="s">
        <v>1305</v>
      </c>
      <c r="J192">
        <v>38000</v>
      </c>
      <c r="K192" s="1"/>
      <c r="M192" s="3">
        <v>43099</v>
      </c>
      <c r="N192" t="s">
        <v>1336</v>
      </c>
      <c r="O192" t="s">
        <v>1308</v>
      </c>
      <c r="P192" t="s">
        <v>56</v>
      </c>
      <c r="Q192">
        <v>10000</v>
      </c>
      <c r="R192" s="3">
        <v>43102</v>
      </c>
      <c r="S192" t="s">
        <v>54</v>
      </c>
      <c r="T192" t="s">
        <v>3658</v>
      </c>
      <c r="U192" t="s">
        <v>56</v>
      </c>
      <c r="V192">
        <v>22300</v>
      </c>
      <c r="W192" s="3">
        <v>43186</v>
      </c>
      <c r="X192" t="s">
        <v>54</v>
      </c>
      <c r="Y192" t="s">
        <v>1306</v>
      </c>
      <c r="Z192" t="s">
        <v>60</v>
      </c>
      <c r="AA192">
        <v>4900</v>
      </c>
      <c r="AG192" t="s">
        <v>3662</v>
      </c>
      <c r="AH192" s="3">
        <v>43147</v>
      </c>
      <c r="AI192">
        <v>40000</v>
      </c>
      <c r="AJ192">
        <v>0</v>
      </c>
      <c r="AS192" t="s">
        <v>3663</v>
      </c>
      <c r="AT192" s="3">
        <v>43220</v>
      </c>
      <c r="AU192">
        <v>39200</v>
      </c>
      <c r="AV192">
        <v>0</v>
      </c>
      <c r="AW192">
        <v>800</v>
      </c>
      <c r="AX192">
        <v>0</v>
      </c>
    </row>
    <row r="193" spans="1:50" x14ac:dyDescent="0.25">
      <c r="A193" t="s">
        <v>3664</v>
      </c>
      <c r="B193" s="3">
        <v>43099</v>
      </c>
      <c r="C193" t="s">
        <v>50</v>
      </c>
      <c r="D193" t="s">
        <v>3665</v>
      </c>
      <c r="E193" t="s">
        <v>50</v>
      </c>
      <c r="F193">
        <v>155000</v>
      </c>
      <c r="G193" t="s">
        <v>3666</v>
      </c>
      <c r="H193" s="3">
        <v>43099</v>
      </c>
      <c r="I193" t="s">
        <v>214</v>
      </c>
      <c r="J193">
        <v>150000</v>
      </c>
      <c r="K193" s="1"/>
      <c r="M193" s="3">
        <v>43099</v>
      </c>
      <c r="N193" t="s">
        <v>1336</v>
      </c>
      <c r="O193" t="s">
        <v>214</v>
      </c>
      <c r="P193" t="s">
        <v>56</v>
      </c>
      <c r="Q193">
        <v>30000</v>
      </c>
      <c r="R193" s="3">
        <v>43103</v>
      </c>
      <c r="S193" t="s">
        <v>54</v>
      </c>
      <c r="T193" t="s">
        <v>1596</v>
      </c>
      <c r="U193" t="s">
        <v>56</v>
      </c>
      <c r="V193">
        <v>99000</v>
      </c>
      <c r="W193" s="3">
        <v>43183</v>
      </c>
      <c r="X193" t="s">
        <v>54</v>
      </c>
      <c r="Y193" t="s">
        <v>214</v>
      </c>
      <c r="Z193" t="s">
        <v>60</v>
      </c>
      <c r="AA193">
        <v>19500</v>
      </c>
      <c r="AG193" t="s">
        <v>3667</v>
      </c>
      <c r="AH193" s="3">
        <v>43144</v>
      </c>
      <c r="AI193">
        <v>155000</v>
      </c>
      <c r="AJ193">
        <v>0</v>
      </c>
      <c r="AS193" t="s">
        <v>3650</v>
      </c>
      <c r="AT193" s="3">
        <v>43173</v>
      </c>
      <c r="AU193">
        <v>151900</v>
      </c>
      <c r="AV193">
        <v>0</v>
      </c>
      <c r="AW193">
        <v>3100</v>
      </c>
      <c r="AX193">
        <v>0</v>
      </c>
    </row>
    <row r="194" spans="1:50" x14ac:dyDescent="0.25">
      <c r="A194" t="s">
        <v>3668</v>
      </c>
      <c r="B194" s="3">
        <v>43134</v>
      </c>
      <c r="C194" t="s">
        <v>50</v>
      </c>
      <c r="D194" t="s">
        <v>3669</v>
      </c>
      <c r="E194" t="s">
        <v>50</v>
      </c>
      <c r="F194">
        <v>37000</v>
      </c>
      <c r="G194" t="s">
        <v>3670</v>
      </c>
      <c r="H194" s="3">
        <v>43134</v>
      </c>
      <c r="I194" t="s">
        <v>214</v>
      </c>
      <c r="J194">
        <v>32500</v>
      </c>
      <c r="K194" s="1"/>
      <c r="M194" s="3">
        <v>43136</v>
      </c>
      <c r="N194" t="s">
        <v>1336</v>
      </c>
      <c r="O194" t="s">
        <v>214</v>
      </c>
      <c r="P194" t="s">
        <v>56</v>
      </c>
      <c r="Q194">
        <v>10000</v>
      </c>
      <c r="R194" s="3">
        <v>43136</v>
      </c>
      <c r="S194" t="s">
        <v>54</v>
      </c>
      <c r="T194" t="s">
        <v>214</v>
      </c>
      <c r="U194" t="s">
        <v>56</v>
      </c>
      <c r="V194">
        <v>17000</v>
      </c>
      <c r="W194" s="3">
        <v>43220</v>
      </c>
      <c r="X194" t="s">
        <v>54</v>
      </c>
      <c r="Y194" t="s">
        <v>214</v>
      </c>
      <c r="Z194" t="s">
        <v>60</v>
      </c>
      <c r="AA194">
        <v>4900</v>
      </c>
      <c r="AG194" t="s">
        <v>3671</v>
      </c>
      <c r="AH194" s="3">
        <v>43154</v>
      </c>
      <c r="AI194">
        <v>37000</v>
      </c>
      <c r="AJ194">
        <v>0</v>
      </c>
      <c r="AS194" t="s">
        <v>3663</v>
      </c>
      <c r="AT194" s="3">
        <v>43220</v>
      </c>
      <c r="AU194">
        <v>36260</v>
      </c>
      <c r="AV194">
        <v>0</v>
      </c>
      <c r="AW194">
        <v>740</v>
      </c>
      <c r="AX194">
        <v>0</v>
      </c>
    </row>
    <row r="195" spans="1:50" x14ac:dyDescent="0.25">
      <c r="A195" t="s">
        <v>3676</v>
      </c>
      <c r="B195" s="3">
        <v>43165</v>
      </c>
      <c r="C195" t="s">
        <v>50</v>
      </c>
      <c r="D195" t="s">
        <v>1254</v>
      </c>
      <c r="E195" t="s">
        <v>50</v>
      </c>
      <c r="F195">
        <v>18000</v>
      </c>
      <c r="G195" t="s">
        <v>3677</v>
      </c>
      <c r="H195" s="3">
        <v>43165</v>
      </c>
      <c r="I195" t="s">
        <v>230</v>
      </c>
      <c r="J195">
        <v>16000</v>
      </c>
      <c r="K195" s="1"/>
      <c r="M195" s="3">
        <v>43167</v>
      </c>
      <c r="N195" t="s">
        <v>54</v>
      </c>
      <c r="O195" t="s">
        <v>900</v>
      </c>
      <c r="P195" t="s">
        <v>56</v>
      </c>
      <c r="Q195">
        <v>14800</v>
      </c>
      <c r="R195" s="3">
        <v>43220</v>
      </c>
      <c r="S195" t="s">
        <v>54</v>
      </c>
      <c r="T195" t="s">
        <v>201</v>
      </c>
      <c r="U195" t="s">
        <v>60</v>
      </c>
      <c r="V195">
        <v>970</v>
      </c>
      <c r="AG195" t="s">
        <v>3678</v>
      </c>
      <c r="AH195" s="3">
        <v>43203</v>
      </c>
      <c r="AI195">
        <v>18000</v>
      </c>
      <c r="AJ195">
        <v>0</v>
      </c>
      <c r="AS195" t="s">
        <v>3679</v>
      </c>
      <c r="AT195" s="3">
        <v>43347</v>
      </c>
      <c r="AU195">
        <v>18000</v>
      </c>
      <c r="AV195">
        <v>0</v>
      </c>
      <c r="AW195">
        <v>0</v>
      </c>
      <c r="AX195">
        <v>0</v>
      </c>
    </row>
    <row r="196" spans="1:50" x14ac:dyDescent="0.25">
      <c r="A196" t="s">
        <v>3680</v>
      </c>
      <c r="B196" s="3">
        <v>43165</v>
      </c>
      <c r="C196" t="s">
        <v>50</v>
      </c>
      <c r="D196" t="s">
        <v>3681</v>
      </c>
      <c r="E196" t="s">
        <v>50</v>
      </c>
      <c r="F196">
        <v>18000</v>
      </c>
      <c r="K196" s="1"/>
      <c r="AG196" t="s">
        <v>3682</v>
      </c>
      <c r="AH196" s="3">
        <v>43203</v>
      </c>
      <c r="AI196">
        <v>18000</v>
      </c>
      <c r="AJ196">
        <v>0</v>
      </c>
      <c r="AS196" t="s">
        <v>3683</v>
      </c>
      <c r="AT196" s="3">
        <v>43276</v>
      </c>
      <c r="AU196">
        <v>18000</v>
      </c>
      <c r="AV196">
        <v>0</v>
      </c>
      <c r="AW196">
        <v>0</v>
      </c>
      <c r="AX196">
        <v>0</v>
      </c>
    </row>
    <row r="197" spans="1:50" x14ac:dyDescent="0.25">
      <c r="A197" t="s">
        <v>3684</v>
      </c>
      <c r="B197" s="3">
        <v>43190</v>
      </c>
      <c r="C197" t="s">
        <v>50</v>
      </c>
      <c r="D197" t="s">
        <v>3685</v>
      </c>
      <c r="E197" t="s">
        <v>50</v>
      </c>
      <c r="F197">
        <v>145000</v>
      </c>
      <c r="G197" t="s">
        <v>3686</v>
      </c>
      <c r="H197" s="3">
        <v>43190</v>
      </c>
      <c r="I197" t="s">
        <v>2471</v>
      </c>
      <c r="J197">
        <v>140000</v>
      </c>
      <c r="K197" s="1"/>
      <c r="M197" s="3">
        <v>43190</v>
      </c>
      <c r="N197" t="s">
        <v>54</v>
      </c>
      <c r="O197" t="s">
        <v>3687</v>
      </c>
      <c r="P197" t="s">
        <v>56</v>
      </c>
      <c r="Q197">
        <v>97300</v>
      </c>
      <c r="R197" s="3">
        <v>43193</v>
      </c>
      <c r="S197" t="s">
        <v>1336</v>
      </c>
      <c r="T197" t="s">
        <v>3687</v>
      </c>
      <c r="U197" t="s">
        <v>56</v>
      </c>
      <c r="V197">
        <v>20000</v>
      </c>
      <c r="W197" s="3">
        <v>43220</v>
      </c>
      <c r="X197" t="s">
        <v>54</v>
      </c>
      <c r="Y197" t="s">
        <v>3688</v>
      </c>
      <c r="Z197" t="s">
        <v>60</v>
      </c>
      <c r="AA197">
        <v>21750</v>
      </c>
      <c r="AG197" t="s">
        <v>3689</v>
      </c>
      <c r="AH197" s="3">
        <v>43222</v>
      </c>
      <c r="AI197">
        <v>145000</v>
      </c>
      <c r="AJ197">
        <v>0</v>
      </c>
      <c r="AS197" t="s">
        <v>3683</v>
      </c>
      <c r="AT197" s="3">
        <v>43276</v>
      </c>
      <c r="AU197">
        <v>284200</v>
      </c>
      <c r="AV197">
        <v>0</v>
      </c>
      <c r="AW197">
        <v>5800</v>
      </c>
      <c r="AX197">
        <v>0</v>
      </c>
    </row>
    <row r="198" spans="1:50" x14ac:dyDescent="0.25">
      <c r="A198" t="s">
        <v>3690</v>
      </c>
      <c r="B198" s="3">
        <v>43190</v>
      </c>
      <c r="C198" t="s">
        <v>50</v>
      </c>
      <c r="D198" t="s">
        <v>3685</v>
      </c>
      <c r="E198" t="s">
        <v>50</v>
      </c>
      <c r="F198">
        <v>145000</v>
      </c>
      <c r="G198" t="s">
        <v>3691</v>
      </c>
      <c r="H198" s="3">
        <v>43190</v>
      </c>
      <c r="I198" t="s">
        <v>2471</v>
      </c>
      <c r="J198">
        <v>140000</v>
      </c>
      <c r="K198" s="1"/>
      <c r="M198" s="3">
        <v>43196</v>
      </c>
      <c r="N198" t="s">
        <v>54</v>
      </c>
      <c r="O198" t="s">
        <v>3692</v>
      </c>
      <c r="P198" t="s">
        <v>56</v>
      </c>
      <c r="Q198">
        <v>117300</v>
      </c>
      <c r="R198" s="3">
        <v>43220</v>
      </c>
      <c r="S198" t="s">
        <v>54</v>
      </c>
      <c r="T198" t="s">
        <v>3688</v>
      </c>
      <c r="U198" t="s">
        <v>60</v>
      </c>
      <c r="V198">
        <v>21750</v>
      </c>
      <c r="AG198" t="s">
        <v>3689</v>
      </c>
      <c r="AH198" s="3">
        <v>43222</v>
      </c>
      <c r="AI198">
        <v>145000</v>
      </c>
      <c r="AJ198">
        <v>0</v>
      </c>
      <c r="AS198" t="s">
        <v>3683</v>
      </c>
      <c r="AT198" s="3">
        <v>43276</v>
      </c>
      <c r="AU198">
        <v>284200</v>
      </c>
      <c r="AV198">
        <v>0</v>
      </c>
      <c r="AW198">
        <v>5800</v>
      </c>
      <c r="AX198">
        <v>0</v>
      </c>
    </row>
    <row r="199" spans="1:50" x14ac:dyDescent="0.25">
      <c r="A199" t="s">
        <v>3693</v>
      </c>
      <c r="B199" s="3">
        <v>43224</v>
      </c>
      <c r="C199" t="s">
        <v>50</v>
      </c>
      <c r="D199" t="s">
        <v>3694</v>
      </c>
      <c r="E199" t="s">
        <v>50</v>
      </c>
      <c r="F199">
        <v>50000</v>
      </c>
      <c r="G199" t="s">
        <v>3695</v>
      </c>
      <c r="H199" s="3">
        <v>43227</v>
      </c>
      <c r="I199" t="s">
        <v>502</v>
      </c>
      <c r="J199">
        <v>45000</v>
      </c>
      <c r="K199" s="1"/>
      <c r="M199" s="3">
        <v>43239</v>
      </c>
      <c r="N199" t="s">
        <v>1336</v>
      </c>
      <c r="O199" t="s">
        <v>3696</v>
      </c>
      <c r="P199" t="s">
        <v>56</v>
      </c>
      <c r="Q199">
        <v>20000</v>
      </c>
      <c r="R199" s="3">
        <v>43239</v>
      </c>
      <c r="S199" t="s">
        <v>54</v>
      </c>
      <c r="T199" t="s">
        <v>3697</v>
      </c>
      <c r="U199" t="s">
        <v>56</v>
      </c>
      <c r="V199">
        <v>19500</v>
      </c>
      <c r="W199" s="3">
        <v>43251</v>
      </c>
      <c r="X199" t="s">
        <v>54</v>
      </c>
      <c r="Y199" t="s">
        <v>3698</v>
      </c>
      <c r="Z199" t="s">
        <v>60</v>
      </c>
      <c r="AA199">
        <v>4900</v>
      </c>
      <c r="AG199" t="s">
        <v>3699</v>
      </c>
      <c r="AH199" s="3">
        <v>43248</v>
      </c>
      <c r="AI199">
        <v>50000</v>
      </c>
      <c r="AJ199">
        <v>0</v>
      </c>
      <c r="AS199" t="s">
        <v>3700</v>
      </c>
      <c r="AT199" s="3">
        <v>43312</v>
      </c>
      <c r="AU199">
        <v>49000</v>
      </c>
      <c r="AV199">
        <v>0</v>
      </c>
      <c r="AW199">
        <v>1000</v>
      </c>
      <c r="AX199">
        <v>0</v>
      </c>
    </row>
    <row r="200" spans="1:50" x14ac:dyDescent="0.25">
      <c r="A200" t="s">
        <v>3701</v>
      </c>
      <c r="B200" s="3">
        <v>43246</v>
      </c>
      <c r="C200" t="s">
        <v>50</v>
      </c>
      <c r="D200" t="s">
        <v>3702</v>
      </c>
      <c r="E200" t="s">
        <v>50</v>
      </c>
      <c r="F200">
        <v>105000</v>
      </c>
      <c r="G200" t="s">
        <v>3703</v>
      </c>
      <c r="H200" s="3">
        <v>43246</v>
      </c>
      <c r="I200" t="s">
        <v>2471</v>
      </c>
      <c r="J200">
        <v>95000</v>
      </c>
      <c r="K200" s="1"/>
      <c r="M200" s="3">
        <v>43246</v>
      </c>
      <c r="N200" t="s">
        <v>1336</v>
      </c>
      <c r="O200" t="s">
        <v>3704</v>
      </c>
      <c r="P200" t="s">
        <v>56</v>
      </c>
      <c r="Q200">
        <v>20000</v>
      </c>
      <c r="R200" s="3">
        <v>43246</v>
      </c>
      <c r="S200" t="s">
        <v>54</v>
      </c>
      <c r="T200" t="s">
        <v>3704</v>
      </c>
      <c r="U200" t="s">
        <v>56</v>
      </c>
      <c r="V200">
        <v>59200</v>
      </c>
      <c r="W200" s="3">
        <v>43270</v>
      </c>
      <c r="X200" t="s">
        <v>54</v>
      </c>
      <c r="Y200" t="s">
        <v>2575</v>
      </c>
      <c r="Z200" t="s">
        <v>60</v>
      </c>
      <c r="AA200">
        <v>14750</v>
      </c>
      <c r="AG200" t="s">
        <v>3705</v>
      </c>
      <c r="AH200" s="3">
        <v>43277</v>
      </c>
      <c r="AI200">
        <v>105000</v>
      </c>
      <c r="AJ200">
        <v>0</v>
      </c>
      <c r="AS200" t="s">
        <v>3706</v>
      </c>
      <c r="AT200" s="3">
        <v>43329</v>
      </c>
      <c r="AU200">
        <v>102900</v>
      </c>
      <c r="AV200">
        <v>0</v>
      </c>
      <c r="AW200">
        <v>2100</v>
      </c>
      <c r="AX200">
        <v>0</v>
      </c>
    </row>
    <row r="201" spans="1:50" x14ac:dyDescent="0.25">
      <c r="A201" t="s">
        <v>3707</v>
      </c>
      <c r="B201" s="3">
        <v>43251</v>
      </c>
      <c r="C201" t="s">
        <v>50</v>
      </c>
      <c r="D201" t="s">
        <v>3708</v>
      </c>
      <c r="E201" t="s">
        <v>50</v>
      </c>
      <c r="F201">
        <v>25000</v>
      </c>
      <c r="G201" t="s">
        <v>3709</v>
      </c>
      <c r="H201" s="3">
        <v>43251</v>
      </c>
      <c r="I201" t="s">
        <v>214</v>
      </c>
      <c r="J201">
        <v>22000</v>
      </c>
      <c r="K201" s="1"/>
      <c r="M201" s="3">
        <v>43253</v>
      </c>
      <c r="N201" t="s">
        <v>54</v>
      </c>
      <c r="O201" t="s">
        <v>1672</v>
      </c>
      <c r="P201" t="s">
        <v>56</v>
      </c>
      <c r="Q201">
        <v>18500</v>
      </c>
      <c r="R201" s="3">
        <v>43286</v>
      </c>
      <c r="S201" t="s">
        <v>54</v>
      </c>
      <c r="T201" t="s">
        <v>214</v>
      </c>
      <c r="U201" t="s">
        <v>60</v>
      </c>
      <c r="V201">
        <v>2950</v>
      </c>
      <c r="AG201" t="s">
        <v>3710</v>
      </c>
      <c r="AH201" s="3">
        <v>43286</v>
      </c>
      <c r="AI201">
        <v>25000</v>
      </c>
      <c r="AJ201">
        <v>0</v>
      </c>
      <c r="AS201" t="s">
        <v>3711</v>
      </c>
      <c r="AT201" s="3">
        <v>43347</v>
      </c>
      <c r="AU201">
        <v>24500</v>
      </c>
      <c r="AV201">
        <v>0</v>
      </c>
      <c r="AW201">
        <v>500</v>
      </c>
      <c r="AX201">
        <v>0</v>
      </c>
    </row>
    <row r="202" spans="1:50" x14ac:dyDescent="0.25">
      <c r="A202" t="s">
        <v>3712</v>
      </c>
      <c r="B202" s="3">
        <v>43251</v>
      </c>
      <c r="C202" t="s">
        <v>50</v>
      </c>
      <c r="D202" t="s">
        <v>3708</v>
      </c>
      <c r="E202" t="s">
        <v>50</v>
      </c>
      <c r="F202">
        <v>25000</v>
      </c>
      <c r="G202" t="s">
        <v>3713</v>
      </c>
      <c r="H202" s="3">
        <v>43251</v>
      </c>
      <c r="I202" t="s">
        <v>214</v>
      </c>
      <c r="J202">
        <v>22000</v>
      </c>
      <c r="K202" s="1"/>
      <c r="M202" s="3">
        <v>43253</v>
      </c>
      <c r="N202" t="s">
        <v>54</v>
      </c>
      <c r="O202" t="s">
        <v>1672</v>
      </c>
      <c r="P202" t="s">
        <v>56</v>
      </c>
      <c r="Q202">
        <v>18500</v>
      </c>
      <c r="R202" s="3">
        <v>43286</v>
      </c>
      <c r="S202" t="s">
        <v>54</v>
      </c>
      <c r="T202" t="s">
        <v>214</v>
      </c>
      <c r="U202" t="s">
        <v>60</v>
      </c>
      <c r="V202">
        <v>2950</v>
      </c>
      <c r="AG202" t="s">
        <v>3714</v>
      </c>
      <c r="AH202" s="3">
        <v>43286</v>
      </c>
      <c r="AI202">
        <v>25000</v>
      </c>
      <c r="AJ202">
        <v>0</v>
      </c>
      <c r="AS202" t="s">
        <v>3711</v>
      </c>
      <c r="AT202" s="3">
        <v>43347</v>
      </c>
      <c r="AU202">
        <v>24500</v>
      </c>
      <c r="AV202">
        <v>0</v>
      </c>
      <c r="AW202">
        <v>500</v>
      </c>
      <c r="AX202">
        <v>0</v>
      </c>
    </row>
    <row r="203" spans="1:50" x14ac:dyDescent="0.25">
      <c r="A203" t="s">
        <v>3715</v>
      </c>
      <c r="B203" s="3">
        <v>43252</v>
      </c>
      <c r="C203" t="s">
        <v>50</v>
      </c>
      <c r="D203" t="s">
        <v>3716</v>
      </c>
      <c r="E203" t="s">
        <v>50</v>
      </c>
      <c r="F203">
        <v>50000</v>
      </c>
      <c r="G203" t="s">
        <v>3717</v>
      </c>
      <c r="H203" s="3">
        <v>43252</v>
      </c>
      <c r="I203" t="s">
        <v>1368</v>
      </c>
      <c r="J203">
        <v>45000</v>
      </c>
      <c r="K203" s="1"/>
      <c r="M203" s="3">
        <v>43255</v>
      </c>
      <c r="N203" t="s">
        <v>54</v>
      </c>
      <c r="O203" t="s">
        <v>3718</v>
      </c>
      <c r="P203" t="s">
        <v>56</v>
      </c>
      <c r="Q203">
        <v>39500</v>
      </c>
      <c r="R203" s="3">
        <v>43293</v>
      </c>
      <c r="S203" t="s">
        <v>54</v>
      </c>
      <c r="T203" t="s">
        <v>3719</v>
      </c>
      <c r="U203" t="s">
        <v>60</v>
      </c>
      <c r="V203">
        <v>4900</v>
      </c>
      <c r="AG203" t="s">
        <v>3720</v>
      </c>
      <c r="AH203" s="3">
        <v>43294</v>
      </c>
      <c r="AI203">
        <v>50000</v>
      </c>
      <c r="AJ203">
        <v>0</v>
      </c>
      <c r="AS203" t="s">
        <v>3711</v>
      </c>
      <c r="AT203" s="3">
        <v>43347</v>
      </c>
      <c r="AU203">
        <v>49000</v>
      </c>
      <c r="AV203">
        <v>0</v>
      </c>
      <c r="AW203">
        <v>1000</v>
      </c>
      <c r="AX203">
        <v>0</v>
      </c>
    </row>
    <row r="204" spans="1:50" x14ac:dyDescent="0.25">
      <c r="A204" t="s">
        <v>3721</v>
      </c>
      <c r="B204" s="3">
        <v>43256</v>
      </c>
      <c r="C204" t="s">
        <v>50</v>
      </c>
      <c r="D204" t="s">
        <v>3722</v>
      </c>
      <c r="E204" t="s">
        <v>50</v>
      </c>
      <c r="F204">
        <v>35000</v>
      </c>
      <c r="G204" t="s">
        <v>3723</v>
      </c>
      <c r="H204" s="3">
        <v>43256</v>
      </c>
      <c r="I204" t="s">
        <v>1305</v>
      </c>
      <c r="J204">
        <v>32000</v>
      </c>
      <c r="K204" s="1"/>
      <c r="M204" s="3">
        <v>43259</v>
      </c>
      <c r="N204" t="s">
        <v>54</v>
      </c>
      <c r="O204" t="s">
        <v>1306</v>
      </c>
      <c r="P204" t="s">
        <v>56</v>
      </c>
      <c r="Q204">
        <v>28300</v>
      </c>
      <c r="R204" s="3">
        <v>43335</v>
      </c>
      <c r="S204" t="s">
        <v>54</v>
      </c>
      <c r="T204" t="s">
        <v>1306</v>
      </c>
      <c r="U204" t="s">
        <v>60</v>
      </c>
      <c r="V204">
        <v>2900</v>
      </c>
      <c r="AG204" t="s">
        <v>3724</v>
      </c>
      <c r="AH204" s="3">
        <v>43309</v>
      </c>
      <c r="AI204">
        <v>35000</v>
      </c>
      <c r="AJ204">
        <v>0</v>
      </c>
      <c r="AS204" t="s">
        <v>3725</v>
      </c>
      <c r="AT204" s="3">
        <v>43385</v>
      </c>
      <c r="AU204">
        <v>34300</v>
      </c>
      <c r="AV204">
        <v>0</v>
      </c>
      <c r="AW204">
        <v>700</v>
      </c>
      <c r="AX204">
        <v>0</v>
      </c>
    </row>
    <row r="205" spans="1:50" x14ac:dyDescent="0.25">
      <c r="A205" t="s">
        <v>3726</v>
      </c>
      <c r="B205" s="3">
        <v>43256</v>
      </c>
      <c r="C205" t="s">
        <v>50</v>
      </c>
      <c r="D205" t="s">
        <v>3722</v>
      </c>
      <c r="E205" t="s">
        <v>50</v>
      </c>
      <c r="F205">
        <v>35000</v>
      </c>
      <c r="G205" t="s">
        <v>3727</v>
      </c>
      <c r="H205" s="3">
        <v>43256</v>
      </c>
      <c r="I205" t="s">
        <v>214</v>
      </c>
      <c r="J205">
        <v>32000</v>
      </c>
      <c r="K205" s="1"/>
      <c r="M205" s="3">
        <v>43259</v>
      </c>
      <c r="N205" t="s">
        <v>54</v>
      </c>
      <c r="O205" t="s">
        <v>214</v>
      </c>
      <c r="P205" t="s">
        <v>56</v>
      </c>
      <c r="Q205">
        <v>28300</v>
      </c>
      <c r="AG205" t="s">
        <v>3728</v>
      </c>
      <c r="AH205" s="3">
        <v>43332</v>
      </c>
      <c r="AI205">
        <v>35000</v>
      </c>
      <c r="AJ205">
        <v>0</v>
      </c>
      <c r="AS205" t="s">
        <v>3725</v>
      </c>
      <c r="AT205" s="3">
        <v>43385</v>
      </c>
      <c r="AU205">
        <v>34300</v>
      </c>
      <c r="AV205">
        <v>0</v>
      </c>
      <c r="AW205">
        <v>700</v>
      </c>
      <c r="AX205">
        <v>0</v>
      </c>
    </row>
    <row r="206" spans="1:50" x14ac:dyDescent="0.25">
      <c r="A206" t="s">
        <v>3729</v>
      </c>
      <c r="B206" s="3">
        <v>43258</v>
      </c>
      <c r="C206" t="s">
        <v>50</v>
      </c>
      <c r="D206" t="s">
        <v>3730</v>
      </c>
      <c r="E206" t="s">
        <v>50</v>
      </c>
      <c r="F206">
        <v>36000</v>
      </c>
      <c r="G206" t="s">
        <v>3731</v>
      </c>
      <c r="H206" s="3">
        <v>43258</v>
      </c>
      <c r="I206" t="s">
        <v>1305</v>
      </c>
      <c r="J206">
        <v>30000</v>
      </c>
      <c r="K206" s="1"/>
      <c r="M206" s="3">
        <v>43262</v>
      </c>
      <c r="N206" t="s">
        <v>54</v>
      </c>
      <c r="O206" t="s">
        <v>3599</v>
      </c>
      <c r="P206" t="s">
        <v>56</v>
      </c>
      <c r="Q206">
        <v>24400</v>
      </c>
      <c r="R206" s="3">
        <v>43335</v>
      </c>
      <c r="S206" t="s">
        <v>54</v>
      </c>
      <c r="T206" t="s">
        <v>1306</v>
      </c>
      <c r="U206" t="s">
        <v>60</v>
      </c>
      <c r="V206">
        <v>4900</v>
      </c>
      <c r="AG206" t="s">
        <v>3732</v>
      </c>
      <c r="AH206" s="3">
        <v>43309</v>
      </c>
      <c r="AI206">
        <v>36000</v>
      </c>
      <c r="AJ206">
        <v>0</v>
      </c>
      <c r="AS206" t="s">
        <v>3725</v>
      </c>
      <c r="AT206" s="3">
        <v>43385</v>
      </c>
      <c r="AU206">
        <v>35280</v>
      </c>
      <c r="AV206">
        <v>0</v>
      </c>
      <c r="AW206">
        <v>720</v>
      </c>
      <c r="AX206">
        <v>0</v>
      </c>
    </row>
    <row r="207" spans="1:50" x14ac:dyDescent="0.25">
      <c r="A207" t="s">
        <v>3733</v>
      </c>
      <c r="B207" s="3">
        <v>43262</v>
      </c>
      <c r="C207" t="s">
        <v>50</v>
      </c>
      <c r="D207" t="s">
        <v>3730</v>
      </c>
      <c r="E207" t="s">
        <v>50</v>
      </c>
      <c r="F207">
        <v>27000</v>
      </c>
      <c r="G207" t="s">
        <v>3734</v>
      </c>
      <c r="H207" s="3">
        <v>43262</v>
      </c>
      <c r="I207" t="s">
        <v>214</v>
      </c>
      <c r="J207">
        <v>24000</v>
      </c>
      <c r="K207" s="1"/>
      <c r="M207" s="3">
        <v>43263</v>
      </c>
      <c r="N207" t="s">
        <v>54</v>
      </c>
      <c r="O207" t="s">
        <v>214</v>
      </c>
      <c r="P207" t="s">
        <v>56</v>
      </c>
      <c r="Q207">
        <v>19500</v>
      </c>
      <c r="R207" s="3">
        <v>43286</v>
      </c>
      <c r="S207" t="s">
        <v>54</v>
      </c>
      <c r="T207" t="s">
        <v>214</v>
      </c>
      <c r="U207" t="s">
        <v>60</v>
      </c>
      <c r="V207">
        <v>3900</v>
      </c>
      <c r="AG207" t="s">
        <v>3735</v>
      </c>
      <c r="AH207" s="3">
        <v>43286</v>
      </c>
      <c r="AI207">
        <v>27000</v>
      </c>
      <c r="AJ207">
        <v>0</v>
      </c>
      <c r="AS207" t="s">
        <v>3711</v>
      </c>
      <c r="AT207" s="3">
        <v>43347</v>
      </c>
      <c r="AU207">
        <v>26460</v>
      </c>
      <c r="AV207">
        <v>0</v>
      </c>
      <c r="AW207">
        <v>540</v>
      </c>
      <c r="AX207">
        <v>0</v>
      </c>
    </row>
    <row r="208" spans="1:50" x14ac:dyDescent="0.25">
      <c r="A208" t="s">
        <v>3736</v>
      </c>
      <c r="B208" s="3">
        <v>43263</v>
      </c>
      <c r="C208" t="s">
        <v>50</v>
      </c>
      <c r="D208" t="s">
        <v>3730</v>
      </c>
      <c r="E208" t="s">
        <v>50</v>
      </c>
      <c r="F208">
        <v>47000</v>
      </c>
      <c r="G208" t="s">
        <v>3737</v>
      </c>
      <c r="H208" s="3">
        <v>43263</v>
      </c>
      <c r="I208" t="s">
        <v>1305</v>
      </c>
      <c r="J208">
        <v>40000</v>
      </c>
      <c r="K208" s="1"/>
      <c r="M208" s="3">
        <v>43265</v>
      </c>
      <c r="N208" t="s">
        <v>1336</v>
      </c>
      <c r="O208" t="s">
        <v>1308</v>
      </c>
      <c r="P208" t="s">
        <v>56</v>
      </c>
      <c r="Q208">
        <v>15000</v>
      </c>
      <c r="R208" s="3">
        <v>43265</v>
      </c>
      <c r="S208" t="s">
        <v>54</v>
      </c>
      <c r="T208" t="s">
        <v>1306</v>
      </c>
      <c r="U208" t="s">
        <v>56</v>
      </c>
      <c r="V208">
        <v>19400</v>
      </c>
      <c r="W208" s="3">
        <v>43335</v>
      </c>
      <c r="X208" t="s">
        <v>54</v>
      </c>
      <c r="Y208" t="s">
        <v>1306</v>
      </c>
      <c r="Z208" t="s">
        <v>60</v>
      </c>
      <c r="AA208">
        <v>4900</v>
      </c>
      <c r="AG208" t="s">
        <v>3738</v>
      </c>
      <c r="AH208" s="3">
        <v>43309</v>
      </c>
      <c r="AI208">
        <v>47000</v>
      </c>
      <c r="AJ208">
        <v>0</v>
      </c>
      <c r="AS208" t="s">
        <v>3725</v>
      </c>
      <c r="AT208" s="3">
        <v>43385</v>
      </c>
      <c r="AU208">
        <v>46060</v>
      </c>
      <c r="AV208">
        <v>0</v>
      </c>
      <c r="AW208">
        <v>940</v>
      </c>
      <c r="AX208">
        <v>0</v>
      </c>
    </row>
    <row r="209" spans="1:50" x14ac:dyDescent="0.25">
      <c r="A209" t="s">
        <v>3739</v>
      </c>
      <c r="B209" s="3">
        <v>43270</v>
      </c>
      <c r="C209" t="s">
        <v>50</v>
      </c>
      <c r="D209" t="s">
        <v>3740</v>
      </c>
      <c r="E209" t="s">
        <v>50</v>
      </c>
      <c r="F209">
        <v>38000</v>
      </c>
      <c r="G209" t="s">
        <v>3741</v>
      </c>
      <c r="H209" s="3">
        <v>43270</v>
      </c>
      <c r="I209" t="s">
        <v>399</v>
      </c>
      <c r="J209">
        <v>35000</v>
      </c>
      <c r="K209" s="1"/>
      <c r="M209" s="3">
        <v>43271</v>
      </c>
      <c r="N209" t="s">
        <v>54</v>
      </c>
      <c r="O209" t="s">
        <v>399</v>
      </c>
      <c r="P209" t="s">
        <v>56</v>
      </c>
      <c r="Q209">
        <v>21050</v>
      </c>
      <c r="R209" s="3">
        <v>43326</v>
      </c>
      <c r="S209" t="s">
        <v>54</v>
      </c>
      <c r="T209" t="s">
        <v>489</v>
      </c>
      <c r="U209" t="s">
        <v>60</v>
      </c>
      <c r="V209">
        <v>2950</v>
      </c>
      <c r="W209" s="3">
        <v>43404</v>
      </c>
      <c r="X209" t="s">
        <v>1336</v>
      </c>
      <c r="Z209" t="s">
        <v>56</v>
      </c>
      <c r="AA209">
        <v>10000</v>
      </c>
      <c r="AG209" t="s">
        <v>3742</v>
      </c>
      <c r="AH209" s="3">
        <v>43299</v>
      </c>
      <c r="AI209">
        <v>38000</v>
      </c>
      <c r="AJ209">
        <v>0</v>
      </c>
      <c r="AS209" t="s">
        <v>3711</v>
      </c>
      <c r="AT209" s="3">
        <v>43347</v>
      </c>
      <c r="AU209">
        <v>37240</v>
      </c>
      <c r="AV209">
        <v>0</v>
      </c>
      <c r="AW209">
        <v>760</v>
      </c>
      <c r="AX209">
        <v>0</v>
      </c>
    </row>
    <row r="210" spans="1:50" x14ac:dyDescent="0.25">
      <c r="A210" t="s">
        <v>3743</v>
      </c>
      <c r="B210" s="3">
        <v>43279</v>
      </c>
      <c r="C210" t="s">
        <v>50</v>
      </c>
      <c r="D210" t="s">
        <v>3744</v>
      </c>
      <c r="E210" t="s">
        <v>50</v>
      </c>
      <c r="F210">
        <v>115000</v>
      </c>
      <c r="G210" t="s">
        <v>3745</v>
      </c>
      <c r="H210" s="3">
        <v>43279</v>
      </c>
      <c r="I210" t="s">
        <v>2471</v>
      </c>
      <c r="J210">
        <v>107000</v>
      </c>
      <c r="K210" s="1"/>
      <c r="M210" s="3">
        <v>43280</v>
      </c>
      <c r="N210" t="s">
        <v>54</v>
      </c>
      <c r="O210" t="s">
        <v>3746</v>
      </c>
      <c r="P210" t="s">
        <v>56</v>
      </c>
      <c r="Q210">
        <v>71250</v>
      </c>
      <c r="R210" s="3">
        <v>43281</v>
      </c>
      <c r="S210" t="s">
        <v>1336</v>
      </c>
      <c r="T210" t="s">
        <v>3747</v>
      </c>
      <c r="U210" t="s">
        <v>56</v>
      </c>
      <c r="V210">
        <v>20000</v>
      </c>
      <c r="W210" s="3">
        <v>43307</v>
      </c>
      <c r="X210" t="s">
        <v>54</v>
      </c>
      <c r="Y210" t="s">
        <v>3688</v>
      </c>
      <c r="Z210" t="s">
        <v>60</v>
      </c>
      <c r="AA210">
        <v>14800</v>
      </c>
      <c r="AG210" t="s">
        <v>3748</v>
      </c>
      <c r="AH210" s="3">
        <v>43305</v>
      </c>
      <c r="AI210">
        <v>115000</v>
      </c>
      <c r="AJ210">
        <v>0</v>
      </c>
      <c r="AS210" t="s">
        <v>3711</v>
      </c>
      <c r="AT210" s="3">
        <v>43347</v>
      </c>
      <c r="AU210">
        <v>112700</v>
      </c>
      <c r="AV210">
        <v>0</v>
      </c>
      <c r="AW210">
        <v>2300</v>
      </c>
      <c r="AX210">
        <v>0</v>
      </c>
    </row>
    <row r="211" spans="1:50" x14ac:dyDescent="0.25">
      <c r="A211" t="s">
        <v>3749</v>
      </c>
      <c r="B211" s="3">
        <v>43292</v>
      </c>
      <c r="C211" t="s">
        <v>50</v>
      </c>
      <c r="D211" t="s">
        <v>2536</v>
      </c>
      <c r="E211" t="s">
        <v>50</v>
      </c>
      <c r="F211">
        <v>45000</v>
      </c>
      <c r="G211" t="s">
        <v>3750</v>
      </c>
      <c r="H211" s="3">
        <v>43292</v>
      </c>
      <c r="I211" t="s">
        <v>344</v>
      </c>
      <c r="J211">
        <v>43000</v>
      </c>
      <c r="K211" s="1"/>
      <c r="M211" s="3">
        <v>43294</v>
      </c>
      <c r="N211" t="s">
        <v>54</v>
      </c>
      <c r="O211" t="s">
        <v>410</v>
      </c>
      <c r="P211" t="s">
        <v>56</v>
      </c>
      <c r="Q211">
        <v>28700</v>
      </c>
      <c r="R211" s="3">
        <v>43318</v>
      </c>
      <c r="S211" t="s">
        <v>54</v>
      </c>
      <c r="T211" t="s">
        <v>410</v>
      </c>
      <c r="U211" t="s">
        <v>60</v>
      </c>
      <c r="V211">
        <v>3950</v>
      </c>
      <c r="W211" s="3">
        <v>43404</v>
      </c>
      <c r="X211" t="s">
        <v>1336</v>
      </c>
      <c r="Z211" t="s">
        <v>56</v>
      </c>
      <c r="AA211">
        <v>10000</v>
      </c>
      <c r="AG211" t="s">
        <v>3751</v>
      </c>
      <c r="AH211" s="3">
        <v>43315</v>
      </c>
      <c r="AI211">
        <v>45000</v>
      </c>
      <c r="AJ211">
        <v>0</v>
      </c>
      <c r="AS211" t="s">
        <v>3725</v>
      </c>
      <c r="AT211" s="3">
        <v>43385</v>
      </c>
      <c r="AU211">
        <v>44100</v>
      </c>
      <c r="AV211">
        <v>0</v>
      </c>
      <c r="AW211">
        <v>900</v>
      </c>
      <c r="AX211">
        <v>0</v>
      </c>
    </row>
    <row r="212" spans="1:50" x14ac:dyDescent="0.25">
      <c r="A212" t="s">
        <v>3752</v>
      </c>
      <c r="B212" s="3">
        <v>43292</v>
      </c>
      <c r="C212" t="s">
        <v>50</v>
      </c>
      <c r="D212" t="s">
        <v>3708</v>
      </c>
      <c r="E212" t="s">
        <v>50</v>
      </c>
      <c r="F212">
        <v>38000</v>
      </c>
      <c r="G212" t="s">
        <v>3753</v>
      </c>
      <c r="H212" s="3">
        <v>43292</v>
      </c>
      <c r="I212" t="s">
        <v>1305</v>
      </c>
      <c r="J212">
        <v>35000</v>
      </c>
      <c r="K212" s="1"/>
      <c r="M212" s="3">
        <v>43294</v>
      </c>
      <c r="N212" t="s">
        <v>54</v>
      </c>
      <c r="O212" t="s">
        <v>1306</v>
      </c>
      <c r="P212" t="s">
        <v>56</v>
      </c>
      <c r="Q212">
        <v>29300</v>
      </c>
      <c r="R212" s="3">
        <v>43335</v>
      </c>
      <c r="S212" t="s">
        <v>54</v>
      </c>
      <c r="T212" t="s">
        <v>1306</v>
      </c>
      <c r="U212" t="s">
        <v>60</v>
      </c>
      <c r="V212">
        <v>4900</v>
      </c>
      <c r="AG212" t="s">
        <v>3754</v>
      </c>
      <c r="AH212" s="3">
        <v>43309</v>
      </c>
      <c r="AI212">
        <v>38000</v>
      </c>
      <c r="AJ212">
        <v>0</v>
      </c>
      <c r="AS212" t="s">
        <v>3725</v>
      </c>
      <c r="AT212" s="3">
        <v>43385</v>
      </c>
      <c r="AU212">
        <v>37240</v>
      </c>
      <c r="AV212">
        <v>0</v>
      </c>
      <c r="AW212">
        <v>760</v>
      </c>
      <c r="AX212">
        <v>0</v>
      </c>
    </row>
    <row r="213" spans="1:50" x14ac:dyDescent="0.25">
      <c r="A213" t="s">
        <v>3755</v>
      </c>
      <c r="B213" s="3">
        <v>43301</v>
      </c>
      <c r="C213" t="s">
        <v>50</v>
      </c>
      <c r="D213" t="s">
        <v>2536</v>
      </c>
      <c r="E213" t="s">
        <v>50</v>
      </c>
      <c r="F213">
        <v>46000</v>
      </c>
      <c r="G213" t="s">
        <v>3756</v>
      </c>
      <c r="H213" s="3">
        <v>43301</v>
      </c>
      <c r="I213" t="s">
        <v>344</v>
      </c>
      <c r="J213">
        <v>43000</v>
      </c>
      <c r="K213" s="1"/>
      <c r="M213" s="3">
        <v>43301</v>
      </c>
      <c r="N213" t="s">
        <v>54</v>
      </c>
      <c r="O213" t="s">
        <v>816</v>
      </c>
      <c r="P213" t="s">
        <v>56</v>
      </c>
      <c r="Q213">
        <v>27700</v>
      </c>
      <c r="R213" s="3">
        <v>43343</v>
      </c>
      <c r="S213" t="s">
        <v>54</v>
      </c>
      <c r="T213" t="s">
        <v>538</v>
      </c>
      <c r="U213" t="s">
        <v>60</v>
      </c>
      <c r="V213">
        <v>4900</v>
      </c>
      <c r="W213" s="3">
        <v>43404</v>
      </c>
      <c r="X213" t="s">
        <v>1336</v>
      </c>
      <c r="Z213" t="s">
        <v>56</v>
      </c>
      <c r="AA213">
        <v>10000</v>
      </c>
      <c r="AG213" t="s">
        <v>3757</v>
      </c>
      <c r="AH213" s="3">
        <v>43349</v>
      </c>
      <c r="AI213">
        <v>46000</v>
      </c>
      <c r="AJ213">
        <v>0</v>
      </c>
      <c r="AS213" t="s">
        <v>3758</v>
      </c>
      <c r="AT213" s="3">
        <v>43439</v>
      </c>
      <c r="AU213">
        <v>45080</v>
      </c>
      <c r="AV213">
        <v>0</v>
      </c>
      <c r="AW213">
        <v>920</v>
      </c>
      <c r="AX213">
        <v>0</v>
      </c>
    </row>
    <row r="214" spans="1:50" x14ac:dyDescent="0.25">
      <c r="A214" t="s">
        <v>3759</v>
      </c>
      <c r="B214" s="3">
        <v>43309</v>
      </c>
      <c r="C214" t="s">
        <v>50</v>
      </c>
      <c r="D214" t="s">
        <v>3760</v>
      </c>
      <c r="E214" t="s">
        <v>50</v>
      </c>
      <c r="F214">
        <v>53000</v>
      </c>
      <c r="G214" t="s">
        <v>3761</v>
      </c>
      <c r="H214" s="3">
        <v>43309</v>
      </c>
      <c r="I214" t="s">
        <v>3762</v>
      </c>
      <c r="J214">
        <v>49000</v>
      </c>
      <c r="K214" s="1"/>
      <c r="M214" s="3">
        <v>43312</v>
      </c>
      <c r="N214" t="s">
        <v>54</v>
      </c>
      <c r="O214" t="s">
        <v>3763</v>
      </c>
      <c r="P214" t="s">
        <v>56</v>
      </c>
      <c r="Q214">
        <v>34500</v>
      </c>
      <c r="R214" s="3">
        <v>43312</v>
      </c>
      <c r="S214" t="s">
        <v>1336</v>
      </c>
      <c r="T214" t="s">
        <v>3658</v>
      </c>
      <c r="U214" t="s">
        <v>56</v>
      </c>
      <c r="V214">
        <v>10000</v>
      </c>
      <c r="W214" s="3">
        <v>43416</v>
      </c>
      <c r="X214" t="s">
        <v>54</v>
      </c>
      <c r="Y214" t="s">
        <v>2093</v>
      </c>
      <c r="Z214" t="s">
        <v>60</v>
      </c>
      <c r="AA214">
        <v>3900</v>
      </c>
      <c r="AG214" t="s">
        <v>3764</v>
      </c>
      <c r="AH214" s="3">
        <v>43351</v>
      </c>
      <c r="AI214">
        <v>53000</v>
      </c>
      <c r="AJ214">
        <v>0</v>
      </c>
      <c r="AS214" t="s">
        <v>3758</v>
      </c>
      <c r="AT214" s="3">
        <v>43439</v>
      </c>
      <c r="AU214">
        <v>51440</v>
      </c>
      <c r="AV214">
        <v>0</v>
      </c>
      <c r="AW214">
        <v>1560</v>
      </c>
      <c r="AX214">
        <v>0</v>
      </c>
    </row>
    <row r="215" spans="1:50" x14ac:dyDescent="0.25">
      <c r="A215" t="s">
        <v>3765</v>
      </c>
      <c r="B215" s="3">
        <v>43311</v>
      </c>
      <c r="C215" t="s">
        <v>50</v>
      </c>
      <c r="D215" t="s">
        <v>3760</v>
      </c>
      <c r="E215" t="s">
        <v>50</v>
      </c>
      <c r="F215">
        <v>53000</v>
      </c>
      <c r="G215" t="s">
        <v>3766</v>
      </c>
      <c r="H215" s="3">
        <v>43311</v>
      </c>
      <c r="I215" t="s">
        <v>3762</v>
      </c>
      <c r="J215">
        <v>49000</v>
      </c>
      <c r="K215" s="1"/>
      <c r="M215" s="3">
        <v>43312</v>
      </c>
      <c r="N215" t="s">
        <v>54</v>
      </c>
      <c r="O215" t="s">
        <v>3767</v>
      </c>
      <c r="P215" t="s">
        <v>56</v>
      </c>
      <c r="Q215">
        <v>43500</v>
      </c>
      <c r="R215" s="3">
        <v>43416</v>
      </c>
      <c r="S215" t="s">
        <v>54</v>
      </c>
      <c r="T215" t="s">
        <v>2093</v>
      </c>
      <c r="U215" t="s">
        <v>60</v>
      </c>
      <c r="V215">
        <v>4900</v>
      </c>
      <c r="AG215" t="s">
        <v>3768</v>
      </c>
      <c r="AH215" s="3">
        <v>43351</v>
      </c>
      <c r="AI215">
        <v>53000</v>
      </c>
      <c r="AJ215">
        <v>0</v>
      </c>
      <c r="AS215" t="s">
        <v>3758</v>
      </c>
      <c r="AT215" s="3">
        <v>43439</v>
      </c>
      <c r="AU215">
        <v>51440</v>
      </c>
      <c r="AV215">
        <v>0</v>
      </c>
      <c r="AW215">
        <v>1560</v>
      </c>
      <c r="AX215">
        <v>0</v>
      </c>
    </row>
    <row r="216" spans="1:50" x14ac:dyDescent="0.25">
      <c r="A216" t="s">
        <v>3769</v>
      </c>
      <c r="B216" s="3">
        <v>43311</v>
      </c>
      <c r="C216" t="s">
        <v>50</v>
      </c>
      <c r="D216" t="s">
        <v>3760</v>
      </c>
      <c r="E216" t="s">
        <v>50</v>
      </c>
      <c r="F216">
        <v>66000</v>
      </c>
      <c r="G216" t="s">
        <v>3770</v>
      </c>
      <c r="H216" s="3">
        <v>43311</v>
      </c>
      <c r="I216" t="s">
        <v>1305</v>
      </c>
      <c r="J216">
        <v>62000</v>
      </c>
      <c r="K216" s="1"/>
      <c r="M216" s="3">
        <v>43312</v>
      </c>
      <c r="N216" t="s">
        <v>54</v>
      </c>
      <c r="O216" t="s">
        <v>1306</v>
      </c>
      <c r="P216" t="s">
        <v>56</v>
      </c>
      <c r="Q216">
        <v>46200</v>
      </c>
      <c r="R216" s="3">
        <v>43312</v>
      </c>
      <c r="S216" t="s">
        <v>1336</v>
      </c>
      <c r="T216" t="s">
        <v>3648</v>
      </c>
      <c r="U216" t="s">
        <v>56</v>
      </c>
      <c r="V216">
        <v>10000</v>
      </c>
      <c r="W216" s="3">
        <v>43369</v>
      </c>
      <c r="X216" t="s">
        <v>54</v>
      </c>
      <c r="Y216" t="s">
        <v>1306</v>
      </c>
      <c r="Z216" t="s">
        <v>60</v>
      </c>
      <c r="AA216">
        <v>4700</v>
      </c>
      <c r="AG216" t="s">
        <v>3771</v>
      </c>
      <c r="AH216" s="3">
        <v>43358</v>
      </c>
      <c r="AI216">
        <v>66000</v>
      </c>
      <c r="AJ216">
        <v>0</v>
      </c>
      <c r="AS216" t="s">
        <v>3772</v>
      </c>
      <c r="AT216" s="3">
        <v>43501</v>
      </c>
      <c r="AU216">
        <v>64680</v>
      </c>
      <c r="AV216">
        <v>0</v>
      </c>
      <c r="AW216">
        <v>1320</v>
      </c>
      <c r="AX216">
        <v>0</v>
      </c>
    </row>
    <row r="217" spans="1:50" x14ac:dyDescent="0.25">
      <c r="A217" t="s">
        <v>3773</v>
      </c>
      <c r="B217" s="3">
        <v>43311</v>
      </c>
      <c r="C217" t="s">
        <v>50</v>
      </c>
      <c r="D217" t="s">
        <v>3760</v>
      </c>
      <c r="E217" t="s">
        <v>50</v>
      </c>
      <c r="F217">
        <v>55000</v>
      </c>
      <c r="G217" t="s">
        <v>3774</v>
      </c>
      <c r="H217" s="3">
        <v>43311</v>
      </c>
      <c r="I217" t="s">
        <v>1305</v>
      </c>
      <c r="J217">
        <v>50500</v>
      </c>
      <c r="K217" s="1"/>
      <c r="M217" s="3">
        <v>43312</v>
      </c>
      <c r="N217" t="s">
        <v>54</v>
      </c>
      <c r="O217" t="s">
        <v>1306</v>
      </c>
      <c r="P217" t="s">
        <v>56</v>
      </c>
      <c r="Q217">
        <v>34200</v>
      </c>
      <c r="R217" s="3">
        <v>43312</v>
      </c>
      <c r="S217" t="s">
        <v>1336</v>
      </c>
      <c r="T217" t="s">
        <v>3658</v>
      </c>
      <c r="U217" t="s">
        <v>56</v>
      </c>
      <c r="V217">
        <v>10000</v>
      </c>
      <c r="W217" s="3">
        <v>43369</v>
      </c>
      <c r="X217" t="s">
        <v>54</v>
      </c>
      <c r="Y217" t="s">
        <v>1306</v>
      </c>
      <c r="Z217" t="s">
        <v>60</v>
      </c>
      <c r="AA217">
        <v>5200</v>
      </c>
      <c r="AG217" t="s">
        <v>3775</v>
      </c>
      <c r="AH217" s="3">
        <v>43358</v>
      </c>
      <c r="AI217">
        <v>55000</v>
      </c>
      <c r="AJ217">
        <v>0</v>
      </c>
      <c r="AS217" t="s">
        <v>3772</v>
      </c>
      <c r="AT217" s="3">
        <v>43501</v>
      </c>
      <c r="AU217">
        <v>53900</v>
      </c>
      <c r="AV217">
        <v>0</v>
      </c>
      <c r="AW217">
        <v>1100</v>
      </c>
      <c r="AX217">
        <v>0</v>
      </c>
    </row>
    <row r="218" spans="1:50" x14ac:dyDescent="0.25">
      <c r="A218" t="s">
        <v>3776</v>
      </c>
      <c r="B218" s="3">
        <v>43311</v>
      </c>
      <c r="C218" t="s">
        <v>50</v>
      </c>
      <c r="D218" t="s">
        <v>3777</v>
      </c>
      <c r="E218" t="s">
        <v>50</v>
      </c>
      <c r="F218">
        <v>133000</v>
      </c>
      <c r="G218" t="s">
        <v>3778</v>
      </c>
      <c r="H218" s="3">
        <v>43311</v>
      </c>
      <c r="I218" t="s">
        <v>53</v>
      </c>
      <c r="J218">
        <v>124000</v>
      </c>
      <c r="K218" s="1"/>
      <c r="M218" s="3">
        <v>43312</v>
      </c>
      <c r="N218" t="s">
        <v>54</v>
      </c>
      <c r="O218" t="s">
        <v>55</v>
      </c>
      <c r="P218" t="s">
        <v>56</v>
      </c>
      <c r="Q218">
        <v>99200</v>
      </c>
      <c r="R218" s="3">
        <v>43393</v>
      </c>
      <c r="S218" t="s">
        <v>54</v>
      </c>
      <c r="T218" t="s">
        <v>2713</v>
      </c>
      <c r="U218" t="s">
        <v>60</v>
      </c>
      <c r="V218">
        <v>23500</v>
      </c>
      <c r="AG218" t="s">
        <v>3779</v>
      </c>
      <c r="AH218" s="3">
        <v>43332</v>
      </c>
      <c r="AI218">
        <v>133000</v>
      </c>
      <c r="AJ218">
        <v>0</v>
      </c>
      <c r="AS218" t="s">
        <v>3758</v>
      </c>
      <c r="AT218" s="3">
        <v>43439</v>
      </c>
      <c r="AU218">
        <v>130340</v>
      </c>
      <c r="AV218">
        <v>0</v>
      </c>
      <c r="AW218">
        <v>2660</v>
      </c>
      <c r="AX218">
        <v>0</v>
      </c>
    </row>
    <row r="219" spans="1:50" x14ac:dyDescent="0.25">
      <c r="A219" t="s">
        <v>3780</v>
      </c>
      <c r="B219" s="3">
        <v>43312</v>
      </c>
      <c r="C219" t="s">
        <v>50</v>
      </c>
      <c r="D219" t="s">
        <v>3781</v>
      </c>
      <c r="E219" t="s">
        <v>50</v>
      </c>
      <c r="F219">
        <v>31000</v>
      </c>
      <c r="G219" t="s">
        <v>3782</v>
      </c>
      <c r="H219" s="3">
        <v>43312</v>
      </c>
      <c r="I219" t="s">
        <v>344</v>
      </c>
      <c r="J219">
        <v>29000</v>
      </c>
      <c r="K219" s="1"/>
      <c r="M219" s="3">
        <v>43314</v>
      </c>
      <c r="N219" t="s">
        <v>1336</v>
      </c>
      <c r="O219" t="s">
        <v>3783</v>
      </c>
      <c r="P219" t="s">
        <v>56</v>
      </c>
      <c r="Q219">
        <v>10000</v>
      </c>
      <c r="R219" s="3">
        <v>43314</v>
      </c>
      <c r="S219" t="s">
        <v>54</v>
      </c>
      <c r="T219" t="s">
        <v>579</v>
      </c>
      <c r="U219" t="s">
        <v>56</v>
      </c>
      <c r="V219">
        <v>15700</v>
      </c>
      <c r="W219" s="3">
        <v>43343</v>
      </c>
      <c r="X219" t="s">
        <v>54</v>
      </c>
      <c r="Y219" t="s">
        <v>538</v>
      </c>
      <c r="Z219" t="s">
        <v>60</v>
      </c>
      <c r="AA219">
        <v>2950</v>
      </c>
      <c r="AG219" t="s">
        <v>3784</v>
      </c>
      <c r="AH219" s="3">
        <v>43332</v>
      </c>
      <c r="AI219">
        <v>31000</v>
      </c>
      <c r="AJ219">
        <v>0</v>
      </c>
      <c r="AS219" t="s">
        <v>3725</v>
      </c>
      <c r="AT219" s="3">
        <v>43385</v>
      </c>
      <c r="AU219">
        <v>30380</v>
      </c>
      <c r="AV219">
        <v>0</v>
      </c>
      <c r="AW219">
        <v>620</v>
      </c>
      <c r="AX219">
        <v>0</v>
      </c>
    </row>
    <row r="220" spans="1:50" x14ac:dyDescent="0.25">
      <c r="A220" t="s">
        <v>3785</v>
      </c>
      <c r="B220" s="3">
        <v>43312</v>
      </c>
      <c r="C220" t="s">
        <v>50</v>
      </c>
      <c r="D220" t="s">
        <v>3786</v>
      </c>
      <c r="E220" t="s">
        <v>50</v>
      </c>
      <c r="F220">
        <v>38000</v>
      </c>
      <c r="G220" t="s">
        <v>3787</v>
      </c>
      <c r="H220" s="3">
        <v>43312</v>
      </c>
      <c r="I220" t="s">
        <v>3762</v>
      </c>
      <c r="J220">
        <v>35000</v>
      </c>
      <c r="K220" s="1"/>
      <c r="M220" s="3">
        <v>43314</v>
      </c>
      <c r="N220" t="s">
        <v>54</v>
      </c>
      <c r="O220" t="s">
        <v>3788</v>
      </c>
      <c r="P220" t="s">
        <v>56</v>
      </c>
      <c r="Q220">
        <v>29500</v>
      </c>
      <c r="R220" s="3">
        <v>43416</v>
      </c>
      <c r="S220" t="s">
        <v>54</v>
      </c>
      <c r="T220" t="s">
        <v>2093</v>
      </c>
      <c r="U220" t="s">
        <v>60</v>
      </c>
      <c r="V220">
        <v>4900</v>
      </c>
      <c r="AG220" t="s">
        <v>3789</v>
      </c>
      <c r="AH220" s="3">
        <v>43351</v>
      </c>
      <c r="AI220">
        <v>38000</v>
      </c>
      <c r="AJ220">
        <v>0</v>
      </c>
      <c r="AS220" t="s">
        <v>3758</v>
      </c>
      <c r="AT220" s="3">
        <v>43439</v>
      </c>
      <c r="AU220">
        <v>37240</v>
      </c>
      <c r="AV220">
        <v>0</v>
      </c>
      <c r="AW220">
        <v>760</v>
      </c>
      <c r="AX220">
        <v>0</v>
      </c>
    </row>
    <row r="221" spans="1:50" x14ac:dyDescent="0.25">
      <c r="A221" t="s">
        <v>3790</v>
      </c>
      <c r="B221" s="3">
        <v>43318</v>
      </c>
      <c r="C221" t="s">
        <v>3791</v>
      </c>
      <c r="D221" t="s">
        <v>3792</v>
      </c>
      <c r="E221" t="s">
        <v>50</v>
      </c>
      <c r="F221">
        <v>27000</v>
      </c>
      <c r="G221" t="s">
        <v>3793</v>
      </c>
      <c r="H221" s="3">
        <v>43318</v>
      </c>
      <c r="I221" t="s">
        <v>3762</v>
      </c>
      <c r="J221">
        <v>25000</v>
      </c>
      <c r="K221" s="1"/>
      <c r="M221" s="3">
        <v>43318</v>
      </c>
      <c r="N221" t="s">
        <v>54</v>
      </c>
      <c r="O221" t="s">
        <v>3794</v>
      </c>
      <c r="P221" t="s">
        <v>56</v>
      </c>
      <c r="Q221">
        <v>21500</v>
      </c>
      <c r="R221" s="3">
        <v>43416</v>
      </c>
      <c r="S221" t="s">
        <v>54</v>
      </c>
      <c r="T221" t="s">
        <v>2093</v>
      </c>
      <c r="U221" t="s">
        <v>60</v>
      </c>
      <c r="V221">
        <v>2900</v>
      </c>
      <c r="AG221" t="s">
        <v>3795</v>
      </c>
      <c r="AH221" s="3">
        <v>43351</v>
      </c>
      <c r="AI221">
        <v>27000</v>
      </c>
      <c r="AJ221">
        <v>0</v>
      </c>
      <c r="AS221" t="s">
        <v>3758</v>
      </c>
      <c r="AT221" s="3">
        <v>43439</v>
      </c>
      <c r="AU221">
        <v>26420</v>
      </c>
      <c r="AV221">
        <v>0</v>
      </c>
      <c r="AW221">
        <v>580</v>
      </c>
      <c r="AX221">
        <v>0</v>
      </c>
    </row>
    <row r="222" spans="1:50" x14ac:dyDescent="0.25">
      <c r="A222" t="s">
        <v>3796</v>
      </c>
      <c r="B222" s="3">
        <v>43318</v>
      </c>
      <c r="C222" t="s">
        <v>3791</v>
      </c>
      <c r="D222" t="s">
        <v>3760</v>
      </c>
      <c r="E222" t="s">
        <v>50</v>
      </c>
      <c r="F222">
        <v>60000</v>
      </c>
      <c r="G222" t="s">
        <v>3797</v>
      </c>
      <c r="H222" s="3">
        <v>43318</v>
      </c>
      <c r="I222" t="s">
        <v>3762</v>
      </c>
      <c r="J222">
        <v>55000</v>
      </c>
      <c r="K222" s="1"/>
      <c r="M222" s="3">
        <v>43318</v>
      </c>
      <c r="N222" t="s">
        <v>1336</v>
      </c>
      <c r="O222" t="s">
        <v>3798</v>
      </c>
      <c r="P222" t="s">
        <v>56</v>
      </c>
      <c r="Q222">
        <v>10000</v>
      </c>
      <c r="R222" s="3">
        <v>43318</v>
      </c>
      <c r="S222" t="s">
        <v>54</v>
      </c>
      <c r="T222" t="s">
        <v>3798</v>
      </c>
      <c r="U222" t="s">
        <v>56</v>
      </c>
      <c r="V222">
        <v>34400</v>
      </c>
      <c r="W222" s="3">
        <v>43343</v>
      </c>
      <c r="X222" t="s">
        <v>54</v>
      </c>
      <c r="Y222" t="s">
        <v>3799</v>
      </c>
      <c r="Z222" t="s">
        <v>60</v>
      </c>
      <c r="AA222">
        <v>9600</v>
      </c>
      <c r="AG222" t="s">
        <v>3800</v>
      </c>
      <c r="AH222" s="3">
        <v>43349</v>
      </c>
      <c r="AI222">
        <v>60000</v>
      </c>
      <c r="AJ222">
        <v>0</v>
      </c>
      <c r="AS222" t="s">
        <v>3758</v>
      </c>
      <c r="AT222" s="3">
        <v>43439</v>
      </c>
      <c r="AU222">
        <v>58300</v>
      </c>
      <c r="AV222">
        <v>0</v>
      </c>
      <c r="AW222">
        <v>1700</v>
      </c>
      <c r="AX222">
        <v>0</v>
      </c>
    </row>
    <row r="223" spans="1:50" x14ac:dyDescent="0.25">
      <c r="A223" t="s">
        <v>3801</v>
      </c>
      <c r="B223" s="3">
        <v>43319</v>
      </c>
      <c r="C223" t="s">
        <v>50</v>
      </c>
      <c r="D223" t="s">
        <v>2536</v>
      </c>
      <c r="E223" t="s">
        <v>50</v>
      </c>
      <c r="F223">
        <v>47000</v>
      </c>
      <c r="G223" t="s">
        <v>3802</v>
      </c>
      <c r="H223" s="3">
        <v>43319</v>
      </c>
      <c r="I223" t="s">
        <v>399</v>
      </c>
      <c r="J223">
        <v>45000</v>
      </c>
      <c r="K223" s="1"/>
      <c r="M223" s="3">
        <v>43321</v>
      </c>
      <c r="N223" t="s">
        <v>1336</v>
      </c>
      <c r="O223" t="s">
        <v>3803</v>
      </c>
      <c r="P223" t="s">
        <v>56</v>
      </c>
      <c r="Q223">
        <v>10000</v>
      </c>
      <c r="R223" s="3">
        <v>43321</v>
      </c>
      <c r="S223" t="s">
        <v>54</v>
      </c>
      <c r="T223" t="s">
        <v>3804</v>
      </c>
      <c r="U223" t="s">
        <v>56</v>
      </c>
      <c r="V223">
        <v>29600</v>
      </c>
      <c r="W223" s="3">
        <v>43343</v>
      </c>
      <c r="X223" t="s">
        <v>54</v>
      </c>
      <c r="Y223" t="s">
        <v>414</v>
      </c>
      <c r="Z223" t="s">
        <v>60</v>
      </c>
      <c r="AA223">
        <v>4800</v>
      </c>
      <c r="AG223" t="s">
        <v>3805</v>
      </c>
      <c r="AH223" s="3">
        <v>43349</v>
      </c>
      <c r="AI223">
        <v>47000</v>
      </c>
      <c r="AJ223">
        <v>0</v>
      </c>
      <c r="AS223" t="s">
        <v>3758</v>
      </c>
      <c r="AT223" s="3">
        <v>43439</v>
      </c>
      <c r="AU223">
        <v>46060</v>
      </c>
      <c r="AV223">
        <v>0</v>
      </c>
      <c r="AW223">
        <v>940</v>
      </c>
      <c r="AX223">
        <v>0</v>
      </c>
    </row>
    <row r="224" spans="1:50" x14ac:dyDescent="0.25">
      <c r="A224" t="s">
        <v>3806</v>
      </c>
      <c r="B224" s="3">
        <v>43319</v>
      </c>
      <c r="C224" t="s">
        <v>50</v>
      </c>
      <c r="D224" t="s">
        <v>3807</v>
      </c>
      <c r="E224" t="s">
        <v>50</v>
      </c>
      <c r="F224">
        <v>62000</v>
      </c>
      <c r="G224" t="s">
        <v>3808</v>
      </c>
      <c r="H224" s="3">
        <v>43319</v>
      </c>
      <c r="I224" t="s">
        <v>399</v>
      </c>
      <c r="J224">
        <v>58000</v>
      </c>
      <c r="K224" s="1"/>
      <c r="M224" s="3">
        <v>43321</v>
      </c>
      <c r="N224" t="s">
        <v>1336</v>
      </c>
      <c r="O224" t="s">
        <v>3809</v>
      </c>
      <c r="P224" t="s">
        <v>56</v>
      </c>
      <c r="Q224">
        <v>10000</v>
      </c>
      <c r="R224" s="3">
        <v>43321</v>
      </c>
      <c r="S224" t="s">
        <v>54</v>
      </c>
      <c r="T224" t="s">
        <v>3804</v>
      </c>
      <c r="U224" t="s">
        <v>56</v>
      </c>
      <c r="V224">
        <v>42600</v>
      </c>
      <c r="W224" s="3">
        <v>43343</v>
      </c>
      <c r="X224" t="s">
        <v>54</v>
      </c>
      <c r="Y224" t="s">
        <v>414</v>
      </c>
      <c r="Z224" t="s">
        <v>60</v>
      </c>
      <c r="AA224">
        <v>4800</v>
      </c>
      <c r="AG224" t="s">
        <v>3810</v>
      </c>
      <c r="AH224" s="3">
        <v>43349</v>
      </c>
      <c r="AI224">
        <v>62000</v>
      </c>
      <c r="AJ224">
        <v>0</v>
      </c>
      <c r="AS224" t="s">
        <v>3758</v>
      </c>
      <c r="AT224" s="3">
        <v>43439</v>
      </c>
      <c r="AU224">
        <v>60260</v>
      </c>
      <c r="AV224">
        <v>0</v>
      </c>
      <c r="AW224">
        <v>1740</v>
      </c>
      <c r="AX224">
        <v>0</v>
      </c>
    </row>
    <row r="225" spans="1:50" x14ac:dyDescent="0.25">
      <c r="A225" t="s">
        <v>3811</v>
      </c>
      <c r="B225" s="3">
        <v>43329</v>
      </c>
      <c r="C225" t="s">
        <v>50</v>
      </c>
      <c r="D225" t="s">
        <v>3740</v>
      </c>
      <c r="E225" t="s">
        <v>50</v>
      </c>
      <c r="F225">
        <v>60000</v>
      </c>
      <c r="G225" t="s">
        <v>3812</v>
      </c>
      <c r="H225" s="3">
        <v>43329</v>
      </c>
      <c r="I225" t="s">
        <v>502</v>
      </c>
      <c r="J225">
        <v>55000</v>
      </c>
      <c r="K225" s="1"/>
      <c r="M225" s="3">
        <v>43335</v>
      </c>
      <c r="N225" t="s">
        <v>54</v>
      </c>
      <c r="O225" t="s">
        <v>3813</v>
      </c>
      <c r="P225" t="s">
        <v>56</v>
      </c>
      <c r="Q225">
        <v>29300</v>
      </c>
      <c r="R225" s="3">
        <v>43335</v>
      </c>
      <c r="S225" t="s">
        <v>1336</v>
      </c>
      <c r="U225" t="s">
        <v>56</v>
      </c>
      <c r="V225">
        <v>20000</v>
      </c>
      <c r="W225" s="3">
        <v>43434</v>
      </c>
      <c r="X225" t="s">
        <v>54</v>
      </c>
      <c r="Y225" t="s">
        <v>3814</v>
      </c>
      <c r="Z225" t="s">
        <v>60</v>
      </c>
      <c r="AA225">
        <v>4900</v>
      </c>
      <c r="AG225" t="s">
        <v>3815</v>
      </c>
      <c r="AH225" s="3">
        <v>43363</v>
      </c>
      <c r="AI225">
        <v>60000</v>
      </c>
      <c r="AJ225">
        <v>0</v>
      </c>
      <c r="AS225" t="s">
        <v>3772</v>
      </c>
      <c r="AT225" s="3">
        <v>43501</v>
      </c>
      <c r="AU225">
        <v>58800</v>
      </c>
      <c r="AV225">
        <v>0</v>
      </c>
      <c r="AW225">
        <v>1200</v>
      </c>
      <c r="AX225">
        <v>0</v>
      </c>
    </row>
    <row r="226" spans="1:50" x14ac:dyDescent="0.25">
      <c r="A226" t="s">
        <v>3816</v>
      </c>
      <c r="B226" s="3">
        <v>43343</v>
      </c>
      <c r="C226" t="s">
        <v>50</v>
      </c>
      <c r="D226" t="s">
        <v>3817</v>
      </c>
      <c r="E226" t="s">
        <v>50</v>
      </c>
      <c r="F226">
        <v>110000</v>
      </c>
      <c r="G226" t="s">
        <v>3818</v>
      </c>
      <c r="H226" s="3">
        <v>43343</v>
      </c>
      <c r="I226" t="s">
        <v>3819</v>
      </c>
      <c r="J226">
        <v>105000</v>
      </c>
      <c r="K226" s="1"/>
      <c r="M226" s="3">
        <v>43343</v>
      </c>
      <c r="N226" t="s">
        <v>54</v>
      </c>
      <c r="O226" t="s">
        <v>3820</v>
      </c>
      <c r="P226" t="s">
        <v>56</v>
      </c>
      <c r="Q226">
        <v>64100</v>
      </c>
      <c r="R226" s="3">
        <v>43404</v>
      </c>
      <c r="S226" t="s">
        <v>1336</v>
      </c>
      <c r="U226" t="s">
        <v>56</v>
      </c>
      <c r="V226">
        <v>20000</v>
      </c>
      <c r="W226" s="3">
        <v>43455</v>
      </c>
      <c r="X226" t="s">
        <v>54</v>
      </c>
      <c r="Y226" t="s">
        <v>3821</v>
      </c>
      <c r="Z226" t="s">
        <v>60</v>
      </c>
      <c r="AA226">
        <v>19700</v>
      </c>
      <c r="AG226" t="s">
        <v>3822</v>
      </c>
      <c r="AH226" s="3">
        <v>43370</v>
      </c>
      <c r="AI226">
        <v>110000</v>
      </c>
      <c r="AJ226">
        <v>0</v>
      </c>
      <c r="AS226" t="s">
        <v>3772</v>
      </c>
      <c r="AT226" s="3">
        <v>43501</v>
      </c>
      <c r="AU226">
        <v>107800</v>
      </c>
      <c r="AV226">
        <v>0</v>
      </c>
      <c r="AW226">
        <v>2200</v>
      </c>
      <c r="AX226">
        <v>0</v>
      </c>
    </row>
    <row r="227" spans="1:50" x14ac:dyDescent="0.25">
      <c r="A227" t="s">
        <v>3823</v>
      </c>
      <c r="B227" s="3">
        <v>43343</v>
      </c>
      <c r="C227" t="s">
        <v>50</v>
      </c>
      <c r="D227" t="s">
        <v>3824</v>
      </c>
      <c r="E227" t="s">
        <v>50</v>
      </c>
      <c r="F227">
        <v>85000</v>
      </c>
      <c r="G227" t="s">
        <v>3825</v>
      </c>
      <c r="H227" s="3">
        <v>43343</v>
      </c>
      <c r="I227" t="s">
        <v>1305</v>
      </c>
      <c r="J227">
        <v>80000</v>
      </c>
      <c r="K227" s="1"/>
      <c r="M227" s="3">
        <v>43343</v>
      </c>
      <c r="N227" t="s">
        <v>54</v>
      </c>
      <c r="O227" t="s">
        <v>3826</v>
      </c>
      <c r="P227" t="s">
        <v>56</v>
      </c>
      <c r="Q227">
        <v>49200</v>
      </c>
      <c r="R227" s="3">
        <v>43343</v>
      </c>
      <c r="S227" t="s">
        <v>1336</v>
      </c>
      <c r="T227" t="s">
        <v>1306</v>
      </c>
      <c r="U227" t="s">
        <v>56</v>
      </c>
      <c r="V227">
        <v>20000</v>
      </c>
      <c r="W227" s="3">
        <v>43369</v>
      </c>
      <c r="X227" t="s">
        <v>54</v>
      </c>
      <c r="Y227" t="s">
        <v>1306</v>
      </c>
      <c r="Z227" t="s">
        <v>60</v>
      </c>
      <c r="AA227">
        <v>9800</v>
      </c>
      <c r="AG227" t="s">
        <v>3827</v>
      </c>
      <c r="AH227" s="3">
        <v>43363</v>
      </c>
      <c r="AI227">
        <v>85000</v>
      </c>
      <c r="AJ227">
        <v>0</v>
      </c>
      <c r="AS227" t="s">
        <v>3772</v>
      </c>
      <c r="AT227" s="3">
        <v>43501</v>
      </c>
      <c r="AU227">
        <v>83300</v>
      </c>
      <c r="AV227">
        <v>0</v>
      </c>
      <c r="AW227">
        <v>1700</v>
      </c>
      <c r="AX227">
        <v>0</v>
      </c>
    </row>
    <row r="228" spans="1:50" x14ac:dyDescent="0.25">
      <c r="A228" t="s">
        <v>3828</v>
      </c>
      <c r="B228" s="3">
        <v>43342</v>
      </c>
      <c r="C228" t="s">
        <v>50</v>
      </c>
      <c r="D228" t="s">
        <v>3824</v>
      </c>
      <c r="E228" t="s">
        <v>50</v>
      </c>
      <c r="F228">
        <v>0</v>
      </c>
      <c r="K228" s="1"/>
      <c r="AG228" t="s">
        <v>3827</v>
      </c>
      <c r="AH228" s="3">
        <v>43363</v>
      </c>
      <c r="AI228">
        <v>0</v>
      </c>
      <c r="AJ228">
        <v>0</v>
      </c>
      <c r="AS228" t="s">
        <v>3772</v>
      </c>
      <c r="AT228" s="3">
        <v>43501</v>
      </c>
      <c r="AU228">
        <v>83300</v>
      </c>
      <c r="AV228">
        <v>0</v>
      </c>
      <c r="AW228">
        <v>1700</v>
      </c>
      <c r="AX228">
        <v>0</v>
      </c>
    </row>
    <row r="229" spans="1:50" x14ac:dyDescent="0.25">
      <c r="A229" t="s">
        <v>3829</v>
      </c>
      <c r="B229" s="3">
        <v>43343</v>
      </c>
      <c r="C229" t="s">
        <v>50</v>
      </c>
      <c r="D229" t="s">
        <v>3830</v>
      </c>
      <c r="E229" t="s">
        <v>50</v>
      </c>
      <c r="F229">
        <v>50000</v>
      </c>
      <c r="G229" t="s">
        <v>3831</v>
      </c>
      <c r="H229" s="3">
        <v>43343</v>
      </c>
      <c r="I229" t="s">
        <v>1328</v>
      </c>
      <c r="J229">
        <v>47000</v>
      </c>
      <c r="K229" s="1"/>
      <c r="M229" s="3">
        <v>43347</v>
      </c>
      <c r="N229" t="s">
        <v>54</v>
      </c>
      <c r="O229" t="s">
        <v>3832</v>
      </c>
      <c r="P229" t="s">
        <v>56</v>
      </c>
      <c r="Q229">
        <v>41400</v>
      </c>
      <c r="R229" s="3">
        <v>43383</v>
      </c>
      <c r="S229" t="s">
        <v>54</v>
      </c>
      <c r="T229" t="s">
        <v>3833</v>
      </c>
      <c r="U229" t="s">
        <v>60</v>
      </c>
      <c r="V229">
        <v>4900</v>
      </c>
      <c r="AG229" t="s">
        <v>3834</v>
      </c>
      <c r="AH229" s="3">
        <v>43364</v>
      </c>
      <c r="AI229">
        <v>50000</v>
      </c>
      <c r="AJ229">
        <v>0</v>
      </c>
      <c r="AS229" t="s">
        <v>3772</v>
      </c>
      <c r="AT229" s="3">
        <v>43501</v>
      </c>
      <c r="AU229">
        <v>49000</v>
      </c>
      <c r="AV229">
        <v>0</v>
      </c>
      <c r="AW229">
        <v>1000</v>
      </c>
      <c r="AX229">
        <v>0</v>
      </c>
    </row>
    <row r="230" spans="1:50" x14ac:dyDescent="0.25">
      <c r="A230" t="s">
        <v>3835</v>
      </c>
      <c r="B230" s="3">
        <v>43343</v>
      </c>
      <c r="C230" t="s">
        <v>50</v>
      </c>
      <c r="D230" t="s">
        <v>3836</v>
      </c>
      <c r="E230" t="s">
        <v>50</v>
      </c>
      <c r="F230">
        <v>44000</v>
      </c>
      <c r="G230" t="s">
        <v>3837</v>
      </c>
      <c r="H230" s="3">
        <v>43343</v>
      </c>
      <c r="I230" t="s">
        <v>2499</v>
      </c>
      <c r="J230">
        <v>40500</v>
      </c>
      <c r="K230" s="1"/>
      <c r="M230" s="3">
        <v>43347</v>
      </c>
      <c r="N230" t="s">
        <v>54</v>
      </c>
      <c r="O230" t="s">
        <v>3832</v>
      </c>
      <c r="P230" t="s">
        <v>56</v>
      </c>
      <c r="Q230">
        <v>34900</v>
      </c>
      <c r="R230" s="3">
        <v>43383</v>
      </c>
      <c r="S230" t="s">
        <v>54</v>
      </c>
      <c r="T230" t="s">
        <v>3833</v>
      </c>
      <c r="U230" t="s">
        <v>60</v>
      </c>
      <c r="V230">
        <v>4900</v>
      </c>
      <c r="AG230" t="s">
        <v>3838</v>
      </c>
      <c r="AH230" s="3">
        <v>43369</v>
      </c>
      <c r="AI230">
        <v>44000</v>
      </c>
      <c r="AJ230">
        <v>0</v>
      </c>
      <c r="AS230" t="s">
        <v>3772</v>
      </c>
      <c r="AT230" s="3">
        <v>43501</v>
      </c>
      <c r="AU230">
        <v>43120</v>
      </c>
      <c r="AV230">
        <v>0</v>
      </c>
      <c r="AW230">
        <v>880</v>
      </c>
      <c r="AX230">
        <v>0</v>
      </c>
    </row>
    <row r="231" spans="1:50" x14ac:dyDescent="0.25">
      <c r="A231" t="s">
        <v>3839</v>
      </c>
      <c r="B231" s="3">
        <v>43343</v>
      </c>
      <c r="C231" t="s">
        <v>50</v>
      </c>
      <c r="D231" t="s">
        <v>3760</v>
      </c>
      <c r="E231" t="s">
        <v>50</v>
      </c>
      <c r="F231">
        <v>22000</v>
      </c>
      <c r="G231" t="s">
        <v>3840</v>
      </c>
      <c r="H231" s="3">
        <v>43343</v>
      </c>
      <c r="I231" t="s">
        <v>230</v>
      </c>
      <c r="J231">
        <v>20000</v>
      </c>
      <c r="K231" s="1"/>
      <c r="M231" s="3">
        <v>43347</v>
      </c>
      <c r="N231" t="s">
        <v>54</v>
      </c>
      <c r="O231" t="s">
        <v>3841</v>
      </c>
      <c r="P231" t="s">
        <v>56</v>
      </c>
      <c r="Q231">
        <v>17800</v>
      </c>
      <c r="R231" s="3">
        <v>43388</v>
      </c>
      <c r="S231" t="s">
        <v>54</v>
      </c>
      <c r="T231" t="s">
        <v>901</v>
      </c>
      <c r="U231" t="s">
        <v>60</v>
      </c>
      <c r="V231">
        <v>1950</v>
      </c>
      <c r="AG231" t="s">
        <v>3842</v>
      </c>
      <c r="AH231" s="3">
        <v>43370</v>
      </c>
      <c r="AI231">
        <v>22000</v>
      </c>
      <c r="AJ231">
        <v>22000</v>
      </c>
    </row>
    <row r="232" spans="1:50" x14ac:dyDescent="0.25">
      <c r="A232" t="s">
        <v>3843</v>
      </c>
      <c r="B232" s="3">
        <v>43343</v>
      </c>
      <c r="C232" t="s">
        <v>50</v>
      </c>
      <c r="D232" t="s">
        <v>3844</v>
      </c>
      <c r="E232" t="s">
        <v>50</v>
      </c>
      <c r="F232">
        <v>24000</v>
      </c>
      <c r="G232" t="s">
        <v>3845</v>
      </c>
      <c r="H232" s="3">
        <v>43343</v>
      </c>
      <c r="I232" t="s">
        <v>230</v>
      </c>
      <c r="J232">
        <v>22000</v>
      </c>
      <c r="K232" s="1"/>
      <c r="M232" s="3">
        <v>43347</v>
      </c>
      <c r="N232" t="s">
        <v>54</v>
      </c>
      <c r="O232" t="s">
        <v>3841</v>
      </c>
      <c r="P232" t="s">
        <v>56</v>
      </c>
      <c r="Q232">
        <v>19800</v>
      </c>
      <c r="R232" s="3">
        <v>43456</v>
      </c>
      <c r="S232" t="s">
        <v>54</v>
      </c>
      <c r="T232" t="s">
        <v>305</v>
      </c>
      <c r="U232" t="s">
        <v>60</v>
      </c>
      <c r="V232">
        <v>1950</v>
      </c>
      <c r="AG232" t="s">
        <v>3846</v>
      </c>
      <c r="AH232" s="3">
        <v>43418</v>
      </c>
      <c r="AI232">
        <v>24000</v>
      </c>
      <c r="AJ232">
        <v>0</v>
      </c>
      <c r="AS232" t="s">
        <v>3847</v>
      </c>
      <c r="AT232" s="3">
        <v>43523</v>
      </c>
      <c r="AU232">
        <v>23520</v>
      </c>
      <c r="AV232">
        <v>0</v>
      </c>
      <c r="AW232">
        <v>480</v>
      </c>
      <c r="AX232">
        <v>0</v>
      </c>
    </row>
    <row r="233" spans="1:50" x14ac:dyDescent="0.25">
      <c r="A233" t="s">
        <v>3848</v>
      </c>
      <c r="B233" s="3">
        <v>43350</v>
      </c>
      <c r="C233" t="s">
        <v>50</v>
      </c>
      <c r="D233" t="s">
        <v>1274</v>
      </c>
      <c r="E233" t="s">
        <v>50</v>
      </c>
      <c r="F233">
        <v>27000</v>
      </c>
      <c r="G233" t="s">
        <v>3849</v>
      </c>
      <c r="H233" s="3">
        <v>43350</v>
      </c>
      <c r="I233" t="s">
        <v>399</v>
      </c>
      <c r="J233">
        <v>25000</v>
      </c>
      <c r="K233" s="1"/>
      <c r="M233" s="3">
        <v>43353</v>
      </c>
      <c r="N233" t="s">
        <v>1336</v>
      </c>
      <c r="O233" t="s">
        <v>414</v>
      </c>
      <c r="P233" t="s">
        <v>56</v>
      </c>
      <c r="Q233">
        <v>5000</v>
      </c>
      <c r="R233" s="3">
        <v>43353</v>
      </c>
      <c r="S233" t="s">
        <v>54</v>
      </c>
      <c r="T233" t="s">
        <v>414</v>
      </c>
      <c r="U233" t="s">
        <v>56</v>
      </c>
      <c r="V233">
        <v>16600</v>
      </c>
      <c r="W233" s="3">
        <v>43367</v>
      </c>
      <c r="X233" t="s">
        <v>54</v>
      </c>
      <c r="Y233" t="s">
        <v>907</v>
      </c>
      <c r="Z233" t="s">
        <v>60</v>
      </c>
      <c r="AA233">
        <v>2950</v>
      </c>
      <c r="AG233" t="s">
        <v>3850</v>
      </c>
      <c r="AH233" s="3">
        <v>43363</v>
      </c>
      <c r="AI233">
        <v>27000</v>
      </c>
      <c r="AJ233">
        <v>0</v>
      </c>
      <c r="AS233" t="s">
        <v>3851</v>
      </c>
      <c r="AT233" s="3">
        <v>43483</v>
      </c>
      <c r="AU233">
        <v>26460</v>
      </c>
      <c r="AV233">
        <v>0</v>
      </c>
      <c r="AW233">
        <v>540</v>
      </c>
      <c r="AX233">
        <v>0</v>
      </c>
    </row>
    <row r="234" spans="1:50" x14ac:dyDescent="0.25">
      <c r="A234" t="s">
        <v>3852</v>
      </c>
      <c r="B234" s="3">
        <v>43350</v>
      </c>
      <c r="C234" t="s">
        <v>50</v>
      </c>
      <c r="D234" t="s">
        <v>3844</v>
      </c>
      <c r="E234" t="s">
        <v>50</v>
      </c>
      <c r="F234">
        <v>21000</v>
      </c>
      <c r="G234" t="s">
        <v>3853</v>
      </c>
      <c r="H234" s="3">
        <v>43350</v>
      </c>
      <c r="I234" t="s">
        <v>399</v>
      </c>
      <c r="J234">
        <v>19000</v>
      </c>
      <c r="K234" s="1"/>
      <c r="M234" s="3">
        <v>43353</v>
      </c>
      <c r="N234" t="s">
        <v>54</v>
      </c>
      <c r="O234" t="s">
        <v>414</v>
      </c>
      <c r="P234" t="s">
        <v>56</v>
      </c>
      <c r="Q234">
        <v>11700</v>
      </c>
      <c r="R234" s="3">
        <v>43353</v>
      </c>
      <c r="S234" t="s">
        <v>1336</v>
      </c>
      <c r="T234" t="s">
        <v>752</v>
      </c>
      <c r="U234" t="s">
        <v>56</v>
      </c>
      <c r="V234">
        <v>5000</v>
      </c>
      <c r="W234" s="3">
        <v>43421</v>
      </c>
      <c r="X234" t="s">
        <v>54</v>
      </c>
      <c r="Y234" t="s">
        <v>327</v>
      </c>
      <c r="Z234" t="s">
        <v>60</v>
      </c>
      <c r="AA234">
        <v>1950</v>
      </c>
      <c r="AG234" t="s">
        <v>3854</v>
      </c>
      <c r="AH234" s="3">
        <v>43399</v>
      </c>
      <c r="AI234">
        <v>21000</v>
      </c>
      <c r="AJ234">
        <v>0</v>
      </c>
      <c r="AS234" t="s">
        <v>3855</v>
      </c>
      <c r="AT234" s="3">
        <v>43501</v>
      </c>
      <c r="AU234">
        <v>20580</v>
      </c>
      <c r="AV234">
        <v>0</v>
      </c>
      <c r="AW234">
        <v>420</v>
      </c>
      <c r="AX234">
        <v>0</v>
      </c>
    </row>
    <row r="235" spans="1:50" x14ac:dyDescent="0.25">
      <c r="A235" t="s">
        <v>3856</v>
      </c>
      <c r="B235" s="3">
        <v>43357</v>
      </c>
      <c r="C235" t="s">
        <v>50</v>
      </c>
      <c r="D235" t="s">
        <v>3857</v>
      </c>
      <c r="E235" t="s">
        <v>50</v>
      </c>
      <c r="F235">
        <v>56000</v>
      </c>
      <c r="G235" t="s">
        <v>3858</v>
      </c>
      <c r="H235" s="3">
        <v>43357</v>
      </c>
      <c r="I235" t="s">
        <v>3012</v>
      </c>
      <c r="J235">
        <v>52000</v>
      </c>
      <c r="K235" s="1"/>
      <c r="M235" s="3">
        <v>43360</v>
      </c>
      <c r="N235" t="s">
        <v>1336</v>
      </c>
      <c r="O235" t="s">
        <v>3859</v>
      </c>
      <c r="P235" t="s">
        <v>56</v>
      </c>
      <c r="Q235">
        <v>20000</v>
      </c>
      <c r="R235" s="3">
        <v>43360</v>
      </c>
      <c r="S235" t="s">
        <v>54</v>
      </c>
      <c r="T235" t="s">
        <v>3860</v>
      </c>
      <c r="U235" t="s">
        <v>56</v>
      </c>
      <c r="V235">
        <v>26500</v>
      </c>
      <c r="W235" s="3">
        <v>43416</v>
      </c>
      <c r="X235" t="s">
        <v>54</v>
      </c>
      <c r="Y235" t="s">
        <v>3861</v>
      </c>
      <c r="Z235" t="s">
        <v>60</v>
      </c>
      <c r="AA235">
        <v>4900</v>
      </c>
      <c r="AG235" t="s">
        <v>3862</v>
      </c>
      <c r="AH235" s="3">
        <v>43376</v>
      </c>
      <c r="AI235">
        <v>56000</v>
      </c>
      <c r="AJ235">
        <v>56000</v>
      </c>
    </row>
    <row r="236" spans="1:50" x14ac:dyDescent="0.25">
      <c r="A236" t="s">
        <v>3863</v>
      </c>
      <c r="B236" s="3">
        <v>43360</v>
      </c>
      <c r="C236" t="s">
        <v>50</v>
      </c>
      <c r="D236" t="s">
        <v>3864</v>
      </c>
      <c r="E236" t="s">
        <v>50</v>
      </c>
      <c r="F236">
        <v>30000</v>
      </c>
      <c r="G236" t="s">
        <v>3865</v>
      </c>
      <c r="H236" s="3">
        <v>43360</v>
      </c>
      <c r="I236" t="s">
        <v>344</v>
      </c>
      <c r="J236">
        <v>28000</v>
      </c>
      <c r="K236" s="1"/>
      <c r="M236" s="3">
        <v>43363</v>
      </c>
      <c r="N236" t="s">
        <v>54</v>
      </c>
      <c r="O236" t="s">
        <v>494</v>
      </c>
      <c r="P236" t="s">
        <v>56</v>
      </c>
      <c r="Q236">
        <v>12750</v>
      </c>
      <c r="R236" s="3">
        <v>43363</v>
      </c>
      <c r="S236" t="s">
        <v>57</v>
      </c>
      <c r="T236" t="s">
        <v>3866</v>
      </c>
      <c r="U236" t="s">
        <v>56</v>
      </c>
      <c r="V236">
        <v>2000</v>
      </c>
      <c r="W236" s="3">
        <v>43363</v>
      </c>
      <c r="X236" t="s">
        <v>1336</v>
      </c>
      <c r="Y236" t="s">
        <v>410</v>
      </c>
      <c r="Z236" t="s">
        <v>56</v>
      </c>
      <c r="AA236">
        <v>10000</v>
      </c>
      <c r="AB236" s="3">
        <v>43383</v>
      </c>
      <c r="AC236" t="s">
        <v>54</v>
      </c>
      <c r="AD236" t="s">
        <v>410</v>
      </c>
      <c r="AE236" t="s">
        <v>60</v>
      </c>
      <c r="AF236">
        <v>2950</v>
      </c>
      <c r="AG236" t="s">
        <v>3867</v>
      </c>
      <c r="AH236" s="3">
        <v>43385</v>
      </c>
      <c r="AI236">
        <v>30000</v>
      </c>
      <c r="AJ236">
        <v>30000</v>
      </c>
    </row>
    <row r="237" spans="1:50" x14ac:dyDescent="0.25">
      <c r="A237" t="s">
        <v>3868</v>
      </c>
      <c r="B237" s="3">
        <v>43361</v>
      </c>
      <c r="C237" t="s">
        <v>50</v>
      </c>
      <c r="D237" t="s">
        <v>3869</v>
      </c>
      <c r="E237" t="s">
        <v>50</v>
      </c>
      <c r="F237">
        <v>53000</v>
      </c>
      <c r="G237" t="s">
        <v>3870</v>
      </c>
      <c r="H237" s="3">
        <v>43361</v>
      </c>
      <c r="I237" t="s">
        <v>1328</v>
      </c>
      <c r="J237">
        <v>48500</v>
      </c>
      <c r="K237" s="1"/>
      <c r="M237" s="3">
        <v>43367</v>
      </c>
      <c r="N237" t="s">
        <v>54</v>
      </c>
      <c r="O237" t="s">
        <v>1330</v>
      </c>
      <c r="P237" t="s">
        <v>56</v>
      </c>
      <c r="Q237">
        <v>42900</v>
      </c>
      <c r="R237" s="3">
        <v>43434</v>
      </c>
      <c r="S237" t="s">
        <v>54</v>
      </c>
      <c r="T237" t="s">
        <v>2125</v>
      </c>
      <c r="U237" t="s">
        <v>60</v>
      </c>
      <c r="V237">
        <v>4900</v>
      </c>
      <c r="AG237" t="s">
        <v>3871</v>
      </c>
      <c r="AH237" s="3">
        <v>43376</v>
      </c>
      <c r="AI237">
        <v>53000</v>
      </c>
      <c r="AJ237">
        <v>53000</v>
      </c>
    </row>
    <row r="238" spans="1:50" x14ac:dyDescent="0.25">
      <c r="A238" t="s">
        <v>3872</v>
      </c>
      <c r="B238" s="3">
        <v>43362</v>
      </c>
      <c r="C238" t="s">
        <v>50</v>
      </c>
      <c r="D238" t="s">
        <v>3817</v>
      </c>
      <c r="E238" t="s">
        <v>50</v>
      </c>
      <c r="F238">
        <v>66000</v>
      </c>
      <c r="G238" t="s">
        <v>3873</v>
      </c>
      <c r="H238" s="3">
        <v>43362</v>
      </c>
      <c r="I238" t="s">
        <v>1328</v>
      </c>
      <c r="J238">
        <v>61000</v>
      </c>
      <c r="K238" s="1"/>
      <c r="M238" s="3">
        <v>43369</v>
      </c>
      <c r="N238" t="s">
        <v>1336</v>
      </c>
      <c r="O238" t="s">
        <v>1329</v>
      </c>
      <c r="P238" t="s">
        <v>56</v>
      </c>
      <c r="Q238">
        <v>10000</v>
      </c>
      <c r="R238" s="3">
        <v>43369</v>
      </c>
      <c r="S238" t="s">
        <v>54</v>
      </c>
      <c r="T238" t="s">
        <v>3833</v>
      </c>
      <c r="U238" t="s">
        <v>56</v>
      </c>
      <c r="V238">
        <v>44400</v>
      </c>
      <c r="W238" s="3">
        <v>43468</v>
      </c>
      <c r="X238" t="s">
        <v>54</v>
      </c>
      <c r="Y238" t="s">
        <v>1330</v>
      </c>
      <c r="Z238" t="s">
        <v>60</v>
      </c>
      <c r="AA238">
        <v>5900</v>
      </c>
      <c r="AG238" t="s">
        <v>3874</v>
      </c>
      <c r="AH238" s="3">
        <v>43418</v>
      </c>
      <c r="AI238">
        <v>66000</v>
      </c>
      <c r="AJ238">
        <v>0</v>
      </c>
      <c r="AS238" t="s">
        <v>3847</v>
      </c>
      <c r="AT238" s="3">
        <v>43523</v>
      </c>
      <c r="AU238">
        <v>64680</v>
      </c>
      <c r="AV238">
        <v>0</v>
      </c>
      <c r="AW238">
        <v>1320</v>
      </c>
      <c r="AX238">
        <v>0</v>
      </c>
    </row>
    <row r="239" spans="1:50" x14ac:dyDescent="0.25">
      <c r="A239" t="s">
        <v>3875</v>
      </c>
      <c r="B239" s="3">
        <v>43365</v>
      </c>
      <c r="C239" t="s">
        <v>50</v>
      </c>
      <c r="D239" t="s">
        <v>3817</v>
      </c>
      <c r="E239" t="s">
        <v>50</v>
      </c>
      <c r="F239">
        <v>40000</v>
      </c>
      <c r="G239" t="s">
        <v>3876</v>
      </c>
      <c r="H239" s="3">
        <v>43366</v>
      </c>
      <c r="I239" t="s">
        <v>2514</v>
      </c>
      <c r="J239">
        <v>39000</v>
      </c>
      <c r="K239" s="1"/>
      <c r="M239" s="3">
        <v>43369</v>
      </c>
      <c r="N239" t="s">
        <v>54</v>
      </c>
      <c r="O239" t="s">
        <v>2515</v>
      </c>
      <c r="P239" t="s">
        <v>56</v>
      </c>
      <c r="Q239">
        <v>23500</v>
      </c>
      <c r="R239" s="3">
        <v>43369</v>
      </c>
      <c r="S239" t="s">
        <v>54</v>
      </c>
      <c r="T239" t="s">
        <v>2515</v>
      </c>
      <c r="U239" t="s">
        <v>56</v>
      </c>
      <c r="V239">
        <v>10000</v>
      </c>
      <c r="W239" s="3">
        <v>43468</v>
      </c>
      <c r="X239" t="s">
        <v>54</v>
      </c>
      <c r="Y239" t="s">
        <v>1330</v>
      </c>
      <c r="Z239" t="s">
        <v>60</v>
      </c>
      <c r="AA239">
        <v>4900</v>
      </c>
      <c r="AG239" t="s">
        <v>3877</v>
      </c>
      <c r="AH239" s="3">
        <v>43413</v>
      </c>
      <c r="AI239">
        <v>40000</v>
      </c>
      <c r="AJ239">
        <v>0</v>
      </c>
      <c r="AS239" t="s">
        <v>3855</v>
      </c>
      <c r="AT239" s="3">
        <v>43501</v>
      </c>
      <c r="AU239">
        <v>39200</v>
      </c>
      <c r="AV239">
        <v>0</v>
      </c>
      <c r="AW239">
        <v>800</v>
      </c>
      <c r="AX239">
        <v>0</v>
      </c>
    </row>
    <row r="240" spans="1:50" x14ac:dyDescent="0.25">
      <c r="A240" t="s">
        <v>3878</v>
      </c>
      <c r="B240" s="3">
        <v>43365</v>
      </c>
      <c r="C240" t="s">
        <v>50</v>
      </c>
      <c r="D240" t="s">
        <v>3879</v>
      </c>
      <c r="E240" t="s">
        <v>50</v>
      </c>
      <c r="F240">
        <v>150000</v>
      </c>
      <c r="G240" t="s">
        <v>3880</v>
      </c>
      <c r="H240" s="3">
        <v>43366</v>
      </c>
      <c r="I240" t="s">
        <v>3819</v>
      </c>
      <c r="J240">
        <v>142000</v>
      </c>
      <c r="K240" s="1"/>
      <c r="M240" s="3">
        <v>43367</v>
      </c>
      <c r="N240" t="s">
        <v>54</v>
      </c>
      <c r="O240" t="s">
        <v>3881</v>
      </c>
      <c r="P240" t="s">
        <v>56</v>
      </c>
      <c r="Q240">
        <v>96000</v>
      </c>
      <c r="R240" s="3">
        <v>43367</v>
      </c>
      <c r="S240" t="s">
        <v>1336</v>
      </c>
      <c r="T240" t="s">
        <v>3882</v>
      </c>
      <c r="U240" t="s">
        <v>56</v>
      </c>
      <c r="V240">
        <v>25000</v>
      </c>
      <c r="W240" s="3">
        <v>43421</v>
      </c>
      <c r="X240" t="s">
        <v>54</v>
      </c>
      <c r="Y240" t="s">
        <v>3881</v>
      </c>
      <c r="Z240" t="s">
        <v>60</v>
      </c>
      <c r="AA240">
        <v>19700</v>
      </c>
      <c r="AG240" t="s">
        <v>3883</v>
      </c>
      <c r="AH240" s="3">
        <v>43367</v>
      </c>
      <c r="AI240">
        <v>150000</v>
      </c>
      <c r="AJ240">
        <v>0</v>
      </c>
      <c r="AS240" t="s">
        <v>3884</v>
      </c>
      <c r="AT240" s="3">
        <v>43371</v>
      </c>
      <c r="AU240">
        <v>150000</v>
      </c>
      <c r="AV240">
        <v>0</v>
      </c>
      <c r="AW240">
        <v>0</v>
      </c>
      <c r="AX240">
        <v>0</v>
      </c>
    </row>
    <row r="241" spans="1:50" x14ac:dyDescent="0.25">
      <c r="A241" t="s">
        <v>3885</v>
      </c>
      <c r="B241" s="3">
        <v>43367</v>
      </c>
      <c r="C241" t="s">
        <v>50</v>
      </c>
      <c r="D241" t="s">
        <v>3886</v>
      </c>
      <c r="E241" t="s">
        <v>50</v>
      </c>
      <c r="F241">
        <v>72000</v>
      </c>
      <c r="G241" t="s">
        <v>3887</v>
      </c>
      <c r="H241" s="3">
        <v>43368</v>
      </c>
      <c r="I241" t="s">
        <v>1328</v>
      </c>
      <c r="J241">
        <v>65000</v>
      </c>
      <c r="K241" s="1"/>
      <c r="M241" s="3">
        <v>43369</v>
      </c>
      <c r="N241" t="s">
        <v>1336</v>
      </c>
      <c r="O241" t="s">
        <v>3888</v>
      </c>
      <c r="P241" t="s">
        <v>56</v>
      </c>
      <c r="Q241">
        <v>15000</v>
      </c>
      <c r="R241" s="3">
        <v>43369</v>
      </c>
      <c r="S241" t="s">
        <v>54</v>
      </c>
      <c r="T241" t="s">
        <v>3833</v>
      </c>
      <c r="U241" t="s">
        <v>56</v>
      </c>
      <c r="V241">
        <v>39400</v>
      </c>
      <c r="W241" s="3">
        <v>43413</v>
      </c>
      <c r="X241" t="s">
        <v>54</v>
      </c>
      <c r="Y241" t="s">
        <v>1330</v>
      </c>
      <c r="Z241" t="s">
        <v>60</v>
      </c>
      <c r="AA241">
        <v>9900</v>
      </c>
      <c r="AG241" t="s">
        <v>3889</v>
      </c>
      <c r="AH241" s="3">
        <v>43413</v>
      </c>
      <c r="AI241">
        <v>72000</v>
      </c>
      <c r="AJ241">
        <v>0</v>
      </c>
      <c r="AS241" t="s">
        <v>3855</v>
      </c>
      <c r="AT241" s="3">
        <v>43501</v>
      </c>
      <c r="AU241">
        <v>70560</v>
      </c>
      <c r="AV241">
        <v>0</v>
      </c>
      <c r="AW241">
        <v>1440</v>
      </c>
      <c r="AX241">
        <v>0</v>
      </c>
    </row>
    <row r="242" spans="1:50" x14ac:dyDescent="0.25">
      <c r="A242" t="s">
        <v>3890</v>
      </c>
      <c r="B242" s="3">
        <v>43368</v>
      </c>
      <c r="C242" t="s">
        <v>50</v>
      </c>
      <c r="D242" t="s">
        <v>3891</v>
      </c>
      <c r="E242" t="s">
        <v>50</v>
      </c>
      <c r="F242">
        <v>44000</v>
      </c>
      <c r="G242" t="s">
        <v>3892</v>
      </c>
      <c r="H242" s="3">
        <v>43368</v>
      </c>
      <c r="I242" t="s">
        <v>2514</v>
      </c>
      <c r="J242">
        <v>40000</v>
      </c>
      <c r="K242" s="1"/>
      <c r="M242" s="3">
        <v>43369</v>
      </c>
      <c r="N242" t="s">
        <v>54</v>
      </c>
      <c r="O242" t="s">
        <v>2515</v>
      </c>
      <c r="P242" t="s">
        <v>56</v>
      </c>
      <c r="Q242">
        <v>24600</v>
      </c>
      <c r="R242" s="3">
        <v>43369</v>
      </c>
      <c r="S242" t="s">
        <v>1336</v>
      </c>
      <c r="T242" t="s">
        <v>2515</v>
      </c>
      <c r="U242" t="s">
        <v>56</v>
      </c>
      <c r="V242">
        <v>10000</v>
      </c>
      <c r="W242" s="3">
        <v>43445</v>
      </c>
      <c r="X242" t="s">
        <v>54</v>
      </c>
      <c r="Y242" t="s">
        <v>2515</v>
      </c>
      <c r="Z242" t="s">
        <v>60</v>
      </c>
      <c r="AA242">
        <v>4700</v>
      </c>
      <c r="AG242" t="s">
        <v>3893</v>
      </c>
      <c r="AH242" s="3">
        <v>43430</v>
      </c>
      <c r="AI242">
        <v>44000</v>
      </c>
      <c r="AJ242">
        <v>0</v>
      </c>
      <c r="AS242" t="s">
        <v>3847</v>
      </c>
      <c r="AT242" s="3">
        <v>43523</v>
      </c>
      <c r="AU242">
        <v>43120</v>
      </c>
      <c r="AV242">
        <v>0</v>
      </c>
      <c r="AW242">
        <v>880</v>
      </c>
      <c r="AX242">
        <v>0</v>
      </c>
    </row>
    <row r="243" spans="1:50" x14ac:dyDescent="0.25">
      <c r="A243" t="s">
        <v>3898</v>
      </c>
      <c r="B243" s="3">
        <v>43371</v>
      </c>
      <c r="C243" t="s">
        <v>50</v>
      </c>
      <c r="D243" t="s">
        <v>3899</v>
      </c>
      <c r="E243" t="s">
        <v>50</v>
      </c>
      <c r="F243">
        <v>98000</v>
      </c>
      <c r="G243" t="s">
        <v>3900</v>
      </c>
      <c r="H243" s="3">
        <v>43372</v>
      </c>
      <c r="I243" t="s">
        <v>1305</v>
      </c>
      <c r="J243">
        <v>95000</v>
      </c>
      <c r="K243" s="1"/>
      <c r="M243" s="3">
        <v>43376</v>
      </c>
      <c r="N243" t="s">
        <v>1336</v>
      </c>
      <c r="O243" t="s">
        <v>3901</v>
      </c>
      <c r="P243" t="s">
        <v>56</v>
      </c>
      <c r="Q243">
        <v>20000</v>
      </c>
      <c r="R243" s="3">
        <v>43378</v>
      </c>
      <c r="S243" t="s">
        <v>54</v>
      </c>
      <c r="T243" t="s">
        <v>3902</v>
      </c>
      <c r="U243" t="s">
        <v>56</v>
      </c>
      <c r="V243">
        <v>64200</v>
      </c>
      <c r="W243" s="3">
        <v>43514</v>
      </c>
      <c r="X243" t="s">
        <v>54</v>
      </c>
      <c r="Y243" t="s">
        <v>1306</v>
      </c>
      <c r="Z243" t="s">
        <v>60</v>
      </c>
      <c r="AA243">
        <v>9800</v>
      </c>
      <c r="AG243" t="s">
        <v>3903</v>
      </c>
      <c r="AH243" s="3">
        <v>43430</v>
      </c>
      <c r="AI243">
        <v>98000</v>
      </c>
      <c r="AJ243">
        <v>0</v>
      </c>
      <c r="AS243" t="s">
        <v>3847</v>
      </c>
      <c r="AT243" s="3">
        <v>43523</v>
      </c>
      <c r="AU243">
        <v>96040</v>
      </c>
      <c r="AV243">
        <v>0</v>
      </c>
      <c r="AW243">
        <v>1960</v>
      </c>
      <c r="AX243">
        <v>0</v>
      </c>
    </row>
    <row r="244" spans="1:50" x14ac:dyDescent="0.25">
      <c r="A244" t="s">
        <v>3911</v>
      </c>
      <c r="B244" s="3">
        <v>43372</v>
      </c>
      <c r="C244" t="s">
        <v>50</v>
      </c>
      <c r="D244" t="s">
        <v>3899</v>
      </c>
      <c r="E244" t="s">
        <v>50</v>
      </c>
      <c r="F244">
        <v>98000</v>
      </c>
      <c r="G244" t="s">
        <v>3912</v>
      </c>
      <c r="H244" s="3">
        <v>43373</v>
      </c>
      <c r="I244" t="s">
        <v>1305</v>
      </c>
      <c r="J244">
        <v>95000</v>
      </c>
      <c r="K244" s="1"/>
      <c r="M244" s="3">
        <v>43383</v>
      </c>
      <c r="N244" t="s">
        <v>54</v>
      </c>
      <c r="O244" t="s">
        <v>1306</v>
      </c>
      <c r="P244" t="s">
        <v>56</v>
      </c>
      <c r="Q244">
        <v>84200</v>
      </c>
      <c r="R244" s="3">
        <v>43514</v>
      </c>
      <c r="S244" t="s">
        <v>54</v>
      </c>
      <c r="T244" t="s">
        <v>1306</v>
      </c>
      <c r="U244" t="s">
        <v>60</v>
      </c>
      <c r="V244">
        <v>9800</v>
      </c>
      <c r="AG244" t="s">
        <v>3913</v>
      </c>
      <c r="AH244" s="3">
        <v>43426</v>
      </c>
      <c r="AI244">
        <v>98000</v>
      </c>
      <c r="AJ244">
        <v>0</v>
      </c>
      <c r="AS244" t="s">
        <v>3847</v>
      </c>
      <c r="AT244" s="3">
        <v>43523</v>
      </c>
      <c r="AU244">
        <v>96040</v>
      </c>
      <c r="AV244">
        <v>0</v>
      </c>
      <c r="AW244">
        <v>1960</v>
      </c>
      <c r="AX244">
        <v>0</v>
      </c>
    </row>
    <row r="245" spans="1:50" x14ac:dyDescent="0.25">
      <c r="A245" t="s">
        <v>3914</v>
      </c>
      <c r="B245" s="3">
        <v>43374</v>
      </c>
      <c r="C245" t="s">
        <v>50</v>
      </c>
      <c r="D245" t="s">
        <v>3915</v>
      </c>
      <c r="E245" t="s">
        <v>50</v>
      </c>
      <c r="F245">
        <v>130000</v>
      </c>
      <c r="G245" t="s">
        <v>3916</v>
      </c>
      <c r="H245" s="3">
        <v>43374</v>
      </c>
      <c r="I245" t="s">
        <v>3819</v>
      </c>
      <c r="J245">
        <v>125000</v>
      </c>
      <c r="K245" s="1"/>
      <c r="M245" s="3">
        <v>43376</v>
      </c>
      <c r="N245" t="s">
        <v>54</v>
      </c>
      <c r="O245" t="s">
        <v>3917</v>
      </c>
      <c r="P245" t="s">
        <v>56</v>
      </c>
      <c r="Q245">
        <v>104100</v>
      </c>
      <c r="R245" s="3">
        <v>43526</v>
      </c>
      <c r="S245" t="s">
        <v>54</v>
      </c>
      <c r="T245" t="s">
        <v>3918</v>
      </c>
      <c r="U245" t="s">
        <v>60</v>
      </c>
      <c r="V245">
        <v>19800</v>
      </c>
      <c r="AG245" t="s">
        <v>3919</v>
      </c>
      <c r="AH245" s="3">
        <v>43438</v>
      </c>
      <c r="AI245">
        <v>130000</v>
      </c>
      <c r="AJ245">
        <v>130000</v>
      </c>
    </row>
    <row r="246" spans="1:50" x14ac:dyDescent="0.25">
      <c r="A246" t="s">
        <v>3920</v>
      </c>
      <c r="B246" s="3">
        <v>43374</v>
      </c>
      <c r="C246" t="s">
        <v>50</v>
      </c>
      <c r="D246" t="s">
        <v>3915</v>
      </c>
      <c r="E246" t="s">
        <v>50</v>
      </c>
      <c r="F246">
        <v>120000</v>
      </c>
      <c r="G246" t="s">
        <v>3921</v>
      </c>
      <c r="H246" s="3">
        <v>43376</v>
      </c>
      <c r="I246" t="s">
        <v>1305</v>
      </c>
      <c r="J246">
        <v>115000</v>
      </c>
      <c r="K246" s="1"/>
      <c r="M246" s="3">
        <v>43383</v>
      </c>
      <c r="N246" t="s">
        <v>54</v>
      </c>
      <c r="O246" t="s">
        <v>1306</v>
      </c>
      <c r="P246" t="s">
        <v>56</v>
      </c>
      <c r="Q246">
        <v>64200</v>
      </c>
      <c r="R246" s="3">
        <v>43404</v>
      </c>
      <c r="S246" t="s">
        <v>54</v>
      </c>
      <c r="T246" t="s">
        <v>1623</v>
      </c>
      <c r="U246" t="s">
        <v>56</v>
      </c>
      <c r="V246">
        <v>30000</v>
      </c>
      <c r="W246" s="3">
        <v>43514</v>
      </c>
      <c r="X246" t="s">
        <v>54</v>
      </c>
      <c r="Y246" t="s">
        <v>1306</v>
      </c>
      <c r="Z246" t="s">
        <v>60</v>
      </c>
      <c r="AA246">
        <v>19700</v>
      </c>
      <c r="AG246" t="s">
        <v>3922</v>
      </c>
      <c r="AH246" s="3">
        <v>43438</v>
      </c>
      <c r="AI246">
        <v>120000</v>
      </c>
      <c r="AJ246">
        <v>120000</v>
      </c>
    </row>
    <row r="247" spans="1:50" x14ac:dyDescent="0.25">
      <c r="A247" t="s">
        <v>3923</v>
      </c>
      <c r="B247" s="3">
        <v>43378</v>
      </c>
      <c r="C247" t="s">
        <v>50</v>
      </c>
      <c r="D247" t="s">
        <v>3924</v>
      </c>
      <c r="E247" t="s">
        <v>50</v>
      </c>
      <c r="F247">
        <v>178000</v>
      </c>
      <c r="G247" t="s">
        <v>3925</v>
      </c>
      <c r="H247" s="3">
        <v>43378</v>
      </c>
      <c r="I247" t="s">
        <v>3926</v>
      </c>
      <c r="J247">
        <v>170000</v>
      </c>
      <c r="K247" s="1"/>
      <c r="M247" s="3">
        <v>43388</v>
      </c>
      <c r="N247" t="s">
        <v>54</v>
      </c>
      <c r="O247" t="s">
        <v>3881</v>
      </c>
      <c r="P247" t="s">
        <v>56</v>
      </c>
      <c r="Q247">
        <v>119000</v>
      </c>
      <c r="R247" s="3">
        <v>43391</v>
      </c>
      <c r="S247" t="s">
        <v>1336</v>
      </c>
      <c r="T247" t="s">
        <v>3927</v>
      </c>
      <c r="U247" t="s">
        <v>56</v>
      </c>
      <c r="V247">
        <v>25000</v>
      </c>
      <c r="W247" s="3">
        <v>43434</v>
      </c>
      <c r="X247" t="s">
        <v>54</v>
      </c>
      <c r="Y247" t="s">
        <v>3881</v>
      </c>
      <c r="Z247" t="s">
        <v>60</v>
      </c>
      <c r="AA247">
        <v>24600</v>
      </c>
      <c r="AG247" t="s">
        <v>3928</v>
      </c>
      <c r="AH247" s="3">
        <v>43413</v>
      </c>
      <c r="AI247">
        <v>178000</v>
      </c>
      <c r="AJ247">
        <v>0</v>
      </c>
      <c r="AS247" t="s">
        <v>3855</v>
      </c>
      <c r="AT247" s="3">
        <v>43501</v>
      </c>
      <c r="AU247">
        <v>174440</v>
      </c>
      <c r="AV247">
        <v>0</v>
      </c>
      <c r="AW247">
        <v>3560</v>
      </c>
      <c r="AX247">
        <v>0</v>
      </c>
    </row>
    <row r="248" spans="1:50" x14ac:dyDescent="0.25">
      <c r="A248" t="s">
        <v>3929</v>
      </c>
      <c r="B248" s="3">
        <v>43378</v>
      </c>
      <c r="C248" t="s">
        <v>50</v>
      </c>
      <c r="D248" t="s">
        <v>3930</v>
      </c>
      <c r="E248" t="s">
        <v>50</v>
      </c>
      <c r="F248">
        <v>23000</v>
      </c>
      <c r="G248" t="s">
        <v>3931</v>
      </c>
      <c r="H248" s="3">
        <v>43378</v>
      </c>
      <c r="I248" t="s">
        <v>399</v>
      </c>
      <c r="J248">
        <v>21000</v>
      </c>
      <c r="K248" s="1"/>
      <c r="M248" s="3">
        <v>43388</v>
      </c>
      <c r="N248" t="s">
        <v>54</v>
      </c>
      <c r="O248" t="s">
        <v>752</v>
      </c>
      <c r="P248" t="s">
        <v>56</v>
      </c>
      <c r="Q248">
        <v>18750</v>
      </c>
      <c r="R248" s="3">
        <v>43421</v>
      </c>
      <c r="S248" t="s">
        <v>54</v>
      </c>
      <c r="T248" t="s">
        <v>327</v>
      </c>
      <c r="U248" t="s">
        <v>60</v>
      </c>
      <c r="V248">
        <v>1950</v>
      </c>
      <c r="AG248" t="s">
        <v>3932</v>
      </c>
      <c r="AH248" s="3">
        <v>43413</v>
      </c>
      <c r="AI248">
        <v>23000</v>
      </c>
      <c r="AJ248">
        <v>0</v>
      </c>
      <c r="AS248" t="s">
        <v>3855</v>
      </c>
      <c r="AT248" s="3">
        <v>43501</v>
      </c>
      <c r="AU248">
        <v>22540</v>
      </c>
      <c r="AV248">
        <v>0</v>
      </c>
      <c r="AW248">
        <v>460</v>
      </c>
      <c r="AX248">
        <v>0</v>
      </c>
    </row>
    <row r="249" spans="1:50" x14ac:dyDescent="0.25">
      <c r="A249" t="s">
        <v>3933</v>
      </c>
      <c r="B249" s="3">
        <v>43385</v>
      </c>
      <c r="C249" t="s">
        <v>50</v>
      </c>
      <c r="D249" t="s">
        <v>3934</v>
      </c>
      <c r="E249" t="s">
        <v>50</v>
      </c>
      <c r="F249">
        <v>30000</v>
      </c>
      <c r="G249" t="s">
        <v>3935</v>
      </c>
      <c r="H249" s="3">
        <v>43385</v>
      </c>
      <c r="I249" t="s">
        <v>399</v>
      </c>
      <c r="J249">
        <v>27000</v>
      </c>
      <c r="K249" s="1"/>
      <c r="M249" s="3">
        <v>43388</v>
      </c>
      <c r="N249" t="s">
        <v>54</v>
      </c>
      <c r="O249" t="s">
        <v>399</v>
      </c>
      <c r="P249" t="s">
        <v>56</v>
      </c>
      <c r="Q249">
        <v>23700</v>
      </c>
      <c r="R249" s="3">
        <v>43421</v>
      </c>
      <c r="S249" t="s">
        <v>54</v>
      </c>
      <c r="T249" t="s">
        <v>327</v>
      </c>
      <c r="U249" t="s">
        <v>60</v>
      </c>
      <c r="V249">
        <v>2950</v>
      </c>
      <c r="AG249" t="s">
        <v>3936</v>
      </c>
      <c r="AH249" s="3">
        <v>43413</v>
      </c>
      <c r="AI249">
        <v>30000</v>
      </c>
      <c r="AJ249">
        <v>0</v>
      </c>
      <c r="AS249" t="s">
        <v>3855</v>
      </c>
      <c r="AT249" s="3">
        <v>43501</v>
      </c>
      <c r="AU249">
        <v>29400</v>
      </c>
      <c r="AV249">
        <v>0</v>
      </c>
      <c r="AW249">
        <v>600</v>
      </c>
      <c r="AX249">
        <v>0</v>
      </c>
    </row>
    <row r="250" spans="1:50" x14ac:dyDescent="0.25">
      <c r="A250" t="s">
        <v>3937</v>
      </c>
      <c r="B250" s="3">
        <v>43393</v>
      </c>
      <c r="C250" t="s">
        <v>50</v>
      </c>
      <c r="D250" t="s">
        <v>3938</v>
      </c>
      <c r="E250" t="s">
        <v>50</v>
      </c>
      <c r="F250">
        <v>48000</v>
      </c>
      <c r="G250" t="s">
        <v>3939</v>
      </c>
      <c r="H250" s="3">
        <v>43393</v>
      </c>
      <c r="I250" t="s">
        <v>3926</v>
      </c>
      <c r="J250">
        <v>49000</v>
      </c>
      <c r="K250" s="1"/>
      <c r="M250" s="3">
        <v>43393</v>
      </c>
      <c r="N250" t="s">
        <v>57</v>
      </c>
      <c r="P250" t="s">
        <v>56</v>
      </c>
      <c r="Q250">
        <v>4000</v>
      </c>
      <c r="R250" s="3">
        <v>43393</v>
      </c>
      <c r="S250" t="s">
        <v>54</v>
      </c>
      <c r="T250" t="s">
        <v>3881</v>
      </c>
      <c r="U250" t="s">
        <v>56</v>
      </c>
      <c r="V250">
        <v>29400</v>
      </c>
      <c r="W250" s="3">
        <v>43393</v>
      </c>
      <c r="X250" t="s">
        <v>1336</v>
      </c>
      <c r="Z250" t="s">
        <v>56</v>
      </c>
      <c r="AA250">
        <v>10000</v>
      </c>
      <c r="AB250" s="3">
        <v>43510</v>
      </c>
      <c r="AC250" t="s">
        <v>54</v>
      </c>
      <c r="AD250" t="s">
        <v>3918</v>
      </c>
      <c r="AE250" t="s">
        <v>60</v>
      </c>
      <c r="AF250">
        <v>4900</v>
      </c>
      <c r="AG250" t="s">
        <v>3940</v>
      </c>
      <c r="AH250" s="3">
        <v>43550</v>
      </c>
      <c r="AI250">
        <v>48000</v>
      </c>
      <c r="AJ250">
        <v>48000</v>
      </c>
    </row>
    <row r="251" spans="1:50" x14ac:dyDescent="0.25">
      <c r="A251" t="s">
        <v>3941</v>
      </c>
      <c r="B251" s="3">
        <v>43393</v>
      </c>
      <c r="C251" t="s">
        <v>50</v>
      </c>
      <c r="D251" t="s">
        <v>3942</v>
      </c>
      <c r="E251" t="s">
        <v>50</v>
      </c>
      <c r="F251">
        <v>178000</v>
      </c>
      <c r="G251" t="s">
        <v>3943</v>
      </c>
      <c r="H251" s="3">
        <v>43393</v>
      </c>
      <c r="I251" t="s">
        <v>53</v>
      </c>
      <c r="J251">
        <v>170000</v>
      </c>
      <c r="K251" s="1"/>
      <c r="M251" s="3">
        <v>43397</v>
      </c>
      <c r="N251" t="s">
        <v>1336</v>
      </c>
      <c r="P251" t="s">
        <v>56</v>
      </c>
      <c r="Q251">
        <v>30000</v>
      </c>
      <c r="R251" s="3">
        <v>43397</v>
      </c>
      <c r="S251" t="s">
        <v>54</v>
      </c>
      <c r="T251" t="s">
        <v>55</v>
      </c>
      <c r="U251" t="s">
        <v>56</v>
      </c>
      <c r="V251">
        <v>105000</v>
      </c>
      <c r="W251" s="3">
        <v>43512</v>
      </c>
      <c r="X251" t="s">
        <v>54</v>
      </c>
      <c r="Y251" t="s">
        <v>2713</v>
      </c>
      <c r="Z251" t="s">
        <v>60</v>
      </c>
      <c r="AA251">
        <v>33500</v>
      </c>
      <c r="AG251" t="s">
        <v>3944</v>
      </c>
      <c r="AH251" s="3">
        <v>43418</v>
      </c>
      <c r="AI251">
        <v>178000</v>
      </c>
      <c r="AJ251">
        <v>0</v>
      </c>
      <c r="AS251" t="s">
        <v>3855</v>
      </c>
      <c r="AT251" s="3">
        <v>43501</v>
      </c>
      <c r="AU251">
        <v>174440</v>
      </c>
      <c r="AV251">
        <v>0</v>
      </c>
      <c r="AW251">
        <v>3560</v>
      </c>
      <c r="AX251">
        <v>0</v>
      </c>
    </row>
    <row r="252" spans="1:50" x14ac:dyDescent="0.25">
      <c r="A252" t="s">
        <v>3945</v>
      </c>
      <c r="B252" s="3">
        <v>43393</v>
      </c>
      <c r="C252" t="s">
        <v>50</v>
      </c>
      <c r="D252" t="s">
        <v>3946</v>
      </c>
      <c r="E252" t="s">
        <v>50</v>
      </c>
      <c r="F252">
        <v>68000</v>
      </c>
      <c r="G252" t="s">
        <v>3947</v>
      </c>
      <c r="H252" s="3">
        <v>43395</v>
      </c>
      <c r="I252" t="s">
        <v>1328</v>
      </c>
      <c r="J252">
        <v>67000</v>
      </c>
      <c r="K252" s="1"/>
      <c r="M252" s="3">
        <v>43397</v>
      </c>
      <c r="N252" t="s">
        <v>1336</v>
      </c>
      <c r="P252" t="s">
        <v>56</v>
      </c>
      <c r="Q252">
        <v>30000</v>
      </c>
      <c r="R252" s="3">
        <v>43397</v>
      </c>
      <c r="S252" t="s">
        <v>54</v>
      </c>
      <c r="T252" t="s">
        <v>1330</v>
      </c>
      <c r="U252" t="s">
        <v>56</v>
      </c>
      <c r="V252">
        <v>26400</v>
      </c>
      <c r="W252" s="3">
        <v>43468</v>
      </c>
      <c r="X252" t="s">
        <v>54</v>
      </c>
      <c r="Y252" t="s">
        <v>1330</v>
      </c>
      <c r="Z252" t="s">
        <v>60</v>
      </c>
      <c r="AA252">
        <v>9800</v>
      </c>
      <c r="AG252" t="s">
        <v>3948</v>
      </c>
      <c r="AH252" s="3">
        <v>43424</v>
      </c>
      <c r="AI252">
        <v>68000</v>
      </c>
      <c r="AJ252">
        <v>0</v>
      </c>
      <c r="AS252" t="s">
        <v>3847</v>
      </c>
      <c r="AT252" s="3">
        <v>43523</v>
      </c>
      <c r="AU252">
        <v>66640</v>
      </c>
      <c r="AV252">
        <v>0</v>
      </c>
      <c r="AW252">
        <v>1360</v>
      </c>
      <c r="AX252">
        <v>0</v>
      </c>
    </row>
    <row r="253" spans="1:50" x14ac:dyDescent="0.25">
      <c r="A253" t="s">
        <v>3949</v>
      </c>
      <c r="B253" s="3">
        <v>43400</v>
      </c>
      <c r="C253" t="s">
        <v>50</v>
      </c>
      <c r="D253" t="s">
        <v>3760</v>
      </c>
      <c r="E253" t="s">
        <v>50</v>
      </c>
      <c r="F253">
        <v>73000</v>
      </c>
      <c r="G253" t="s">
        <v>3950</v>
      </c>
      <c r="H253" s="3">
        <v>43402</v>
      </c>
      <c r="I253" t="s">
        <v>3762</v>
      </c>
      <c r="J253">
        <v>65000</v>
      </c>
      <c r="K253" s="1"/>
      <c r="M253" s="3">
        <v>43403</v>
      </c>
      <c r="N253" t="s">
        <v>1336</v>
      </c>
      <c r="P253" t="s">
        <v>56</v>
      </c>
      <c r="Q253">
        <v>20000</v>
      </c>
      <c r="R253" s="3">
        <v>43403</v>
      </c>
      <c r="S253" t="s">
        <v>54</v>
      </c>
      <c r="T253" t="s">
        <v>3951</v>
      </c>
      <c r="U253" t="s">
        <v>56</v>
      </c>
      <c r="V253">
        <v>34300</v>
      </c>
      <c r="AG253" t="s">
        <v>3952</v>
      </c>
      <c r="AH253" s="3">
        <v>43424</v>
      </c>
      <c r="AI253">
        <v>73000</v>
      </c>
      <c r="AJ253">
        <v>0</v>
      </c>
      <c r="AS253" t="s">
        <v>3847</v>
      </c>
      <c r="AT253" s="3">
        <v>43523</v>
      </c>
      <c r="AU253">
        <v>71540</v>
      </c>
      <c r="AV253">
        <v>0</v>
      </c>
      <c r="AW253">
        <v>1460</v>
      </c>
      <c r="AX253">
        <v>0</v>
      </c>
    </row>
    <row r="254" spans="1:50" x14ac:dyDescent="0.25">
      <c r="A254" t="s">
        <v>3953</v>
      </c>
      <c r="B254" s="3">
        <v>43421</v>
      </c>
      <c r="C254" t="s">
        <v>50</v>
      </c>
      <c r="D254" t="s">
        <v>3954</v>
      </c>
      <c r="E254" t="s">
        <v>50</v>
      </c>
      <c r="F254">
        <v>65000</v>
      </c>
      <c r="G254" t="s">
        <v>3955</v>
      </c>
      <c r="H254" s="3">
        <v>43421</v>
      </c>
      <c r="I254" t="s">
        <v>1328</v>
      </c>
      <c r="J254">
        <v>60000</v>
      </c>
      <c r="K254" s="1"/>
      <c r="M254" s="3">
        <v>43424</v>
      </c>
      <c r="N254" t="s">
        <v>54</v>
      </c>
      <c r="O254" t="s">
        <v>1330</v>
      </c>
      <c r="P254" t="s">
        <v>56</v>
      </c>
      <c r="Q254">
        <v>29400</v>
      </c>
      <c r="R254" s="3">
        <v>43424</v>
      </c>
      <c r="S254" t="s">
        <v>1336</v>
      </c>
      <c r="T254" t="s">
        <v>3956</v>
      </c>
      <c r="U254" t="s">
        <v>56</v>
      </c>
      <c r="V254">
        <v>25000</v>
      </c>
      <c r="W254" s="3">
        <v>43532</v>
      </c>
      <c r="X254" t="s">
        <v>54</v>
      </c>
      <c r="Y254" t="s">
        <v>3833</v>
      </c>
      <c r="Z254" t="s">
        <v>60</v>
      </c>
      <c r="AA254">
        <v>4900</v>
      </c>
      <c r="AG254" t="s">
        <v>3957</v>
      </c>
      <c r="AH254" s="3">
        <v>43550</v>
      </c>
      <c r="AI254">
        <v>65000</v>
      </c>
      <c r="AJ254">
        <v>65000</v>
      </c>
    </row>
    <row r="255" spans="1:50" x14ac:dyDescent="0.25">
      <c r="A255" t="s">
        <v>3958</v>
      </c>
      <c r="B255" s="3">
        <v>43421</v>
      </c>
      <c r="C255" t="s">
        <v>50</v>
      </c>
      <c r="D255" t="s">
        <v>3954</v>
      </c>
      <c r="E255" t="s">
        <v>50</v>
      </c>
      <c r="F255">
        <v>75000</v>
      </c>
      <c r="G255" t="s">
        <v>3959</v>
      </c>
      <c r="H255" s="3">
        <v>43421</v>
      </c>
      <c r="I255" t="s">
        <v>3926</v>
      </c>
      <c r="J255">
        <v>69000</v>
      </c>
      <c r="K255" s="1"/>
      <c r="M255" s="3">
        <v>43424</v>
      </c>
      <c r="N255" t="s">
        <v>57</v>
      </c>
      <c r="O255" t="s">
        <v>3960</v>
      </c>
      <c r="P255" t="s">
        <v>56</v>
      </c>
      <c r="Q255">
        <v>2000</v>
      </c>
      <c r="R255" s="3">
        <v>43424</v>
      </c>
      <c r="S255" t="s">
        <v>1336</v>
      </c>
      <c r="T255" t="s">
        <v>3961</v>
      </c>
      <c r="U255" t="s">
        <v>56</v>
      </c>
      <c r="V255">
        <v>30000</v>
      </c>
      <c r="W255" s="3">
        <v>43424</v>
      </c>
      <c r="X255" t="s">
        <v>54</v>
      </c>
      <c r="Y255" t="s">
        <v>3962</v>
      </c>
      <c r="Z255" t="s">
        <v>56</v>
      </c>
      <c r="AA255">
        <v>26200</v>
      </c>
      <c r="AB255" s="3">
        <v>43476</v>
      </c>
      <c r="AC255" t="s">
        <v>54</v>
      </c>
      <c r="AD255" t="s">
        <v>3918</v>
      </c>
      <c r="AE255" t="s">
        <v>60</v>
      </c>
      <c r="AF255">
        <v>9800</v>
      </c>
      <c r="AG255" t="s">
        <v>3963</v>
      </c>
      <c r="AH255" s="3">
        <v>43528</v>
      </c>
      <c r="AI255">
        <v>75000</v>
      </c>
      <c r="AJ255">
        <v>75000</v>
      </c>
    </row>
    <row r="256" spans="1:50" x14ac:dyDescent="0.25">
      <c r="A256" t="s">
        <v>3964</v>
      </c>
      <c r="B256" s="3">
        <v>43421</v>
      </c>
      <c r="C256" t="s">
        <v>50</v>
      </c>
      <c r="D256" t="s">
        <v>3954</v>
      </c>
      <c r="E256" t="s">
        <v>50</v>
      </c>
      <c r="F256">
        <v>0</v>
      </c>
      <c r="K256" s="1"/>
      <c r="AG256" t="s">
        <v>3963</v>
      </c>
      <c r="AH256" s="3">
        <v>43528</v>
      </c>
      <c r="AI256">
        <v>0</v>
      </c>
      <c r="AJ256">
        <v>75000</v>
      </c>
    </row>
    <row r="257" spans="1:36" x14ac:dyDescent="0.25">
      <c r="A257" t="s">
        <v>3965</v>
      </c>
      <c r="B257" s="3">
        <v>43421</v>
      </c>
      <c r="C257" t="s">
        <v>50</v>
      </c>
      <c r="D257" t="s">
        <v>3966</v>
      </c>
      <c r="E257" t="s">
        <v>50</v>
      </c>
      <c r="F257">
        <v>49000</v>
      </c>
      <c r="G257" t="s">
        <v>3967</v>
      </c>
      <c r="H257" s="3">
        <v>43423</v>
      </c>
      <c r="I257" t="s">
        <v>1328</v>
      </c>
      <c r="J257">
        <v>44000</v>
      </c>
      <c r="K257" s="1"/>
      <c r="M257" s="3">
        <v>43428</v>
      </c>
      <c r="N257" t="s">
        <v>54</v>
      </c>
      <c r="O257" t="s">
        <v>1330</v>
      </c>
      <c r="P257" t="s">
        <v>56</v>
      </c>
      <c r="Q257">
        <v>19500</v>
      </c>
      <c r="R257" s="3">
        <v>43428</v>
      </c>
      <c r="S257" t="s">
        <v>1336</v>
      </c>
      <c r="T257" t="s">
        <v>3968</v>
      </c>
      <c r="U257" t="s">
        <v>56</v>
      </c>
      <c r="V257">
        <v>20000</v>
      </c>
      <c r="W257" s="3">
        <v>43542</v>
      </c>
      <c r="X257" t="s">
        <v>54</v>
      </c>
      <c r="Y257" t="s">
        <v>3833</v>
      </c>
      <c r="Z257" t="s">
        <v>60</v>
      </c>
      <c r="AA257">
        <v>3900</v>
      </c>
      <c r="AG257" t="s">
        <v>3969</v>
      </c>
      <c r="AH257" s="3">
        <v>43469</v>
      </c>
      <c r="AI257">
        <v>49000</v>
      </c>
      <c r="AJ257">
        <v>49000</v>
      </c>
    </row>
    <row r="258" spans="1:36" x14ac:dyDescent="0.25">
      <c r="A258" t="s">
        <v>3970</v>
      </c>
      <c r="B258" s="3">
        <v>43425</v>
      </c>
      <c r="C258" t="s">
        <v>50</v>
      </c>
      <c r="D258" t="s">
        <v>3971</v>
      </c>
      <c r="E258" t="s">
        <v>50</v>
      </c>
      <c r="F258">
        <v>90000</v>
      </c>
      <c r="G258" t="s">
        <v>3972</v>
      </c>
      <c r="H258" s="3">
        <v>43425</v>
      </c>
      <c r="I258" t="s">
        <v>1328</v>
      </c>
      <c r="J258">
        <v>80000</v>
      </c>
      <c r="K258" s="1"/>
      <c r="M258" s="3">
        <v>43428</v>
      </c>
      <c r="N258" t="s">
        <v>54</v>
      </c>
      <c r="O258" t="s">
        <v>1330</v>
      </c>
      <c r="P258" t="s">
        <v>56</v>
      </c>
      <c r="Q258">
        <v>39400</v>
      </c>
      <c r="R258" s="3">
        <v>43428</v>
      </c>
      <c r="S258" t="s">
        <v>1336</v>
      </c>
      <c r="T258" t="s">
        <v>3973</v>
      </c>
      <c r="U258" t="s">
        <v>56</v>
      </c>
      <c r="V258">
        <v>30000</v>
      </c>
      <c r="W258" s="3">
        <v>43532</v>
      </c>
      <c r="X258" t="s">
        <v>54</v>
      </c>
      <c r="Y258" t="s">
        <v>3833</v>
      </c>
      <c r="Z258" t="s">
        <v>60</v>
      </c>
      <c r="AA258">
        <v>9800</v>
      </c>
      <c r="AG258" t="s">
        <v>3974</v>
      </c>
      <c r="AH258" s="3">
        <v>43469</v>
      </c>
      <c r="AI258">
        <v>90000</v>
      </c>
      <c r="AJ258">
        <v>90000</v>
      </c>
    </row>
    <row r="259" spans="1:36" x14ac:dyDescent="0.25">
      <c r="A259" t="s">
        <v>3975</v>
      </c>
      <c r="B259" s="3">
        <v>43425</v>
      </c>
      <c r="C259" t="s">
        <v>50</v>
      </c>
      <c r="D259" t="s">
        <v>3976</v>
      </c>
      <c r="E259" t="s">
        <v>50</v>
      </c>
      <c r="F259">
        <v>55000</v>
      </c>
      <c r="G259" t="s">
        <v>3977</v>
      </c>
      <c r="H259" s="3">
        <v>43425</v>
      </c>
      <c r="I259" t="s">
        <v>1305</v>
      </c>
      <c r="J259">
        <v>50000</v>
      </c>
      <c r="K259" s="1"/>
      <c r="M259" s="3">
        <v>43428</v>
      </c>
      <c r="N259" t="s">
        <v>54</v>
      </c>
      <c r="O259" t="s">
        <v>1306</v>
      </c>
      <c r="P259" t="s">
        <v>56</v>
      </c>
      <c r="Q259">
        <v>34300</v>
      </c>
      <c r="R259" s="3">
        <v>43428</v>
      </c>
      <c r="S259" t="s">
        <v>1336</v>
      </c>
      <c r="T259" t="s">
        <v>3978</v>
      </c>
      <c r="U259" t="s">
        <v>56</v>
      </c>
      <c r="V259">
        <v>10000</v>
      </c>
      <c r="W259" s="3">
        <v>43512</v>
      </c>
      <c r="X259" t="s">
        <v>54</v>
      </c>
      <c r="Y259" t="s">
        <v>1305</v>
      </c>
      <c r="Z259" t="s">
        <v>60</v>
      </c>
      <c r="AA259">
        <v>4900</v>
      </c>
      <c r="AG259" t="s">
        <v>3979</v>
      </c>
      <c r="AH259" s="3">
        <v>43469</v>
      </c>
      <c r="AI259">
        <v>55000</v>
      </c>
      <c r="AJ259">
        <v>55000</v>
      </c>
    </row>
    <row r="260" spans="1:36" x14ac:dyDescent="0.25">
      <c r="A260" t="s">
        <v>3980</v>
      </c>
      <c r="B260" s="3">
        <v>43426</v>
      </c>
      <c r="C260" t="s">
        <v>50</v>
      </c>
      <c r="D260" t="s">
        <v>3899</v>
      </c>
      <c r="E260" t="s">
        <v>50</v>
      </c>
      <c r="F260">
        <v>35000</v>
      </c>
      <c r="G260" t="s">
        <v>3981</v>
      </c>
      <c r="H260" s="3">
        <v>43426</v>
      </c>
      <c r="I260" t="s">
        <v>344</v>
      </c>
      <c r="J260">
        <v>31000</v>
      </c>
      <c r="K260" s="1"/>
      <c r="M260" s="3">
        <v>43428</v>
      </c>
      <c r="N260" t="s">
        <v>54</v>
      </c>
      <c r="O260" t="s">
        <v>981</v>
      </c>
      <c r="P260" t="s">
        <v>56</v>
      </c>
      <c r="Q260">
        <v>11800</v>
      </c>
      <c r="R260" s="3">
        <v>43428</v>
      </c>
      <c r="S260" t="s">
        <v>57</v>
      </c>
      <c r="T260" t="s">
        <v>3982</v>
      </c>
      <c r="U260" t="s">
        <v>56</v>
      </c>
      <c r="V260">
        <v>6000</v>
      </c>
      <c r="W260" s="3">
        <v>43428</v>
      </c>
      <c r="X260" t="s">
        <v>1336</v>
      </c>
      <c r="Y260" t="s">
        <v>3982</v>
      </c>
      <c r="Z260" t="s">
        <v>56</v>
      </c>
      <c r="AA260">
        <v>10000</v>
      </c>
      <c r="AB260" s="3">
        <v>43512</v>
      </c>
      <c r="AC260" t="s">
        <v>54</v>
      </c>
      <c r="AD260" t="s">
        <v>410</v>
      </c>
      <c r="AE260" t="s">
        <v>60</v>
      </c>
      <c r="AF260">
        <v>2900</v>
      </c>
      <c r="AG260" t="s">
        <v>3983</v>
      </c>
      <c r="AH260" s="3">
        <v>43459</v>
      </c>
      <c r="AI260">
        <v>35000</v>
      </c>
      <c r="AJ260">
        <v>35000</v>
      </c>
    </row>
    <row r="261" spans="1:36" x14ac:dyDescent="0.25">
      <c r="A261" t="s">
        <v>3984</v>
      </c>
      <c r="B261" s="3">
        <v>43426</v>
      </c>
      <c r="C261" t="s">
        <v>50</v>
      </c>
      <c r="D261" t="s">
        <v>1236</v>
      </c>
      <c r="E261" t="s">
        <v>50</v>
      </c>
      <c r="F261">
        <v>76500</v>
      </c>
      <c r="G261" t="s">
        <v>3985</v>
      </c>
      <c r="H261" s="3">
        <v>43426</v>
      </c>
      <c r="I261" t="s">
        <v>1305</v>
      </c>
      <c r="J261">
        <v>60000</v>
      </c>
      <c r="K261" s="1"/>
      <c r="M261" s="3">
        <v>43428</v>
      </c>
      <c r="N261" t="s">
        <v>54</v>
      </c>
      <c r="O261" t="s">
        <v>1306</v>
      </c>
      <c r="P261" t="s">
        <v>56</v>
      </c>
      <c r="Q261">
        <v>24300</v>
      </c>
      <c r="R261" s="3">
        <v>43428</v>
      </c>
      <c r="S261" t="s">
        <v>54</v>
      </c>
      <c r="T261" t="s">
        <v>3599</v>
      </c>
      <c r="U261" t="s">
        <v>56</v>
      </c>
      <c r="V261">
        <v>20000</v>
      </c>
      <c r="W261" s="3">
        <v>43428</v>
      </c>
      <c r="X261" t="s">
        <v>1336</v>
      </c>
      <c r="Y261" t="s">
        <v>3986</v>
      </c>
      <c r="Z261" t="s">
        <v>56</v>
      </c>
      <c r="AA261">
        <v>10000</v>
      </c>
      <c r="AB261" s="3">
        <v>43512</v>
      </c>
      <c r="AC261" t="s">
        <v>54</v>
      </c>
      <c r="AD261" t="s">
        <v>1305</v>
      </c>
      <c r="AE261" t="s">
        <v>60</v>
      </c>
      <c r="AF261">
        <v>4900</v>
      </c>
      <c r="AG261" t="s">
        <v>3987</v>
      </c>
      <c r="AH261" s="3">
        <v>43458</v>
      </c>
      <c r="AI261">
        <v>76500</v>
      </c>
      <c r="AJ261">
        <v>76500</v>
      </c>
    </row>
    <row r="262" spans="1:36" x14ac:dyDescent="0.25">
      <c r="A262" t="s">
        <v>3988</v>
      </c>
      <c r="B262" s="3">
        <v>43426</v>
      </c>
      <c r="C262" t="s">
        <v>50</v>
      </c>
      <c r="D262" t="s">
        <v>3989</v>
      </c>
      <c r="E262" t="s">
        <v>50</v>
      </c>
      <c r="F262">
        <v>95000</v>
      </c>
      <c r="G262" t="s">
        <v>3990</v>
      </c>
      <c r="H262" s="3">
        <v>43426</v>
      </c>
      <c r="I262" t="s">
        <v>1305</v>
      </c>
      <c r="J262">
        <v>85000</v>
      </c>
      <c r="K262" s="1"/>
      <c r="M262" s="3">
        <v>43434</v>
      </c>
      <c r="N262" t="s">
        <v>54</v>
      </c>
      <c r="O262" t="s">
        <v>1306</v>
      </c>
      <c r="P262" t="s">
        <v>56</v>
      </c>
      <c r="Q262">
        <v>74100</v>
      </c>
      <c r="R262" s="3">
        <v>43512</v>
      </c>
      <c r="S262" t="s">
        <v>54</v>
      </c>
      <c r="T262" t="s">
        <v>1305</v>
      </c>
      <c r="U262" t="s">
        <v>60</v>
      </c>
      <c r="V262">
        <v>9800</v>
      </c>
      <c r="AG262" t="s">
        <v>3991</v>
      </c>
      <c r="AH262" s="3">
        <v>43469</v>
      </c>
      <c r="AI262">
        <v>95000</v>
      </c>
      <c r="AJ262">
        <v>95000</v>
      </c>
    </row>
    <row r="263" spans="1:36" x14ac:dyDescent="0.25">
      <c r="A263" t="s">
        <v>3992</v>
      </c>
      <c r="B263" s="3">
        <v>43427</v>
      </c>
      <c r="C263" t="s">
        <v>50</v>
      </c>
      <c r="D263" t="s">
        <v>3989</v>
      </c>
      <c r="E263" t="s">
        <v>50</v>
      </c>
      <c r="F263">
        <v>115000</v>
      </c>
      <c r="G263" t="s">
        <v>3993</v>
      </c>
      <c r="H263" s="3">
        <v>43427</v>
      </c>
      <c r="I263" t="s">
        <v>1305</v>
      </c>
      <c r="J263">
        <v>105000</v>
      </c>
      <c r="K263" s="1"/>
      <c r="M263" s="3">
        <v>43434</v>
      </c>
      <c r="N263" t="s">
        <v>54</v>
      </c>
      <c r="O263" t="s">
        <v>1306</v>
      </c>
      <c r="P263" t="s">
        <v>56</v>
      </c>
      <c r="Q263">
        <v>84100</v>
      </c>
      <c r="R263" s="3">
        <v>43512</v>
      </c>
      <c r="S263" t="s">
        <v>54</v>
      </c>
      <c r="T263" t="s">
        <v>1305</v>
      </c>
      <c r="U263" t="s">
        <v>60</v>
      </c>
      <c r="V263">
        <v>19700</v>
      </c>
      <c r="AG263" t="s">
        <v>3994</v>
      </c>
      <c r="AH263" s="3">
        <v>43469</v>
      </c>
      <c r="AI263">
        <v>115000</v>
      </c>
      <c r="AJ263">
        <v>115000</v>
      </c>
    </row>
    <row r="264" spans="1:36" x14ac:dyDescent="0.25">
      <c r="A264" t="s">
        <v>3995</v>
      </c>
      <c r="B264" s="3">
        <v>43433</v>
      </c>
      <c r="C264" t="s">
        <v>50</v>
      </c>
      <c r="D264" t="s">
        <v>3989</v>
      </c>
      <c r="E264" t="s">
        <v>50</v>
      </c>
      <c r="F264">
        <v>31000</v>
      </c>
      <c r="G264" t="s">
        <v>3996</v>
      </c>
      <c r="H264" s="3">
        <v>43433</v>
      </c>
      <c r="I264" t="s">
        <v>399</v>
      </c>
      <c r="J264">
        <v>28000</v>
      </c>
      <c r="K264" s="1"/>
      <c r="M264" s="3">
        <v>43439</v>
      </c>
      <c r="N264" t="s">
        <v>1336</v>
      </c>
      <c r="P264" t="s">
        <v>56</v>
      </c>
      <c r="Q264">
        <v>10000</v>
      </c>
      <c r="R264" s="3">
        <v>43439</v>
      </c>
      <c r="S264" t="s">
        <v>54</v>
      </c>
      <c r="T264" t="s">
        <v>327</v>
      </c>
      <c r="U264" t="s">
        <v>56</v>
      </c>
      <c r="V264">
        <v>14750</v>
      </c>
      <c r="AG264" t="s">
        <v>3997</v>
      </c>
      <c r="AH264" s="3">
        <v>43528</v>
      </c>
      <c r="AI264">
        <v>31000</v>
      </c>
      <c r="AJ264">
        <v>31000</v>
      </c>
    </row>
    <row r="265" spans="1:36" x14ac:dyDescent="0.25">
      <c r="A265" t="s">
        <v>3998</v>
      </c>
      <c r="B265" s="3">
        <v>43433</v>
      </c>
      <c r="C265" t="s">
        <v>50</v>
      </c>
      <c r="D265" t="s">
        <v>3989</v>
      </c>
      <c r="E265" t="s">
        <v>50</v>
      </c>
      <c r="F265">
        <v>0</v>
      </c>
      <c r="K265" s="1"/>
      <c r="AG265" t="s">
        <v>3997</v>
      </c>
      <c r="AH265" s="3">
        <v>43528</v>
      </c>
      <c r="AI265">
        <v>0</v>
      </c>
      <c r="AJ265">
        <v>31000</v>
      </c>
    </row>
    <row r="266" spans="1:36" x14ac:dyDescent="0.25">
      <c r="A266" t="s">
        <v>3999</v>
      </c>
      <c r="B266" s="3">
        <v>43433</v>
      </c>
      <c r="C266" t="s">
        <v>50</v>
      </c>
      <c r="D266" t="s">
        <v>1236</v>
      </c>
      <c r="E266" t="s">
        <v>50</v>
      </c>
      <c r="F266">
        <v>22000</v>
      </c>
      <c r="G266" t="s">
        <v>4000</v>
      </c>
      <c r="H266" s="3">
        <v>43433</v>
      </c>
      <c r="I266" t="s">
        <v>1328</v>
      </c>
      <c r="J266">
        <v>20000</v>
      </c>
      <c r="K266" s="1"/>
      <c r="M266" s="3">
        <v>43514</v>
      </c>
      <c r="N266" t="s">
        <v>54</v>
      </c>
      <c r="O266" t="s">
        <v>1330</v>
      </c>
      <c r="P266" t="s">
        <v>56</v>
      </c>
      <c r="Q266">
        <v>17750</v>
      </c>
      <c r="R266" s="3">
        <v>43542</v>
      </c>
      <c r="S266" t="s">
        <v>54</v>
      </c>
      <c r="T266" t="s">
        <v>3833</v>
      </c>
      <c r="U266" t="s">
        <v>60</v>
      </c>
      <c r="V266">
        <v>1950</v>
      </c>
      <c r="AG266" t="s">
        <v>4001</v>
      </c>
      <c r="AH266" s="3">
        <v>43458</v>
      </c>
      <c r="AI266">
        <v>22000</v>
      </c>
      <c r="AJ266">
        <v>22000</v>
      </c>
    </row>
    <row r="267" spans="1:36" x14ac:dyDescent="0.25">
      <c r="A267" t="s">
        <v>4002</v>
      </c>
      <c r="B267" s="3">
        <v>43434</v>
      </c>
      <c r="C267" t="s">
        <v>50</v>
      </c>
      <c r="D267" t="s">
        <v>1236</v>
      </c>
      <c r="E267" t="s">
        <v>50</v>
      </c>
      <c r="F267">
        <v>21000</v>
      </c>
      <c r="G267" t="s">
        <v>4003</v>
      </c>
      <c r="H267" s="3">
        <v>43434</v>
      </c>
      <c r="I267" t="s">
        <v>230</v>
      </c>
      <c r="J267">
        <v>18000</v>
      </c>
      <c r="K267" s="1"/>
      <c r="M267" s="3">
        <v>43445</v>
      </c>
      <c r="N267" t="s">
        <v>54</v>
      </c>
      <c r="O267" t="s">
        <v>305</v>
      </c>
      <c r="P267" t="s">
        <v>56</v>
      </c>
      <c r="Q267">
        <v>15800</v>
      </c>
      <c r="R267" s="3">
        <v>43514</v>
      </c>
      <c r="S267" t="s">
        <v>54</v>
      </c>
      <c r="T267" t="s">
        <v>4004</v>
      </c>
      <c r="U267" t="s">
        <v>60</v>
      </c>
      <c r="V267">
        <v>1950</v>
      </c>
      <c r="AG267" t="s">
        <v>4005</v>
      </c>
      <c r="AH267" s="3">
        <v>43458</v>
      </c>
      <c r="AI267">
        <v>21000</v>
      </c>
      <c r="AJ267">
        <v>21000</v>
      </c>
    </row>
    <row r="268" spans="1:36" x14ac:dyDescent="0.25">
      <c r="A268" t="s">
        <v>4006</v>
      </c>
      <c r="B268" s="3">
        <v>43441</v>
      </c>
      <c r="C268" t="s">
        <v>50</v>
      </c>
      <c r="D268" t="s">
        <v>4007</v>
      </c>
      <c r="E268" t="s">
        <v>50</v>
      </c>
      <c r="F268">
        <v>70000</v>
      </c>
      <c r="G268" t="s">
        <v>4008</v>
      </c>
      <c r="H268" s="3">
        <v>43441</v>
      </c>
      <c r="I268" t="s">
        <v>1328</v>
      </c>
      <c r="J268">
        <v>61000</v>
      </c>
      <c r="K268" s="1"/>
      <c r="M268" s="3">
        <v>43449</v>
      </c>
      <c r="N268" t="s">
        <v>1336</v>
      </c>
      <c r="P268" t="s">
        <v>56</v>
      </c>
      <c r="Q268">
        <v>20000</v>
      </c>
      <c r="R268" s="3">
        <v>43449</v>
      </c>
      <c r="S268" t="s">
        <v>54</v>
      </c>
      <c r="T268" t="s">
        <v>1328</v>
      </c>
      <c r="U268" t="s">
        <v>56</v>
      </c>
      <c r="V268">
        <v>35400</v>
      </c>
      <c r="W268" s="3">
        <v>43542</v>
      </c>
      <c r="X268" t="s">
        <v>54</v>
      </c>
      <c r="Y268" t="s">
        <v>3833</v>
      </c>
      <c r="Z268" t="s">
        <v>60</v>
      </c>
      <c r="AA268">
        <v>4900</v>
      </c>
      <c r="AG268" t="s">
        <v>4009</v>
      </c>
      <c r="AH268" s="3">
        <v>43494</v>
      </c>
      <c r="AI268">
        <v>70000</v>
      </c>
      <c r="AJ268">
        <v>70000</v>
      </c>
    </row>
    <row r="269" spans="1:36" x14ac:dyDescent="0.25">
      <c r="A269" t="s">
        <v>4010</v>
      </c>
      <c r="B269" s="3">
        <v>43441</v>
      </c>
      <c r="C269" t="s">
        <v>50</v>
      </c>
      <c r="D269" t="s">
        <v>4011</v>
      </c>
      <c r="E269" t="s">
        <v>50</v>
      </c>
      <c r="F269">
        <v>69000</v>
      </c>
      <c r="G269" t="s">
        <v>4012</v>
      </c>
      <c r="H269" s="3">
        <v>43441</v>
      </c>
      <c r="I269" t="s">
        <v>1328</v>
      </c>
      <c r="J269">
        <v>72000</v>
      </c>
      <c r="K269" s="1"/>
      <c r="M269" s="3">
        <v>43449</v>
      </c>
      <c r="N269" t="s">
        <v>1336</v>
      </c>
      <c r="P269" t="s">
        <v>56</v>
      </c>
      <c r="Q269">
        <v>30000</v>
      </c>
      <c r="R269" s="3">
        <v>43449</v>
      </c>
      <c r="S269" t="s">
        <v>54</v>
      </c>
      <c r="T269" t="s">
        <v>1328</v>
      </c>
      <c r="U269" t="s">
        <v>56</v>
      </c>
      <c r="V269">
        <v>31400</v>
      </c>
      <c r="AG269" t="s">
        <v>4013</v>
      </c>
      <c r="AH269" s="3">
        <v>43494</v>
      </c>
      <c r="AI269">
        <v>69000</v>
      </c>
      <c r="AJ269">
        <v>69000</v>
      </c>
    </row>
    <row r="270" spans="1:36" x14ac:dyDescent="0.25">
      <c r="A270" t="s">
        <v>4014</v>
      </c>
      <c r="B270" s="3">
        <v>43447</v>
      </c>
      <c r="C270" t="s">
        <v>50</v>
      </c>
      <c r="D270" t="s">
        <v>4015</v>
      </c>
      <c r="E270" t="s">
        <v>50</v>
      </c>
      <c r="F270">
        <v>55000</v>
      </c>
      <c r="G270" t="s">
        <v>4016</v>
      </c>
      <c r="H270" s="3">
        <v>43447</v>
      </c>
      <c r="I270" t="s">
        <v>1328</v>
      </c>
      <c r="J270">
        <v>49000</v>
      </c>
      <c r="K270" s="1"/>
      <c r="M270" s="3">
        <v>43449</v>
      </c>
      <c r="N270" t="s">
        <v>1336</v>
      </c>
      <c r="P270" t="s">
        <v>56</v>
      </c>
      <c r="Q270">
        <v>30000</v>
      </c>
      <c r="R270" s="3">
        <v>43455</v>
      </c>
      <c r="S270" t="s">
        <v>54</v>
      </c>
      <c r="T270" t="s">
        <v>2125</v>
      </c>
      <c r="U270" t="s">
        <v>56</v>
      </c>
      <c r="V270">
        <v>13400</v>
      </c>
      <c r="W270" s="3">
        <v>43532</v>
      </c>
      <c r="X270" t="s">
        <v>54</v>
      </c>
      <c r="Y270" t="s">
        <v>3833</v>
      </c>
      <c r="Z270" t="s">
        <v>60</v>
      </c>
      <c r="AA270">
        <v>4900</v>
      </c>
      <c r="AG270" t="s">
        <v>4017</v>
      </c>
      <c r="AH270" s="3">
        <v>43494</v>
      </c>
      <c r="AI270">
        <v>55000</v>
      </c>
      <c r="AJ270">
        <v>55000</v>
      </c>
    </row>
    <row r="271" spans="1:36" x14ac:dyDescent="0.25">
      <c r="A271" t="s">
        <v>4018</v>
      </c>
      <c r="B271" s="3">
        <v>43451</v>
      </c>
      <c r="C271" t="s">
        <v>50</v>
      </c>
      <c r="D271" t="s">
        <v>4019</v>
      </c>
      <c r="E271" t="s">
        <v>50</v>
      </c>
      <c r="F271">
        <v>58000</v>
      </c>
      <c r="G271" t="s">
        <v>4020</v>
      </c>
      <c r="H271" s="3">
        <v>43451</v>
      </c>
      <c r="I271" t="s">
        <v>1328</v>
      </c>
      <c r="J271">
        <v>53000</v>
      </c>
      <c r="K271" s="1"/>
      <c r="M271" s="3">
        <v>43455</v>
      </c>
      <c r="N271" t="s">
        <v>1336</v>
      </c>
      <c r="O271" t="s">
        <v>2125</v>
      </c>
      <c r="P271" t="s">
        <v>56</v>
      </c>
      <c r="Q271">
        <v>30000</v>
      </c>
      <c r="R271" s="3">
        <v>43455</v>
      </c>
      <c r="S271" t="s">
        <v>54</v>
      </c>
      <c r="T271" t="s">
        <v>2125</v>
      </c>
      <c r="U271" t="s">
        <v>56</v>
      </c>
      <c r="V271">
        <v>17400</v>
      </c>
      <c r="W271" s="3">
        <v>43542</v>
      </c>
      <c r="X271" t="s">
        <v>54</v>
      </c>
      <c r="Y271" t="s">
        <v>3833</v>
      </c>
      <c r="Z271" t="s">
        <v>60</v>
      </c>
      <c r="AA271">
        <v>4900</v>
      </c>
      <c r="AG271" t="s">
        <v>4021</v>
      </c>
      <c r="AH271" s="3">
        <v>43483</v>
      </c>
      <c r="AI271">
        <v>58000</v>
      </c>
      <c r="AJ271">
        <v>58000</v>
      </c>
    </row>
    <row r="272" spans="1:36" x14ac:dyDescent="0.25">
      <c r="A272" t="s">
        <v>4022</v>
      </c>
      <c r="B272" s="3">
        <v>43454</v>
      </c>
      <c r="C272" t="s">
        <v>50</v>
      </c>
      <c r="D272" t="s">
        <v>4023</v>
      </c>
      <c r="E272" t="s">
        <v>50</v>
      </c>
      <c r="F272">
        <v>0</v>
      </c>
      <c r="G272" t="s">
        <v>4024</v>
      </c>
      <c r="H272" s="3">
        <v>43454</v>
      </c>
      <c r="I272" t="s">
        <v>339</v>
      </c>
      <c r="J272">
        <v>27000</v>
      </c>
      <c r="K272" s="1"/>
      <c r="M272" s="3">
        <v>43465</v>
      </c>
      <c r="N272" t="s">
        <v>54</v>
      </c>
      <c r="O272" t="s">
        <v>327</v>
      </c>
      <c r="P272" t="s">
        <v>56</v>
      </c>
      <c r="Q272">
        <v>23750</v>
      </c>
      <c r="R272" s="3">
        <v>43564</v>
      </c>
      <c r="S272" t="s">
        <v>54</v>
      </c>
      <c r="T272" t="s">
        <v>399</v>
      </c>
      <c r="U272" t="s">
        <v>60</v>
      </c>
      <c r="V272">
        <v>2950</v>
      </c>
      <c r="AG272" t="s">
        <v>4025</v>
      </c>
      <c r="AH272" s="3">
        <v>43483</v>
      </c>
      <c r="AI272">
        <v>0</v>
      </c>
      <c r="AJ272">
        <v>31000</v>
      </c>
    </row>
    <row r="273" spans="1:36" x14ac:dyDescent="0.25">
      <c r="A273" t="s">
        <v>4026</v>
      </c>
      <c r="B273" s="3">
        <v>43454</v>
      </c>
      <c r="C273" t="s">
        <v>50</v>
      </c>
      <c r="D273" t="s">
        <v>4023</v>
      </c>
      <c r="E273" t="s">
        <v>50</v>
      </c>
      <c r="F273">
        <v>31000</v>
      </c>
      <c r="K273" s="1"/>
      <c r="AG273" t="s">
        <v>4025</v>
      </c>
      <c r="AH273" s="3">
        <v>43483</v>
      </c>
      <c r="AI273">
        <v>31000</v>
      </c>
      <c r="AJ273">
        <v>31000</v>
      </c>
    </row>
    <row r="274" spans="1:36" x14ac:dyDescent="0.25">
      <c r="A274" t="s">
        <v>4027</v>
      </c>
      <c r="B274" s="3">
        <v>43459</v>
      </c>
      <c r="C274" t="s">
        <v>50</v>
      </c>
      <c r="D274" t="s">
        <v>4028</v>
      </c>
      <c r="E274" t="s">
        <v>50</v>
      </c>
      <c r="F274">
        <v>145000</v>
      </c>
      <c r="G274" t="s">
        <v>4029</v>
      </c>
      <c r="H274" s="3">
        <v>43459</v>
      </c>
      <c r="I274" t="s">
        <v>1305</v>
      </c>
      <c r="J274">
        <v>135000</v>
      </c>
      <c r="K274" s="1"/>
      <c r="M274" s="3">
        <v>43465</v>
      </c>
      <c r="N274" t="s">
        <v>54</v>
      </c>
      <c r="O274" t="s">
        <v>1623</v>
      </c>
      <c r="P274" t="s">
        <v>56</v>
      </c>
      <c r="Q274">
        <v>84100</v>
      </c>
      <c r="R274" s="3">
        <v>43465</v>
      </c>
      <c r="S274" t="s">
        <v>1336</v>
      </c>
      <c r="U274" t="s">
        <v>56</v>
      </c>
      <c r="V274">
        <v>20000</v>
      </c>
      <c r="W274" s="3">
        <v>43468</v>
      </c>
      <c r="X274" t="s">
        <v>54</v>
      </c>
      <c r="Y274" t="s">
        <v>1306</v>
      </c>
      <c r="Z274" t="s">
        <v>56</v>
      </c>
      <c r="AA274">
        <v>10000</v>
      </c>
      <c r="AB274" s="3">
        <v>43514</v>
      </c>
      <c r="AC274" t="s">
        <v>54</v>
      </c>
      <c r="AD274" t="s">
        <v>1306</v>
      </c>
      <c r="AE274" t="s">
        <v>60</v>
      </c>
      <c r="AF274">
        <v>19700</v>
      </c>
      <c r="AG274" t="s">
        <v>4030</v>
      </c>
      <c r="AH274" s="3">
        <v>43496</v>
      </c>
      <c r="AI274">
        <v>145000</v>
      </c>
      <c r="AJ274">
        <v>145000</v>
      </c>
    </row>
    <row r="275" spans="1:36" x14ac:dyDescent="0.25">
      <c r="A275" t="s">
        <v>4031</v>
      </c>
      <c r="B275" s="3">
        <v>43459</v>
      </c>
      <c r="C275" t="s">
        <v>50</v>
      </c>
      <c r="D275" t="s">
        <v>3989</v>
      </c>
      <c r="E275" t="s">
        <v>50</v>
      </c>
      <c r="F275">
        <v>0</v>
      </c>
      <c r="G275" t="s">
        <v>4032</v>
      </c>
      <c r="H275" s="3">
        <v>43460</v>
      </c>
      <c r="I275" t="s">
        <v>344</v>
      </c>
      <c r="J275">
        <v>39000</v>
      </c>
      <c r="K275" s="1"/>
      <c r="M275" s="3">
        <v>43465</v>
      </c>
      <c r="N275" t="s">
        <v>1336</v>
      </c>
      <c r="P275" t="s">
        <v>56</v>
      </c>
      <c r="Q275">
        <v>10000</v>
      </c>
      <c r="R275" s="3">
        <v>43465</v>
      </c>
      <c r="S275" t="s">
        <v>54</v>
      </c>
      <c r="T275" t="s">
        <v>410</v>
      </c>
      <c r="U275" t="s">
        <v>56</v>
      </c>
      <c r="V275">
        <v>15750</v>
      </c>
      <c r="W275" s="3">
        <v>43468</v>
      </c>
      <c r="X275" t="s">
        <v>54</v>
      </c>
      <c r="Y275" t="s">
        <v>632</v>
      </c>
      <c r="Z275" t="s">
        <v>56</v>
      </c>
      <c r="AA275">
        <v>10000</v>
      </c>
      <c r="AB275" s="3">
        <v>43526</v>
      </c>
      <c r="AC275" t="s">
        <v>54</v>
      </c>
      <c r="AD275" t="s">
        <v>410</v>
      </c>
      <c r="AE275" t="s">
        <v>60</v>
      </c>
      <c r="AF275">
        <v>2900</v>
      </c>
      <c r="AG275" t="s">
        <v>4033</v>
      </c>
      <c r="AH275" s="3">
        <v>43496</v>
      </c>
      <c r="AI275">
        <v>0</v>
      </c>
      <c r="AJ275">
        <v>42000</v>
      </c>
    </row>
    <row r="276" spans="1:36" x14ac:dyDescent="0.25">
      <c r="A276" t="s">
        <v>4034</v>
      </c>
      <c r="B276" s="3">
        <v>43459</v>
      </c>
      <c r="C276" t="s">
        <v>50</v>
      </c>
      <c r="D276" t="s">
        <v>4035</v>
      </c>
      <c r="E276" t="s">
        <v>50</v>
      </c>
      <c r="F276">
        <v>42000</v>
      </c>
      <c r="K276" s="1"/>
      <c r="AG276" t="s">
        <v>4033</v>
      </c>
      <c r="AH276" s="3">
        <v>43496</v>
      </c>
      <c r="AI276">
        <v>42000</v>
      </c>
      <c r="AJ276">
        <v>42000</v>
      </c>
    </row>
    <row r="277" spans="1:36" x14ac:dyDescent="0.25">
      <c r="A277" t="s">
        <v>4036</v>
      </c>
      <c r="B277" s="3">
        <v>43459</v>
      </c>
      <c r="C277" t="s">
        <v>50</v>
      </c>
      <c r="D277" t="s">
        <v>4007</v>
      </c>
      <c r="E277" t="s">
        <v>50</v>
      </c>
      <c r="F277">
        <v>94000</v>
      </c>
      <c r="G277" t="s">
        <v>4037</v>
      </c>
      <c r="H277" s="3">
        <v>43462</v>
      </c>
      <c r="I277" t="s">
        <v>3926</v>
      </c>
      <c r="J277">
        <v>85000</v>
      </c>
      <c r="K277" s="1"/>
      <c r="M277" s="3">
        <v>43465</v>
      </c>
      <c r="N277" t="s">
        <v>1336</v>
      </c>
      <c r="P277" t="s">
        <v>56</v>
      </c>
      <c r="Q277">
        <v>10000</v>
      </c>
      <c r="R277" s="3">
        <v>43465</v>
      </c>
      <c r="S277" t="s">
        <v>54</v>
      </c>
      <c r="T277" t="s">
        <v>4038</v>
      </c>
      <c r="U277" t="s">
        <v>56</v>
      </c>
      <c r="V277">
        <v>64200</v>
      </c>
      <c r="AG277" t="s">
        <v>4039</v>
      </c>
      <c r="AH277" s="3">
        <v>43509</v>
      </c>
      <c r="AI277">
        <v>94000</v>
      </c>
      <c r="AJ277">
        <v>94000</v>
      </c>
    </row>
    <row r="278" spans="1:36" x14ac:dyDescent="0.25">
      <c r="A278" t="s">
        <v>4040</v>
      </c>
      <c r="B278" s="3">
        <v>43462</v>
      </c>
      <c r="C278" t="s">
        <v>50</v>
      </c>
      <c r="D278" t="s">
        <v>4007</v>
      </c>
      <c r="E278" t="s">
        <v>50</v>
      </c>
      <c r="F278">
        <v>40000</v>
      </c>
      <c r="G278" t="s">
        <v>4041</v>
      </c>
      <c r="H278" s="3">
        <v>43462</v>
      </c>
      <c r="I278" t="s">
        <v>1328</v>
      </c>
      <c r="J278">
        <v>35000</v>
      </c>
      <c r="K278" s="1"/>
      <c r="M278" s="3">
        <v>43465</v>
      </c>
      <c r="N278" t="s">
        <v>1336</v>
      </c>
      <c r="P278" t="s">
        <v>56</v>
      </c>
      <c r="Q278">
        <v>15000</v>
      </c>
      <c r="R278" s="3">
        <v>43465</v>
      </c>
      <c r="S278" t="s">
        <v>54</v>
      </c>
      <c r="T278" t="s">
        <v>1330</v>
      </c>
      <c r="U278" t="s">
        <v>56</v>
      </c>
      <c r="V278">
        <v>3600</v>
      </c>
      <c r="W278" s="3">
        <v>43468</v>
      </c>
      <c r="X278" t="s">
        <v>54</v>
      </c>
      <c r="Y278" t="s">
        <v>1330</v>
      </c>
      <c r="Z278" t="s">
        <v>56</v>
      </c>
      <c r="AA278">
        <v>12800</v>
      </c>
      <c r="AB278" s="3">
        <v>43542</v>
      </c>
      <c r="AC278" t="s">
        <v>54</v>
      </c>
      <c r="AD278" t="s">
        <v>3833</v>
      </c>
      <c r="AE278" t="s">
        <v>60</v>
      </c>
      <c r="AF278">
        <v>2900</v>
      </c>
      <c r="AG278" t="s">
        <v>4042</v>
      </c>
      <c r="AH278" s="3">
        <v>43488</v>
      </c>
      <c r="AI278">
        <v>40000</v>
      </c>
      <c r="AJ278">
        <v>40000</v>
      </c>
    </row>
    <row r="279" spans="1:36" x14ac:dyDescent="0.25">
      <c r="A279" t="s">
        <v>4043</v>
      </c>
      <c r="B279" s="3">
        <v>43467</v>
      </c>
      <c r="C279" t="s">
        <v>50</v>
      </c>
      <c r="D279" t="s">
        <v>4044</v>
      </c>
      <c r="E279" t="s">
        <v>50</v>
      </c>
      <c r="F279">
        <v>44000</v>
      </c>
      <c r="G279" t="s">
        <v>4045</v>
      </c>
      <c r="H279" s="3">
        <v>43467</v>
      </c>
      <c r="I279" t="s">
        <v>1305</v>
      </c>
      <c r="J279">
        <v>40000</v>
      </c>
      <c r="K279" s="1"/>
      <c r="M279" s="3">
        <v>43468</v>
      </c>
      <c r="N279" t="s">
        <v>1336</v>
      </c>
      <c r="P279" t="s">
        <v>56</v>
      </c>
      <c r="Q279">
        <v>10000</v>
      </c>
      <c r="R279" s="3">
        <v>43468</v>
      </c>
      <c r="S279" t="s">
        <v>54</v>
      </c>
      <c r="T279" t="s">
        <v>1306</v>
      </c>
      <c r="U279" t="s">
        <v>56</v>
      </c>
      <c r="V279">
        <v>19300</v>
      </c>
      <c r="W279" s="3">
        <v>43474</v>
      </c>
      <c r="X279" t="s">
        <v>57</v>
      </c>
      <c r="Z279" t="s">
        <v>56</v>
      </c>
      <c r="AA279">
        <v>5000</v>
      </c>
      <c r="AB279" s="3">
        <v>43545</v>
      </c>
      <c r="AC279" t="s">
        <v>54</v>
      </c>
      <c r="AD279" t="s">
        <v>1306</v>
      </c>
      <c r="AE279" t="s">
        <v>60</v>
      </c>
      <c r="AF279">
        <v>4900</v>
      </c>
      <c r="AG279" t="s">
        <v>4046</v>
      </c>
      <c r="AH279" s="3">
        <v>43494</v>
      </c>
      <c r="AI279">
        <v>44000</v>
      </c>
      <c r="AJ279">
        <v>44000</v>
      </c>
    </row>
    <row r="280" spans="1:36" x14ac:dyDescent="0.25">
      <c r="A280" t="s">
        <v>4047</v>
      </c>
      <c r="B280" s="3">
        <v>43467</v>
      </c>
      <c r="C280" t="s">
        <v>50</v>
      </c>
      <c r="D280" t="s">
        <v>4048</v>
      </c>
      <c r="E280" t="s">
        <v>50</v>
      </c>
      <c r="F280">
        <v>53000</v>
      </c>
      <c r="G280" t="s">
        <v>4049</v>
      </c>
      <c r="H280" s="3">
        <v>43467</v>
      </c>
      <c r="I280" t="s">
        <v>3762</v>
      </c>
      <c r="J280">
        <v>48000</v>
      </c>
      <c r="K280" s="1"/>
      <c r="M280" s="3">
        <v>43476</v>
      </c>
      <c r="N280" t="s">
        <v>1336</v>
      </c>
      <c r="P280" t="s">
        <v>56</v>
      </c>
      <c r="Q280">
        <v>10000</v>
      </c>
      <c r="R280" s="3">
        <v>43476</v>
      </c>
      <c r="S280" t="s">
        <v>54</v>
      </c>
      <c r="T280" t="s">
        <v>4050</v>
      </c>
      <c r="U280" t="s">
        <v>56</v>
      </c>
      <c r="V280">
        <v>33300</v>
      </c>
      <c r="AG280" t="s">
        <v>4051</v>
      </c>
      <c r="AH280" s="3">
        <v>43486</v>
      </c>
      <c r="AI280">
        <v>53000</v>
      </c>
      <c r="AJ280">
        <v>53000</v>
      </c>
    </row>
    <row r="281" spans="1:36" x14ac:dyDescent="0.25">
      <c r="A281" t="s">
        <v>4052</v>
      </c>
      <c r="B281" s="3">
        <v>43467</v>
      </c>
      <c r="C281" t="s">
        <v>50</v>
      </c>
      <c r="D281" t="s">
        <v>4048</v>
      </c>
      <c r="E281" t="s">
        <v>50</v>
      </c>
      <c r="F281">
        <v>0</v>
      </c>
      <c r="K281" s="1"/>
      <c r="AG281" t="s">
        <v>4051</v>
      </c>
      <c r="AH281" s="3">
        <v>43486</v>
      </c>
      <c r="AI281">
        <v>0</v>
      </c>
      <c r="AJ281">
        <v>53000</v>
      </c>
    </row>
    <row r="282" spans="1:36" x14ac:dyDescent="0.25">
      <c r="A282" t="s">
        <v>4057</v>
      </c>
      <c r="B282" s="3">
        <v>43474</v>
      </c>
      <c r="C282" t="s">
        <v>50</v>
      </c>
      <c r="D282" t="s">
        <v>4058</v>
      </c>
      <c r="E282" t="s">
        <v>50</v>
      </c>
      <c r="F282">
        <v>62000</v>
      </c>
      <c r="G282" t="s">
        <v>4059</v>
      </c>
      <c r="H282" s="3">
        <v>43474</v>
      </c>
      <c r="I282" t="s">
        <v>2514</v>
      </c>
      <c r="J282">
        <v>55000</v>
      </c>
      <c r="K282" s="1"/>
      <c r="M282" s="3">
        <v>43476</v>
      </c>
      <c r="N282" t="s">
        <v>1336</v>
      </c>
      <c r="P282" t="s">
        <v>56</v>
      </c>
      <c r="Q282">
        <v>25000</v>
      </c>
      <c r="R282" s="3">
        <v>43476</v>
      </c>
      <c r="S282" t="s">
        <v>54</v>
      </c>
      <c r="T282" t="s">
        <v>4060</v>
      </c>
      <c r="U282" t="s">
        <v>56</v>
      </c>
      <c r="V282">
        <v>24600</v>
      </c>
      <c r="AG282" t="s">
        <v>4061</v>
      </c>
      <c r="AH282" s="3">
        <v>43535</v>
      </c>
      <c r="AI282">
        <v>62000</v>
      </c>
      <c r="AJ282">
        <v>62000</v>
      </c>
    </row>
    <row r="283" spans="1:36" x14ac:dyDescent="0.25">
      <c r="A283" t="s">
        <v>4062</v>
      </c>
      <c r="B283" s="3">
        <v>43484</v>
      </c>
      <c r="C283" t="s">
        <v>50</v>
      </c>
      <c r="D283" t="s">
        <v>4063</v>
      </c>
      <c r="E283" t="s">
        <v>50</v>
      </c>
      <c r="F283">
        <v>51000</v>
      </c>
      <c r="G283" t="s">
        <v>4064</v>
      </c>
      <c r="H283" s="3">
        <v>43486</v>
      </c>
      <c r="I283" t="s">
        <v>1328</v>
      </c>
      <c r="J283">
        <v>49000</v>
      </c>
      <c r="K283" s="1"/>
      <c r="M283" s="3">
        <v>43487</v>
      </c>
      <c r="N283" t="s">
        <v>1336</v>
      </c>
      <c r="O283" t="s">
        <v>4065</v>
      </c>
      <c r="P283" t="s">
        <v>56</v>
      </c>
      <c r="Q283">
        <v>30000</v>
      </c>
      <c r="R283" s="3">
        <v>43490</v>
      </c>
      <c r="S283" t="s">
        <v>54</v>
      </c>
      <c r="T283" t="s">
        <v>1330</v>
      </c>
      <c r="U283" t="s">
        <v>56</v>
      </c>
      <c r="V283">
        <v>13500</v>
      </c>
      <c r="AG283" t="s">
        <v>4066</v>
      </c>
      <c r="AH283" s="3">
        <v>43537</v>
      </c>
      <c r="AI283">
        <v>51000</v>
      </c>
      <c r="AJ283">
        <v>51000</v>
      </c>
    </row>
    <row r="284" spans="1:36" x14ac:dyDescent="0.25">
      <c r="A284" t="s">
        <v>4067</v>
      </c>
      <c r="B284" s="3">
        <v>43490</v>
      </c>
      <c r="C284" t="s">
        <v>50</v>
      </c>
      <c r="D284" t="s">
        <v>4068</v>
      </c>
      <c r="E284" t="s">
        <v>50</v>
      </c>
      <c r="F284">
        <v>60000</v>
      </c>
      <c r="G284" t="s">
        <v>4069</v>
      </c>
      <c r="H284" s="3">
        <v>43490</v>
      </c>
      <c r="I284" t="s">
        <v>2514</v>
      </c>
      <c r="J284">
        <v>55000</v>
      </c>
      <c r="K284" s="1"/>
      <c r="M284" s="3">
        <v>43490</v>
      </c>
      <c r="N284" t="s">
        <v>1336</v>
      </c>
      <c r="O284" t="s">
        <v>2514</v>
      </c>
      <c r="P284" t="s">
        <v>56</v>
      </c>
      <c r="Q284">
        <v>35000</v>
      </c>
      <c r="R284" s="3">
        <v>43495</v>
      </c>
      <c r="S284" t="s">
        <v>1336</v>
      </c>
      <c r="T284" t="s">
        <v>2514</v>
      </c>
      <c r="U284" t="s">
        <v>56</v>
      </c>
      <c r="V284">
        <v>5000</v>
      </c>
      <c r="W284" s="3">
        <v>43507</v>
      </c>
      <c r="X284" t="s">
        <v>54</v>
      </c>
      <c r="Y284" t="s">
        <v>2515</v>
      </c>
      <c r="Z284" t="s">
        <v>56</v>
      </c>
      <c r="AA284">
        <v>9700</v>
      </c>
      <c r="AG284" t="s">
        <v>4070</v>
      </c>
      <c r="AH284" s="3">
        <v>43522</v>
      </c>
      <c r="AI284">
        <v>60000</v>
      </c>
      <c r="AJ284">
        <v>60000</v>
      </c>
    </row>
    <row r="285" spans="1:36" x14ac:dyDescent="0.25">
      <c r="A285" t="s">
        <v>4071</v>
      </c>
      <c r="B285" s="3">
        <v>43490</v>
      </c>
      <c r="C285" t="s">
        <v>50</v>
      </c>
      <c r="D285" t="s">
        <v>4068</v>
      </c>
      <c r="E285" t="s">
        <v>50</v>
      </c>
      <c r="F285">
        <v>0</v>
      </c>
      <c r="K285" s="1"/>
      <c r="AG285" t="s">
        <v>4070</v>
      </c>
      <c r="AH285" s="3">
        <v>43522</v>
      </c>
      <c r="AI285">
        <v>0</v>
      </c>
      <c r="AJ285">
        <v>60000</v>
      </c>
    </row>
    <row r="286" spans="1:36" x14ac:dyDescent="0.25">
      <c r="A286" t="s">
        <v>4072</v>
      </c>
      <c r="B286" s="3">
        <v>43496</v>
      </c>
      <c r="C286" t="s">
        <v>50</v>
      </c>
      <c r="D286" t="s">
        <v>4073</v>
      </c>
      <c r="E286" t="s">
        <v>50</v>
      </c>
      <c r="F286">
        <v>67600</v>
      </c>
      <c r="G286" t="s">
        <v>4074</v>
      </c>
      <c r="H286" s="3">
        <v>43496</v>
      </c>
      <c r="I286" t="s">
        <v>1328</v>
      </c>
      <c r="J286">
        <v>61000</v>
      </c>
      <c r="K286" s="1"/>
      <c r="M286" s="3">
        <v>43496</v>
      </c>
      <c r="N286" t="s">
        <v>1336</v>
      </c>
      <c r="O286" t="s">
        <v>1328</v>
      </c>
      <c r="P286" t="s">
        <v>56</v>
      </c>
      <c r="Q286">
        <v>30000</v>
      </c>
      <c r="R286" s="3">
        <v>43507</v>
      </c>
      <c r="S286" t="s">
        <v>54</v>
      </c>
      <c r="T286" t="s">
        <v>4075</v>
      </c>
      <c r="U286" t="s">
        <v>56</v>
      </c>
      <c r="V286">
        <v>24400</v>
      </c>
      <c r="W286" s="3">
        <v>43537</v>
      </c>
      <c r="X286" t="s">
        <v>54</v>
      </c>
      <c r="Y286" t="s">
        <v>3833</v>
      </c>
      <c r="Z286" t="s">
        <v>60</v>
      </c>
      <c r="AA286">
        <v>5900</v>
      </c>
      <c r="AG286" t="s">
        <v>4076</v>
      </c>
      <c r="AH286" s="3">
        <v>43522</v>
      </c>
      <c r="AI286">
        <v>67600</v>
      </c>
      <c r="AJ286">
        <v>67600</v>
      </c>
    </row>
    <row r="287" spans="1:36" x14ac:dyDescent="0.25">
      <c r="A287" t="s">
        <v>4077</v>
      </c>
      <c r="B287" s="3">
        <v>43496</v>
      </c>
      <c r="C287" t="s">
        <v>50</v>
      </c>
      <c r="D287" t="s">
        <v>4078</v>
      </c>
      <c r="E287" t="s">
        <v>50</v>
      </c>
      <c r="F287">
        <v>45000</v>
      </c>
      <c r="G287" t="s">
        <v>4079</v>
      </c>
      <c r="H287" s="3">
        <v>43496</v>
      </c>
      <c r="I287" t="s">
        <v>344</v>
      </c>
      <c r="J287">
        <v>40000</v>
      </c>
      <c r="K287" s="1"/>
      <c r="M287" s="3">
        <v>43497</v>
      </c>
      <c r="N287" t="s">
        <v>1336</v>
      </c>
      <c r="O287" t="s">
        <v>4080</v>
      </c>
      <c r="P287" t="s">
        <v>56</v>
      </c>
      <c r="Q287">
        <v>20000</v>
      </c>
      <c r="R287" s="3">
        <v>43501</v>
      </c>
      <c r="S287" t="s">
        <v>54</v>
      </c>
      <c r="T287" t="s">
        <v>1093</v>
      </c>
      <c r="U287" t="s">
        <v>56</v>
      </c>
      <c r="V287">
        <v>16800</v>
      </c>
      <c r="W287" s="3">
        <v>43537</v>
      </c>
      <c r="X287" t="s">
        <v>54</v>
      </c>
      <c r="Y287" t="s">
        <v>410</v>
      </c>
      <c r="Z287" t="s">
        <v>60</v>
      </c>
      <c r="AA287">
        <v>2900</v>
      </c>
      <c r="AG287" t="s">
        <v>4081</v>
      </c>
      <c r="AH287" s="3">
        <v>43522</v>
      </c>
      <c r="AI287">
        <v>45000</v>
      </c>
      <c r="AJ287">
        <v>45000</v>
      </c>
    </row>
    <row r="288" spans="1:36" x14ac:dyDescent="0.25">
      <c r="A288" t="s">
        <v>4082</v>
      </c>
      <c r="B288" s="3">
        <v>43498</v>
      </c>
      <c r="C288" t="s">
        <v>50</v>
      </c>
      <c r="D288" t="s">
        <v>4083</v>
      </c>
      <c r="E288" t="s">
        <v>50</v>
      </c>
      <c r="F288">
        <v>48000</v>
      </c>
      <c r="G288" t="s">
        <v>4084</v>
      </c>
      <c r="H288" s="3">
        <v>43498</v>
      </c>
      <c r="I288" t="s">
        <v>1328</v>
      </c>
      <c r="J288">
        <v>45000</v>
      </c>
      <c r="K288" s="1"/>
      <c r="M288" s="3">
        <v>43498</v>
      </c>
      <c r="N288" t="s">
        <v>1336</v>
      </c>
      <c r="P288" t="s">
        <v>56</v>
      </c>
      <c r="Q288">
        <v>20000</v>
      </c>
      <c r="R288" s="3">
        <v>43507</v>
      </c>
      <c r="S288" t="s">
        <v>54</v>
      </c>
      <c r="T288" t="s">
        <v>4085</v>
      </c>
      <c r="U288" t="s">
        <v>56</v>
      </c>
      <c r="V288">
        <v>19300</v>
      </c>
      <c r="AG288" t="s">
        <v>4086</v>
      </c>
      <c r="AH288" s="3">
        <v>43528</v>
      </c>
      <c r="AI288">
        <v>48000</v>
      </c>
      <c r="AJ288">
        <v>48000</v>
      </c>
    </row>
    <row r="289" spans="1:36" x14ac:dyDescent="0.25">
      <c r="A289" t="s">
        <v>4087</v>
      </c>
      <c r="B289" s="3">
        <v>43498</v>
      </c>
      <c r="C289" t="s">
        <v>50</v>
      </c>
      <c r="D289" t="s">
        <v>4088</v>
      </c>
      <c r="E289" t="s">
        <v>50</v>
      </c>
      <c r="F289">
        <v>36000</v>
      </c>
      <c r="G289" t="s">
        <v>4089</v>
      </c>
      <c r="H289" s="3">
        <v>43498</v>
      </c>
      <c r="I289" t="s">
        <v>1305</v>
      </c>
      <c r="J289">
        <v>30000</v>
      </c>
      <c r="K289" s="1"/>
      <c r="M289" s="3">
        <v>43498</v>
      </c>
      <c r="N289" t="s">
        <v>1336</v>
      </c>
      <c r="O289" t="s">
        <v>4090</v>
      </c>
      <c r="P289" t="s">
        <v>56</v>
      </c>
      <c r="Q289">
        <v>10000</v>
      </c>
      <c r="R289" s="3">
        <v>43501</v>
      </c>
      <c r="S289" t="s">
        <v>54</v>
      </c>
      <c r="T289" t="s">
        <v>1306</v>
      </c>
      <c r="U289" t="s">
        <v>56</v>
      </c>
      <c r="V289">
        <v>16600</v>
      </c>
      <c r="AG289" t="s">
        <v>4091</v>
      </c>
      <c r="AH289" s="3">
        <v>43546</v>
      </c>
      <c r="AI289">
        <v>36000</v>
      </c>
      <c r="AJ289">
        <v>36000</v>
      </c>
    </row>
    <row r="290" spans="1:36" x14ac:dyDescent="0.25">
      <c r="A290" t="s">
        <v>4092</v>
      </c>
      <c r="B290" s="3">
        <v>43501</v>
      </c>
      <c r="C290" t="s">
        <v>50</v>
      </c>
      <c r="D290" t="s">
        <v>4093</v>
      </c>
      <c r="E290" t="s">
        <v>50</v>
      </c>
      <c r="F290">
        <v>66000</v>
      </c>
      <c r="G290" t="s">
        <v>4094</v>
      </c>
      <c r="H290" s="3">
        <v>43502</v>
      </c>
      <c r="I290" t="s">
        <v>1328</v>
      </c>
      <c r="J290">
        <v>54000</v>
      </c>
      <c r="K290" s="1"/>
      <c r="M290" s="3">
        <v>43502</v>
      </c>
      <c r="N290" t="s">
        <v>54</v>
      </c>
      <c r="O290" t="s">
        <v>1328</v>
      </c>
      <c r="P290" t="s">
        <v>56</v>
      </c>
      <c r="Q290">
        <v>19600</v>
      </c>
      <c r="R290" s="3">
        <v>43502</v>
      </c>
      <c r="S290" t="s">
        <v>1336</v>
      </c>
      <c r="U290" t="s">
        <v>56</v>
      </c>
      <c r="V290">
        <v>30000</v>
      </c>
      <c r="W290" s="3">
        <v>43537</v>
      </c>
      <c r="X290" t="s">
        <v>54</v>
      </c>
      <c r="Y290" t="s">
        <v>3833</v>
      </c>
      <c r="Z290" t="s">
        <v>60</v>
      </c>
      <c r="AA290">
        <v>3900</v>
      </c>
      <c r="AG290" t="s">
        <v>4095</v>
      </c>
      <c r="AH290" s="3">
        <v>43528</v>
      </c>
      <c r="AI290">
        <v>66000</v>
      </c>
      <c r="AJ290">
        <v>66000</v>
      </c>
    </row>
    <row r="291" spans="1:36" x14ac:dyDescent="0.25">
      <c r="A291" t="s">
        <v>4096</v>
      </c>
      <c r="B291" s="3">
        <v>43512</v>
      </c>
      <c r="C291" t="s">
        <v>50</v>
      </c>
      <c r="D291" t="s">
        <v>4078</v>
      </c>
      <c r="E291" t="s">
        <v>50</v>
      </c>
      <c r="F291">
        <v>150200</v>
      </c>
      <c r="G291" t="s">
        <v>4097</v>
      </c>
      <c r="H291" s="3">
        <v>43514</v>
      </c>
      <c r="I291" t="s">
        <v>3926</v>
      </c>
      <c r="J291">
        <v>126000</v>
      </c>
      <c r="K291" s="1"/>
      <c r="M291" s="3">
        <v>43515</v>
      </c>
      <c r="N291" t="s">
        <v>54</v>
      </c>
      <c r="O291" t="s">
        <v>4098</v>
      </c>
      <c r="P291" t="s">
        <v>56</v>
      </c>
      <c r="Q291">
        <v>70100</v>
      </c>
      <c r="R291" s="3">
        <v>43515</v>
      </c>
      <c r="S291" t="s">
        <v>1336</v>
      </c>
      <c r="U291" t="s">
        <v>56</v>
      </c>
      <c r="V291">
        <v>30000</v>
      </c>
      <c r="W291" s="3">
        <v>43545</v>
      </c>
      <c r="X291" t="s">
        <v>54</v>
      </c>
      <c r="Y291" t="s">
        <v>3918</v>
      </c>
      <c r="Z291" t="s">
        <v>60</v>
      </c>
      <c r="AA291">
        <v>24700</v>
      </c>
      <c r="AG291" t="s">
        <v>4099</v>
      </c>
      <c r="AH291" s="3">
        <v>43531</v>
      </c>
      <c r="AI291">
        <v>150200</v>
      </c>
      <c r="AJ291">
        <v>150200</v>
      </c>
    </row>
    <row r="292" spans="1:36" x14ac:dyDescent="0.25">
      <c r="A292" t="s">
        <v>4100</v>
      </c>
      <c r="B292" s="3">
        <v>43514</v>
      </c>
      <c r="C292" t="s">
        <v>4101</v>
      </c>
      <c r="D292" t="s">
        <v>4102</v>
      </c>
      <c r="E292" t="s">
        <v>50</v>
      </c>
      <c r="F292">
        <v>94800</v>
      </c>
      <c r="G292" t="s">
        <v>4103</v>
      </c>
      <c r="H292" s="3">
        <v>43514</v>
      </c>
      <c r="I292" t="s">
        <v>1328</v>
      </c>
      <c r="J292">
        <v>80000</v>
      </c>
      <c r="K292" s="1"/>
      <c r="M292" s="3">
        <v>43521</v>
      </c>
      <c r="N292" t="s">
        <v>1336</v>
      </c>
      <c r="P292" t="s">
        <v>56</v>
      </c>
      <c r="Q292">
        <v>30000</v>
      </c>
      <c r="R292" s="3">
        <v>43524</v>
      </c>
      <c r="S292" t="s">
        <v>54</v>
      </c>
      <c r="T292" t="s">
        <v>1330</v>
      </c>
      <c r="U292" t="s">
        <v>56</v>
      </c>
      <c r="V292">
        <v>39400</v>
      </c>
      <c r="W292" s="3">
        <v>43537</v>
      </c>
      <c r="X292" t="s">
        <v>54</v>
      </c>
      <c r="Y292" t="s">
        <v>3833</v>
      </c>
      <c r="Z292" t="s">
        <v>60</v>
      </c>
      <c r="AA292">
        <v>9800</v>
      </c>
      <c r="AG292" t="s">
        <v>4104</v>
      </c>
      <c r="AH292" s="3">
        <v>43525</v>
      </c>
      <c r="AI292">
        <v>94800</v>
      </c>
      <c r="AJ292">
        <v>94800</v>
      </c>
    </row>
    <row r="293" spans="1:36" x14ac:dyDescent="0.25">
      <c r="A293" t="s">
        <v>4105</v>
      </c>
      <c r="B293" s="3">
        <v>43516</v>
      </c>
      <c r="C293" t="s">
        <v>50</v>
      </c>
      <c r="D293" t="s">
        <v>4106</v>
      </c>
      <c r="E293" t="s">
        <v>50</v>
      </c>
      <c r="F293">
        <v>55000</v>
      </c>
      <c r="G293" t="s">
        <v>4107</v>
      </c>
      <c r="H293" s="3">
        <v>43516</v>
      </c>
      <c r="I293" t="s">
        <v>1305</v>
      </c>
      <c r="J293">
        <v>50000</v>
      </c>
      <c r="K293" s="1"/>
      <c r="M293" s="3">
        <v>43521</v>
      </c>
      <c r="N293" t="s">
        <v>1336</v>
      </c>
      <c r="P293" t="s">
        <v>56</v>
      </c>
      <c r="Q293">
        <v>20000</v>
      </c>
      <c r="R293" s="3">
        <v>43529</v>
      </c>
      <c r="S293" t="s">
        <v>54</v>
      </c>
      <c r="T293" t="s">
        <v>1306</v>
      </c>
      <c r="U293" t="s">
        <v>56</v>
      </c>
      <c r="V293">
        <v>24500</v>
      </c>
      <c r="W293" s="3">
        <v>43545</v>
      </c>
      <c r="X293" t="s">
        <v>54</v>
      </c>
      <c r="Y293" t="s">
        <v>1306</v>
      </c>
      <c r="Z293" t="s">
        <v>60</v>
      </c>
      <c r="AA293">
        <v>4900</v>
      </c>
      <c r="AG293" t="s">
        <v>4108</v>
      </c>
      <c r="AH293" s="3">
        <v>43531</v>
      </c>
      <c r="AI293">
        <v>55000</v>
      </c>
      <c r="AJ293">
        <v>55000</v>
      </c>
    </row>
  </sheetData>
  <autoFilter ref="A1:BV293"/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2" sqref="E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4109</v>
      </c>
      <c r="B2" s="3">
        <v>42507</v>
      </c>
      <c r="C2" t="s">
        <v>50</v>
      </c>
      <c r="D2" t="s">
        <v>4110</v>
      </c>
      <c r="E2" t="s">
        <v>4110</v>
      </c>
      <c r="F2">
        <v>175000</v>
      </c>
      <c r="G2" t="s">
        <v>4111</v>
      </c>
      <c r="H2" s="3">
        <v>42507</v>
      </c>
      <c r="I2" t="s">
        <v>214</v>
      </c>
      <c r="J2">
        <v>155000</v>
      </c>
      <c r="K2" s="1"/>
      <c r="M2" s="3">
        <v>42507</v>
      </c>
      <c r="N2" t="s">
        <v>54</v>
      </c>
      <c r="P2" t="s">
        <v>56</v>
      </c>
      <c r="Q2">
        <v>45000</v>
      </c>
      <c r="R2" s="3">
        <v>42507</v>
      </c>
      <c r="S2" t="s">
        <v>54</v>
      </c>
      <c r="U2" t="s">
        <v>56</v>
      </c>
      <c r="V2">
        <v>45000</v>
      </c>
      <c r="W2" s="3">
        <v>42507</v>
      </c>
      <c r="X2" t="s">
        <v>57</v>
      </c>
      <c r="Z2" t="s">
        <v>56</v>
      </c>
      <c r="AA2">
        <v>20000</v>
      </c>
      <c r="AB2" s="3">
        <v>42507</v>
      </c>
      <c r="AC2" t="s">
        <v>54</v>
      </c>
      <c r="AE2" t="s">
        <v>56</v>
      </c>
      <c r="AF2">
        <v>19200</v>
      </c>
      <c r="AG2" t="s">
        <v>4112</v>
      </c>
      <c r="AH2" s="3">
        <v>42598</v>
      </c>
      <c r="AI2">
        <v>175000</v>
      </c>
      <c r="AJ2">
        <v>23000</v>
      </c>
      <c r="AK2" t="s">
        <v>4113</v>
      </c>
      <c r="AL2" s="3">
        <v>42600</v>
      </c>
      <c r="AM2">
        <v>23000</v>
      </c>
      <c r="AN2">
        <v>23000</v>
      </c>
      <c r="AS2" t="s">
        <v>4114</v>
      </c>
      <c r="AT2" s="3">
        <v>42600</v>
      </c>
      <c r="AU2">
        <v>200000</v>
      </c>
      <c r="AV2">
        <v>0</v>
      </c>
      <c r="AW2">
        <v>0</v>
      </c>
      <c r="AX2">
        <v>23000</v>
      </c>
    </row>
    <row r="3" spans="1:74" x14ac:dyDescent="0.25">
      <c r="A3" t="s">
        <v>4115</v>
      </c>
      <c r="B3" s="3">
        <v>42541</v>
      </c>
      <c r="C3" t="s">
        <v>50</v>
      </c>
      <c r="D3" t="s">
        <v>4110</v>
      </c>
      <c r="E3" t="s">
        <v>4110</v>
      </c>
      <c r="F3">
        <v>48000</v>
      </c>
      <c r="G3" t="s">
        <v>4116</v>
      </c>
      <c r="H3" s="3">
        <v>42541</v>
      </c>
      <c r="I3" t="s">
        <v>1305</v>
      </c>
      <c r="J3">
        <v>43000</v>
      </c>
      <c r="K3" s="1"/>
      <c r="M3" s="3">
        <v>42542</v>
      </c>
      <c r="N3" t="s">
        <v>57</v>
      </c>
      <c r="P3" t="s">
        <v>56</v>
      </c>
      <c r="Q3">
        <v>32500</v>
      </c>
      <c r="R3" s="3">
        <v>42579</v>
      </c>
      <c r="S3" t="s">
        <v>54</v>
      </c>
      <c r="U3" t="s">
        <v>60</v>
      </c>
      <c r="V3">
        <v>9800</v>
      </c>
      <c r="AG3" t="s">
        <v>4112</v>
      </c>
      <c r="AH3" s="3">
        <v>42598</v>
      </c>
      <c r="AI3">
        <v>48000</v>
      </c>
      <c r="AJ3">
        <v>23000</v>
      </c>
      <c r="AK3" t="s">
        <v>4113</v>
      </c>
      <c r="AL3" s="3">
        <v>42600</v>
      </c>
      <c r="AM3">
        <v>0</v>
      </c>
      <c r="AN3">
        <v>23000</v>
      </c>
      <c r="AS3" t="s">
        <v>4114</v>
      </c>
      <c r="AT3" s="3">
        <v>42600</v>
      </c>
      <c r="AU3">
        <v>200000</v>
      </c>
      <c r="AV3">
        <v>0</v>
      </c>
      <c r="AW3">
        <v>0</v>
      </c>
      <c r="AX3">
        <v>23000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2" sqref="E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4117</v>
      </c>
      <c r="B2" s="3">
        <v>42536</v>
      </c>
      <c r="C2" t="s">
        <v>4118</v>
      </c>
      <c r="D2" t="s">
        <v>4119</v>
      </c>
      <c r="E2" t="s">
        <v>1325</v>
      </c>
      <c r="F2">
        <v>94000</v>
      </c>
      <c r="G2" t="s">
        <v>4120</v>
      </c>
      <c r="H2" s="3">
        <v>42536</v>
      </c>
      <c r="I2" t="s">
        <v>91</v>
      </c>
      <c r="J2">
        <v>83000</v>
      </c>
      <c r="K2" s="1"/>
      <c r="M2" s="3">
        <v>42537</v>
      </c>
      <c r="N2" t="s">
        <v>54</v>
      </c>
      <c r="P2" t="s">
        <v>56</v>
      </c>
      <c r="Q2">
        <v>49300</v>
      </c>
      <c r="R2" s="3">
        <v>42537</v>
      </c>
      <c r="S2" t="s">
        <v>57</v>
      </c>
      <c r="U2" t="s">
        <v>56</v>
      </c>
      <c r="V2">
        <v>10000</v>
      </c>
      <c r="W2" s="3">
        <v>42580</v>
      </c>
      <c r="X2" t="s">
        <v>54</v>
      </c>
      <c r="Z2" t="s">
        <v>60</v>
      </c>
      <c r="AA2">
        <v>22700</v>
      </c>
      <c r="AG2" t="s">
        <v>4121</v>
      </c>
      <c r="AH2" s="3">
        <v>42573</v>
      </c>
      <c r="AI2">
        <v>94000</v>
      </c>
      <c r="AJ2">
        <v>0</v>
      </c>
      <c r="AS2" t="s">
        <v>4122</v>
      </c>
      <c r="AT2" s="3">
        <v>42661</v>
      </c>
      <c r="AU2">
        <v>92120</v>
      </c>
      <c r="AV2">
        <v>0</v>
      </c>
      <c r="AW2">
        <v>0</v>
      </c>
      <c r="AX2">
        <v>0</v>
      </c>
      <c r="AY2" t="s">
        <v>4123</v>
      </c>
      <c r="AZ2" s="3">
        <v>42685</v>
      </c>
      <c r="BA2">
        <v>92120</v>
      </c>
      <c r="BB2">
        <v>0</v>
      </c>
      <c r="BC2">
        <v>3760</v>
      </c>
      <c r="BD2">
        <v>0</v>
      </c>
    </row>
    <row r="3" spans="1:74" x14ac:dyDescent="0.25">
      <c r="A3" t="s">
        <v>4124</v>
      </c>
      <c r="B3" s="3">
        <v>42537</v>
      </c>
      <c r="C3" t="s">
        <v>1325</v>
      </c>
      <c r="D3" t="s">
        <v>4125</v>
      </c>
      <c r="E3" t="s">
        <v>1325</v>
      </c>
      <c r="F3">
        <v>94000</v>
      </c>
      <c r="G3" t="s">
        <v>4126</v>
      </c>
      <c r="H3" s="3">
        <v>42537</v>
      </c>
      <c r="I3" t="s">
        <v>91</v>
      </c>
      <c r="J3">
        <v>83000</v>
      </c>
      <c r="K3" s="1"/>
      <c r="M3" s="3">
        <v>42537</v>
      </c>
      <c r="N3" t="s">
        <v>54</v>
      </c>
      <c r="P3" t="s">
        <v>56</v>
      </c>
      <c r="Q3">
        <v>49300</v>
      </c>
      <c r="R3" s="3">
        <v>42537</v>
      </c>
      <c r="S3" t="s">
        <v>57</v>
      </c>
      <c r="U3" t="s">
        <v>56</v>
      </c>
      <c r="V3">
        <v>10000</v>
      </c>
      <c r="W3" s="3">
        <v>42580</v>
      </c>
      <c r="X3" t="s">
        <v>54</v>
      </c>
      <c r="Z3" t="s">
        <v>60</v>
      </c>
      <c r="AA3">
        <v>22700</v>
      </c>
      <c r="AG3" t="s">
        <v>4121</v>
      </c>
      <c r="AH3" s="3">
        <v>42573</v>
      </c>
      <c r="AI3">
        <v>94000</v>
      </c>
      <c r="AJ3">
        <v>0</v>
      </c>
      <c r="AS3" t="s">
        <v>4122</v>
      </c>
      <c r="AT3" s="3">
        <v>42661</v>
      </c>
      <c r="AU3">
        <v>92120</v>
      </c>
      <c r="AV3">
        <v>0</v>
      </c>
      <c r="AW3">
        <v>0</v>
      </c>
      <c r="AX3">
        <v>0</v>
      </c>
      <c r="AY3" t="s">
        <v>4123</v>
      </c>
      <c r="AZ3" s="3">
        <v>42685</v>
      </c>
      <c r="BA3">
        <v>92120</v>
      </c>
      <c r="BB3">
        <v>0</v>
      </c>
      <c r="BC3">
        <v>3760</v>
      </c>
      <c r="BD3">
        <v>0</v>
      </c>
    </row>
    <row r="4" spans="1:74" x14ac:dyDescent="0.25">
      <c r="A4" t="s">
        <v>4127</v>
      </c>
      <c r="B4" s="3">
        <v>42623</v>
      </c>
      <c r="C4" t="s">
        <v>1325</v>
      </c>
      <c r="D4" t="s">
        <v>1414</v>
      </c>
      <c r="E4" t="s">
        <v>1325</v>
      </c>
      <c r="F4">
        <v>20000</v>
      </c>
      <c r="G4" t="s">
        <v>4128</v>
      </c>
      <c r="H4" s="3">
        <v>42623</v>
      </c>
      <c r="I4" t="s">
        <v>502</v>
      </c>
      <c r="J4">
        <v>17500</v>
      </c>
      <c r="K4" s="1"/>
      <c r="M4" s="3">
        <v>42623</v>
      </c>
      <c r="N4" t="s">
        <v>57</v>
      </c>
      <c r="P4" t="s">
        <v>56</v>
      </c>
      <c r="Q4">
        <v>15200</v>
      </c>
      <c r="R4" s="3">
        <v>42667</v>
      </c>
      <c r="S4" t="s">
        <v>57</v>
      </c>
      <c r="U4" t="s">
        <v>60</v>
      </c>
      <c r="V4">
        <v>1950</v>
      </c>
      <c r="AG4" t="s">
        <v>4129</v>
      </c>
      <c r="AH4" s="3">
        <v>42667</v>
      </c>
      <c r="AI4">
        <v>20000</v>
      </c>
      <c r="AJ4">
        <v>0</v>
      </c>
      <c r="AS4" t="s">
        <v>4130</v>
      </c>
      <c r="AT4" s="3">
        <v>42783</v>
      </c>
      <c r="AU4">
        <v>19600</v>
      </c>
      <c r="AV4">
        <v>0</v>
      </c>
      <c r="AW4">
        <v>400</v>
      </c>
      <c r="AX4">
        <v>0</v>
      </c>
    </row>
    <row r="5" spans="1:74" x14ac:dyDescent="0.25">
      <c r="A5" t="s">
        <v>4131</v>
      </c>
      <c r="B5" s="3">
        <v>42690</v>
      </c>
      <c r="C5" t="s">
        <v>1325</v>
      </c>
      <c r="D5" t="s">
        <v>4119</v>
      </c>
      <c r="E5" t="s">
        <v>1325</v>
      </c>
      <c r="F5">
        <v>80000</v>
      </c>
      <c r="G5" t="s">
        <v>4132</v>
      </c>
      <c r="H5" s="3">
        <v>42690</v>
      </c>
      <c r="I5" t="s">
        <v>107</v>
      </c>
      <c r="J5">
        <v>72000</v>
      </c>
      <c r="K5" s="1"/>
      <c r="M5" s="3">
        <v>42690</v>
      </c>
      <c r="N5" t="s">
        <v>54</v>
      </c>
      <c r="P5" t="s">
        <v>56</v>
      </c>
      <c r="Q5">
        <v>61500</v>
      </c>
      <c r="R5" s="3">
        <v>42758</v>
      </c>
      <c r="S5" t="s">
        <v>54</v>
      </c>
      <c r="U5" t="s">
        <v>60</v>
      </c>
      <c r="V5">
        <v>9800</v>
      </c>
      <c r="AG5" t="s">
        <v>4133</v>
      </c>
      <c r="AH5" s="3">
        <v>42753</v>
      </c>
      <c r="AI5">
        <v>80000</v>
      </c>
      <c r="AJ5">
        <v>0</v>
      </c>
      <c r="AS5" t="s">
        <v>4134</v>
      </c>
      <c r="AT5" s="3">
        <v>42849</v>
      </c>
      <c r="AU5">
        <v>80000</v>
      </c>
      <c r="AV5">
        <v>0</v>
      </c>
      <c r="AW5">
        <v>0</v>
      </c>
      <c r="AX5">
        <v>0</v>
      </c>
    </row>
    <row r="6" spans="1:74" x14ac:dyDescent="0.25">
      <c r="A6" t="s">
        <v>4135</v>
      </c>
      <c r="B6" s="3">
        <v>42693</v>
      </c>
      <c r="C6" t="s">
        <v>1325</v>
      </c>
      <c r="D6" t="s">
        <v>4136</v>
      </c>
      <c r="E6" t="s">
        <v>1325</v>
      </c>
      <c r="F6">
        <v>7000</v>
      </c>
      <c r="G6" t="s">
        <v>4137</v>
      </c>
      <c r="H6" s="3">
        <v>42693</v>
      </c>
      <c r="I6" t="s">
        <v>107</v>
      </c>
      <c r="J6">
        <v>6000</v>
      </c>
      <c r="K6" s="1"/>
      <c r="M6" s="3">
        <v>42693</v>
      </c>
      <c r="N6" t="s">
        <v>54</v>
      </c>
      <c r="P6" t="s">
        <v>56</v>
      </c>
      <c r="Q6">
        <v>3850</v>
      </c>
      <c r="R6" s="3">
        <v>42703</v>
      </c>
      <c r="S6" t="s">
        <v>54</v>
      </c>
      <c r="U6" t="s">
        <v>60</v>
      </c>
      <c r="V6">
        <v>1950</v>
      </c>
      <c r="AG6" t="s">
        <v>4138</v>
      </c>
      <c r="AH6" s="3">
        <v>42700</v>
      </c>
      <c r="AI6">
        <v>7000</v>
      </c>
      <c r="AJ6">
        <v>0</v>
      </c>
      <c r="AS6" t="s">
        <v>4139</v>
      </c>
      <c r="AT6" s="3">
        <v>42700</v>
      </c>
      <c r="AU6">
        <v>7000</v>
      </c>
      <c r="AV6">
        <v>0</v>
      </c>
      <c r="AW6">
        <v>0</v>
      </c>
      <c r="AX6">
        <v>0</v>
      </c>
    </row>
    <row r="7" spans="1:74" x14ac:dyDescent="0.25">
      <c r="A7" s="4" t="s">
        <v>4140</v>
      </c>
      <c r="B7" s="3">
        <v>42700</v>
      </c>
      <c r="C7" t="s">
        <v>1325</v>
      </c>
      <c r="D7" t="s">
        <v>4141</v>
      </c>
      <c r="E7" t="s">
        <v>1325</v>
      </c>
      <c r="F7">
        <v>80000</v>
      </c>
      <c r="G7" t="s">
        <v>4142</v>
      </c>
      <c r="H7" s="3">
        <v>42700</v>
      </c>
      <c r="I7" t="s">
        <v>107</v>
      </c>
      <c r="J7">
        <v>72000</v>
      </c>
      <c r="K7" s="1" t="s">
        <v>67</v>
      </c>
      <c r="M7" s="3">
        <v>42700</v>
      </c>
      <c r="N7" t="s">
        <v>54</v>
      </c>
      <c r="P7" t="s">
        <v>56</v>
      </c>
      <c r="Q7">
        <v>61200</v>
      </c>
      <c r="R7" s="3">
        <v>42758</v>
      </c>
      <c r="S7" t="s">
        <v>54</v>
      </c>
      <c r="U7" t="s">
        <v>60</v>
      </c>
      <c r="V7">
        <v>9800</v>
      </c>
      <c r="AG7" s="4" t="s">
        <v>4143</v>
      </c>
      <c r="AH7" s="3">
        <v>42772</v>
      </c>
      <c r="AI7" s="4">
        <v>80000</v>
      </c>
      <c r="AJ7">
        <v>0</v>
      </c>
      <c r="AS7" t="s">
        <v>4144</v>
      </c>
      <c r="AT7" s="3">
        <v>42864</v>
      </c>
      <c r="AU7">
        <v>80000</v>
      </c>
      <c r="AV7">
        <v>0</v>
      </c>
      <c r="AW7">
        <v>0</v>
      </c>
      <c r="AX7">
        <v>0</v>
      </c>
    </row>
    <row r="8" spans="1:74" x14ac:dyDescent="0.25">
      <c r="A8" t="s">
        <v>4145</v>
      </c>
      <c r="B8" s="3">
        <v>42734</v>
      </c>
      <c r="C8" t="s">
        <v>1325</v>
      </c>
      <c r="D8" t="s">
        <v>4146</v>
      </c>
      <c r="E8" t="s">
        <v>1325</v>
      </c>
      <c r="F8">
        <v>7000</v>
      </c>
      <c r="G8" t="s">
        <v>4147</v>
      </c>
      <c r="H8" s="3">
        <v>42734</v>
      </c>
      <c r="I8" t="s">
        <v>230</v>
      </c>
      <c r="J8">
        <v>5500</v>
      </c>
      <c r="K8" s="1"/>
      <c r="M8" s="3">
        <v>42734</v>
      </c>
      <c r="N8" t="s">
        <v>57</v>
      </c>
      <c r="P8" t="s">
        <v>56</v>
      </c>
      <c r="Q8">
        <v>4400</v>
      </c>
      <c r="R8" s="3">
        <v>42775</v>
      </c>
      <c r="S8" t="s">
        <v>57</v>
      </c>
      <c r="U8" t="s">
        <v>60</v>
      </c>
      <c r="V8">
        <v>970</v>
      </c>
      <c r="AG8" t="s">
        <v>4148</v>
      </c>
      <c r="AH8" s="3">
        <v>42765</v>
      </c>
      <c r="AI8">
        <v>7000</v>
      </c>
      <c r="AJ8">
        <v>0</v>
      </c>
      <c r="AS8" t="s">
        <v>4149</v>
      </c>
      <c r="AT8" s="3">
        <v>42796</v>
      </c>
      <c r="AU8">
        <v>6860</v>
      </c>
      <c r="AV8">
        <v>0</v>
      </c>
      <c r="AW8">
        <v>140</v>
      </c>
      <c r="AX8">
        <v>0</v>
      </c>
    </row>
    <row r="9" spans="1:74" x14ac:dyDescent="0.25">
      <c r="A9" t="s">
        <v>4150</v>
      </c>
      <c r="B9" s="3">
        <v>42810</v>
      </c>
      <c r="C9" t="s">
        <v>1325</v>
      </c>
      <c r="D9" t="s">
        <v>4151</v>
      </c>
      <c r="E9" t="s">
        <v>1325</v>
      </c>
      <c r="F9">
        <v>9500</v>
      </c>
      <c r="G9" t="s">
        <v>4152</v>
      </c>
      <c r="H9" s="3">
        <v>42810</v>
      </c>
      <c r="I9" t="s">
        <v>230</v>
      </c>
      <c r="J9">
        <v>8500</v>
      </c>
      <c r="K9" s="1"/>
      <c r="M9" s="3">
        <v>42811</v>
      </c>
      <c r="N9" t="s">
        <v>54</v>
      </c>
      <c r="P9" t="s">
        <v>56</v>
      </c>
      <c r="Q9">
        <v>7000</v>
      </c>
      <c r="R9" s="3">
        <v>42842</v>
      </c>
      <c r="S9" t="s">
        <v>54</v>
      </c>
      <c r="T9" t="s">
        <v>2026</v>
      </c>
      <c r="U9" t="s">
        <v>60</v>
      </c>
      <c r="V9">
        <v>1100</v>
      </c>
      <c r="AG9" t="s">
        <v>4153</v>
      </c>
      <c r="AH9" s="3">
        <v>42850</v>
      </c>
      <c r="AI9">
        <v>9500</v>
      </c>
      <c r="AJ9">
        <v>0</v>
      </c>
      <c r="AS9" t="s">
        <v>4154</v>
      </c>
      <c r="AT9" s="3">
        <v>42873</v>
      </c>
      <c r="AU9">
        <v>9310</v>
      </c>
      <c r="AV9">
        <v>0</v>
      </c>
      <c r="AW9">
        <v>190</v>
      </c>
      <c r="AX9">
        <v>0</v>
      </c>
    </row>
    <row r="10" spans="1:74" x14ac:dyDescent="0.25">
      <c r="A10" s="4" t="s">
        <v>4155</v>
      </c>
      <c r="B10" s="3">
        <v>42843</v>
      </c>
      <c r="C10" t="s">
        <v>1325</v>
      </c>
      <c r="D10" t="s">
        <v>4119</v>
      </c>
      <c r="E10" t="s">
        <v>1325</v>
      </c>
      <c r="F10">
        <v>83000</v>
      </c>
      <c r="G10" t="s">
        <v>4156</v>
      </c>
      <c r="H10" s="3">
        <v>42843</v>
      </c>
      <c r="I10" t="s">
        <v>214</v>
      </c>
      <c r="J10">
        <v>75000</v>
      </c>
      <c r="K10" s="1" t="s">
        <v>67</v>
      </c>
      <c r="M10" s="3">
        <v>42843</v>
      </c>
      <c r="N10" t="s">
        <v>54</v>
      </c>
      <c r="O10" t="s">
        <v>1546</v>
      </c>
      <c r="P10" t="s">
        <v>56</v>
      </c>
      <c r="Q10">
        <v>65000</v>
      </c>
      <c r="R10" s="3">
        <v>42929</v>
      </c>
      <c r="S10" t="s">
        <v>54</v>
      </c>
      <c r="T10" t="s">
        <v>68</v>
      </c>
      <c r="U10" t="s">
        <v>60</v>
      </c>
      <c r="V10">
        <v>9200</v>
      </c>
      <c r="AG10" s="4" t="s">
        <v>4157</v>
      </c>
      <c r="AH10" s="3">
        <v>42913</v>
      </c>
      <c r="AI10" s="4">
        <v>83000</v>
      </c>
      <c r="AJ10">
        <v>0</v>
      </c>
      <c r="AS10" t="s">
        <v>4158</v>
      </c>
      <c r="AT10" s="3">
        <v>42963</v>
      </c>
      <c r="AU10">
        <v>83000</v>
      </c>
      <c r="AV10">
        <v>0</v>
      </c>
      <c r="AW10">
        <v>0</v>
      </c>
      <c r="AX10">
        <v>0</v>
      </c>
    </row>
    <row r="11" spans="1:74" x14ac:dyDescent="0.25">
      <c r="A11" t="s">
        <v>4159</v>
      </c>
      <c r="B11" s="3">
        <v>42853</v>
      </c>
      <c r="C11" t="s">
        <v>1325</v>
      </c>
      <c r="D11" t="s">
        <v>4160</v>
      </c>
      <c r="E11" t="s">
        <v>1325</v>
      </c>
      <c r="F11">
        <v>9000</v>
      </c>
      <c r="G11" t="s">
        <v>4161</v>
      </c>
      <c r="H11" s="3">
        <v>42853</v>
      </c>
      <c r="I11" t="s">
        <v>290</v>
      </c>
      <c r="J11">
        <v>8000</v>
      </c>
      <c r="K11" s="1"/>
      <c r="M11" s="3">
        <v>42853</v>
      </c>
      <c r="N11" t="s">
        <v>57</v>
      </c>
      <c r="O11" t="s">
        <v>4162</v>
      </c>
      <c r="P11" t="s">
        <v>56</v>
      </c>
      <c r="Q11">
        <v>6750</v>
      </c>
      <c r="R11" s="3">
        <v>42907</v>
      </c>
      <c r="S11" t="s">
        <v>54</v>
      </c>
      <c r="T11" t="s">
        <v>1083</v>
      </c>
      <c r="U11" t="s">
        <v>60</v>
      </c>
      <c r="V11">
        <v>970</v>
      </c>
      <c r="AG11" t="s">
        <v>4163</v>
      </c>
      <c r="AH11" s="3">
        <v>42905</v>
      </c>
      <c r="AI11">
        <v>9000</v>
      </c>
      <c r="AJ11">
        <v>0</v>
      </c>
      <c r="AS11" t="s">
        <v>4164</v>
      </c>
      <c r="AT11" s="3">
        <v>43029</v>
      </c>
      <c r="AU11">
        <v>8820</v>
      </c>
      <c r="AV11">
        <v>0</v>
      </c>
      <c r="AW11">
        <v>180</v>
      </c>
      <c r="AX11">
        <v>0</v>
      </c>
    </row>
    <row r="12" spans="1:74" x14ac:dyDescent="0.25">
      <c r="A12" s="4" t="s">
        <v>4165</v>
      </c>
      <c r="B12" s="3">
        <v>42867</v>
      </c>
      <c r="C12" t="s">
        <v>1325</v>
      </c>
      <c r="D12" t="s">
        <v>4166</v>
      </c>
      <c r="E12" t="s">
        <v>1325</v>
      </c>
      <c r="F12">
        <v>82000</v>
      </c>
      <c r="G12" t="s">
        <v>4167</v>
      </c>
      <c r="H12" s="3">
        <v>42867</v>
      </c>
      <c r="I12" t="s">
        <v>107</v>
      </c>
      <c r="J12">
        <v>72000</v>
      </c>
      <c r="K12" s="1" t="s">
        <v>67</v>
      </c>
      <c r="M12" s="3">
        <v>42867</v>
      </c>
      <c r="N12" t="s">
        <v>54</v>
      </c>
      <c r="O12" t="s">
        <v>68</v>
      </c>
      <c r="P12" t="s">
        <v>56</v>
      </c>
      <c r="Q12">
        <v>61200</v>
      </c>
      <c r="R12" s="3">
        <v>42916</v>
      </c>
      <c r="S12" t="s">
        <v>54</v>
      </c>
      <c r="T12" t="s">
        <v>68</v>
      </c>
      <c r="U12" t="s">
        <v>60</v>
      </c>
      <c r="V12">
        <v>9800</v>
      </c>
      <c r="AG12" s="4" t="s">
        <v>4168</v>
      </c>
      <c r="AH12" s="3">
        <v>42915</v>
      </c>
      <c r="AI12" s="4">
        <v>82000</v>
      </c>
      <c r="AJ12">
        <v>0</v>
      </c>
      <c r="AS12" t="s">
        <v>4169</v>
      </c>
      <c r="AT12" s="3">
        <v>42997</v>
      </c>
      <c r="AU12">
        <v>80360</v>
      </c>
      <c r="AV12">
        <v>0</v>
      </c>
      <c r="AW12">
        <v>1640</v>
      </c>
      <c r="AX12">
        <v>0</v>
      </c>
    </row>
    <row r="13" spans="1:74" x14ac:dyDescent="0.25">
      <c r="A13" t="s">
        <v>4170</v>
      </c>
      <c r="B13" s="3">
        <v>42891</v>
      </c>
      <c r="C13" t="s">
        <v>1325</v>
      </c>
      <c r="D13" t="s">
        <v>1365</v>
      </c>
      <c r="E13" t="s">
        <v>1325</v>
      </c>
      <c r="F13">
        <v>29000</v>
      </c>
      <c r="G13" t="s">
        <v>4171</v>
      </c>
      <c r="H13" s="3">
        <v>42893</v>
      </c>
      <c r="I13" t="s">
        <v>2056</v>
      </c>
      <c r="J13">
        <v>24500</v>
      </c>
      <c r="K13" s="1"/>
      <c r="M13" s="3">
        <v>42893</v>
      </c>
      <c r="N13" t="s">
        <v>54</v>
      </c>
      <c r="O13" t="s">
        <v>4172</v>
      </c>
      <c r="P13" t="s">
        <v>56</v>
      </c>
      <c r="Q13">
        <v>22000</v>
      </c>
      <c r="R13" s="3">
        <v>42916</v>
      </c>
      <c r="S13" t="s">
        <v>54</v>
      </c>
      <c r="T13" t="s">
        <v>4173</v>
      </c>
      <c r="U13" t="s">
        <v>60</v>
      </c>
      <c r="V13">
        <v>1950</v>
      </c>
      <c r="AG13" t="s">
        <v>4174</v>
      </c>
      <c r="AH13" s="3">
        <v>42915</v>
      </c>
      <c r="AI13">
        <v>29000</v>
      </c>
      <c r="AJ13">
        <v>0</v>
      </c>
      <c r="AS13" t="s">
        <v>4175</v>
      </c>
      <c r="AT13" s="3">
        <v>42958</v>
      </c>
      <c r="AU13">
        <v>28420</v>
      </c>
      <c r="AV13">
        <v>0</v>
      </c>
      <c r="AW13">
        <v>580</v>
      </c>
      <c r="AX13">
        <v>0</v>
      </c>
    </row>
    <row r="14" spans="1:74" x14ac:dyDescent="0.25">
      <c r="A14" s="4" t="s">
        <v>4176</v>
      </c>
      <c r="B14" s="3">
        <v>42942</v>
      </c>
      <c r="C14" t="s">
        <v>1325</v>
      </c>
      <c r="D14" t="s">
        <v>1380</v>
      </c>
      <c r="E14" t="s">
        <v>1325</v>
      </c>
      <c r="F14">
        <v>93000</v>
      </c>
      <c r="G14" t="s">
        <v>4177</v>
      </c>
      <c r="H14" s="3">
        <v>42942</v>
      </c>
      <c r="I14" t="s">
        <v>107</v>
      </c>
      <c r="J14">
        <v>85000</v>
      </c>
      <c r="K14" s="1" t="s">
        <v>67</v>
      </c>
      <c r="M14" s="3">
        <v>42947</v>
      </c>
      <c r="N14" t="s">
        <v>54</v>
      </c>
      <c r="O14" t="s">
        <v>68</v>
      </c>
      <c r="P14" t="s">
        <v>56</v>
      </c>
      <c r="Q14">
        <v>74000</v>
      </c>
      <c r="R14" s="3">
        <v>42963</v>
      </c>
      <c r="S14" t="s">
        <v>54</v>
      </c>
      <c r="T14" t="s">
        <v>68</v>
      </c>
      <c r="U14" t="s">
        <v>60</v>
      </c>
      <c r="V14">
        <v>9800</v>
      </c>
      <c r="AG14" s="4" t="s">
        <v>4178</v>
      </c>
      <c r="AH14" s="3">
        <v>42971</v>
      </c>
      <c r="AI14" s="4">
        <v>93000</v>
      </c>
      <c r="AJ14">
        <v>0</v>
      </c>
      <c r="AS14" t="s">
        <v>4179</v>
      </c>
      <c r="AT14" s="3">
        <v>43049</v>
      </c>
      <c r="AU14">
        <v>93000</v>
      </c>
      <c r="AV14">
        <v>0</v>
      </c>
      <c r="AW14">
        <v>0</v>
      </c>
      <c r="AX14">
        <v>0</v>
      </c>
    </row>
    <row r="15" spans="1:74" x14ac:dyDescent="0.25">
      <c r="A15" s="4" t="s">
        <v>4180</v>
      </c>
      <c r="B15" s="3">
        <v>42945</v>
      </c>
      <c r="C15" t="s">
        <v>1325</v>
      </c>
      <c r="D15" t="s">
        <v>1380</v>
      </c>
      <c r="E15" t="s">
        <v>1325</v>
      </c>
      <c r="F15">
        <v>93000</v>
      </c>
      <c r="G15" t="s">
        <v>4181</v>
      </c>
      <c r="H15" s="3">
        <v>42945</v>
      </c>
      <c r="I15" t="s">
        <v>107</v>
      </c>
      <c r="J15">
        <v>85000</v>
      </c>
      <c r="K15" s="1" t="s">
        <v>67</v>
      </c>
      <c r="M15" s="3">
        <v>42947</v>
      </c>
      <c r="N15" t="s">
        <v>54</v>
      </c>
      <c r="O15" t="s">
        <v>68</v>
      </c>
      <c r="P15" t="s">
        <v>56</v>
      </c>
      <c r="Q15">
        <v>74000</v>
      </c>
      <c r="R15" s="3">
        <v>42971</v>
      </c>
      <c r="S15" t="s">
        <v>54</v>
      </c>
      <c r="T15" t="s">
        <v>66</v>
      </c>
      <c r="U15" t="s">
        <v>60</v>
      </c>
      <c r="V15">
        <v>9800</v>
      </c>
      <c r="AG15" s="4" t="s">
        <v>4182</v>
      </c>
      <c r="AH15" s="3">
        <v>42971</v>
      </c>
      <c r="AI15" s="4">
        <v>93000</v>
      </c>
      <c r="AJ15">
        <v>0</v>
      </c>
      <c r="AS15" t="s">
        <v>4183</v>
      </c>
      <c r="AT15" s="3">
        <v>43091</v>
      </c>
      <c r="AU15">
        <v>93000</v>
      </c>
      <c r="AV15">
        <v>0</v>
      </c>
      <c r="AW15">
        <v>0</v>
      </c>
      <c r="AX15">
        <v>0</v>
      </c>
    </row>
    <row r="16" spans="1:74" x14ac:dyDescent="0.25">
      <c r="A16" s="4" t="s">
        <v>4184</v>
      </c>
      <c r="B16" s="3">
        <v>42955</v>
      </c>
      <c r="C16" t="s">
        <v>1325</v>
      </c>
      <c r="D16" t="s">
        <v>1380</v>
      </c>
      <c r="E16" t="s">
        <v>1325</v>
      </c>
      <c r="F16">
        <v>60000</v>
      </c>
      <c r="G16" t="s">
        <v>4185</v>
      </c>
      <c r="H16" s="3">
        <v>42955</v>
      </c>
      <c r="I16" t="s">
        <v>107</v>
      </c>
      <c r="J16">
        <v>55000</v>
      </c>
      <c r="K16" s="1" t="s">
        <v>67</v>
      </c>
      <c r="M16" s="3">
        <v>42958</v>
      </c>
      <c r="N16" t="s">
        <v>54</v>
      </c>
      <c r="O16" t="s">
        <v>68</v>
      </c>
      <c r="P16" t="s">
        <v>56</v>
      </c>
      <c r="Q16">
        <v>44500</v>
      </c>
      <c r="R16" s="3">
        <v>42993</v>
      </c>
      <c r="S16" t="s">
        <v>54</v>
      </c>
      <c r="T16" t="s">
        <v>1191</v>
      </c>
      <c r="U16" t="s">
        <v>60</v>
      </c>
      <c r="V16">
        <v>9800</v>
      </c>
      <c r="AG16" s="4" t="s">
        <v>4186</v>
      </c>
      <c r="AH16" s="3">
        <v>42993</v>
      </c>
      <c r="AI16" s="4">
        <v>60000</v>
      </c>
      <c r="AJ16">
        <v>0</v>
      </c>
      <c r="AS16" t="s">
        <v>4183</v>
      </c>
      <c r="AT16" s="3">
        <v>43091</v>
      </c>
      <c r="AU16">
        <v>60000</v>
      </c>
      <c r="AV16">
        <v>0</v>
      </c>
      <c r="AW16">
        <v>0</v>
      </c>
      <c r="AX16">
        <v>0</v>
      </c>
    </row>
    <row r="17" spans="1:50" x14ac:dyDescent="0.25">
      <c r="A17" s="4" t="s">
        <v>4187</v>
      </c>
      <c r="B17" s="3">
        <v>42955</v>
      </c>
      <c r="C17" t="s">
        <v>1325</v>
      </c>
      <c r="D17" t="s">
        <v>1380</v>
      </c>
      <c r="E17" t="s">
        <v>1325</v>
      </c>
      <c r="F17">
        <v>60000</v>
      </c>
      <c r="G17" t="s">
        <v>4188</v>
      </c>
      <c r="H17" s="3">
        <v>42955</v>
      </c>
      <c r="I17" t="s">
        <v>107</v>
      </c>
      <c r="J17">
        <v>55000</v>
      </c>
      <c r="K17" s="1" t="s">
        <v>67</v>
      </c>
      <c r="M17" s="3">
        <v>42958</v>
      </c>
      <c r="N17" t="s">
        <v>54</v>
      </c>
      <c r="O17" t="s">
        <v>68</v>
      </c>
      <c r="P17" t="s">
        <v>56</v>
      </c>
      <c r="Q17">
        <v>44500</v>
      </c>
      <c r="R17" s="3">
        <v>42993</v>
      </c>
      <c r="S17" t="s">
        <v>54</v>
      </c>
      <c r="T17" t="s">
        <v>1191</v>
      </c>
      <c r="U17" t="s">
        <v>60</v>
      </c>
      <c r="V17">
        <v>9800</v>
      </c>
      <c r="AG17" s="4" t="s">
        <v>4189</v>
      </c>
      <c r="AH17" s="3">
        <v>42993</v>
      </c>
      <c r="AI17" s="4">
        <v>60000</v>
      </c>
      <c r="AJ17">
        <v>0</v>
      </c>
      <c r="AS17" t="s">
        <v>4183</v>
      </c>
      <c r="AT17" s="3">
        <v>43091</v>
      </c>
      <c r="AU17">
        <v>60000</v>
      </c>
      <c r="AV17">
        <v>0</v>
      </c>
      <c r="AW17">
        <v>0</v>
      </c>
      <c r="AX17">
        <v>0</v>
      </c>
    </row>
    <row r="18" spans="1:50" x14ac:dyDescent="0.25">
      <c r="A18" t="s">
        <v>4190</v>
      </c>
      <c r="B18" s="3">
        <v>42983</v>
      </c>
      <c r="C18" t="s">
        <v>1325</v>
      </c>
      <c r="D18" t="s">
        <v>4191</v>
      </c>
      <c r="E18" t="s">
        <v>1325</v>
      </c>
      <c r="F18">
        <v>9000</v>
      </c>
      <c r="G18" t="s">
        <v>4192</v>
      </c>
      <c r="H18" s="3">
        <v>42985</v>
      </c>
      <c r="I18" t="s">
        <v>230</v>
      </c>
      <c r="J18">
        <v>8000</v>
      </c>
      <c r="K18" s="1"/>
      <c r="M18" s="3">
        <v>42986</v>
      </c>
      <c r="N18" t="s">
        <v>54</v>
      </c>
      <c r="O18" t="s">
        <v>4193</v>
      </c>
      <c r="P18" t="s">
        <v>56</v>
      </c>
      <c r="Q18">
        <v>6850</v>
      </c>
      <c r="R18" s="3">
        <v>42997</v>
      </c>
      <c r="S18" t="s">
        <v>54</v>
      </c>
      <c r="T18" t="s">
        <v>305</v>
      </c>
      <c r="U18" t="s">
        <v>60</v>
      </c>
      <c r="V18">
        <v>970</v>
      </c>
      <c r="AG18" t="s">
        <v>4194</v>
      </c>
      <c r="AH18" s="3">
        <v>42997</v>
      </c>
      <c r="AI18">
        <v>9000</v>
      </c>
      <c r="AJ18">
        <v>0</v>
      </c>
      <c r="AS18" t="s">
        <v>4195</v>
      </c>
      <c r="AT18" s="3">
        <v>43091</v>
      </c>
      <c r="AU18">
        <v>8820</v>
      </c>
      <c r="AV18">
        <v>0</v>
      </c>
      <c r="AW18">
        <v>180</v>
      </c>
      <c r="AX18">
        <v>0</v>
      </c>
    </row>
    <row r="19" spans="1:50" x14ac:dyDescent="0.25">
      <c r="A19" s="4" t="s">
        <v>4196</v>
      </c>
      <c r="B19" s="3">
        <v>42994</v>
      </c>
      <c r="C19" t="s">
        <v>1325</v>
      </c>
      <c r="D19" t="s">
        <v>1380</v>
      </c>
      <c r="E19" t="s">
        <v>1325</v>
      </c>
      <c r="F19">
        <v>60000</v>
      </c>
      <c r="G19" t="s">
        <v>4197</v>
      </c>
      <c r="H19" s="3">
        <v>42994</v>
      </c>
      <c r="I19" t="s">
        <v>214</v>
      </c>
      <c r="J19">
        <v>55000</v>
      </c>
      <c r="K19" s="1" t="s">
        <v>67</v>
      </c>
      <c r="M19" s="3">
        <v>42996</v>
      </c>
      <c r="N19" t="s">
        <v>54</v>
      </c>
      <c r="O19" t="s">
        <v>214</v>
      </c>
      <c r="P19" t="s">
        <v>56</v>
      </c>
      <c r="Q19">
        <v>49250</v>
      </c>
      <c r="R19" s="3">
        <v>43080</v>
      </c>
      <c r="S19" t="s">
        <v>54</v>
      </c>
      <c r="T19" t="s">
        <v>1596</v>
      </c>
      <c r="U19" t="s">
        <v>60</v>
      </c>
      <c r="V19">
        <v>4900</v>
      </c>
      <c r="AG19" s="4" t="s">
        <v>4198</v>
      </c>
      <c r="AH19" s="3">
        <v>43045</v>
      </c>
      <c r="AI19" s="4">
        <v>60000</v>
      </c>
      <c r="AJ19">
        <v>0</v>
      </c>
      <c r="AS19" t="s">
        <v>4199</v>
      </c>
      <c r="AT19" s="3">
        <v>43140</v>
      </c>
      <c r="AU19">
        <v>60000</v>
      </c>
      <c r="AV19">
        <v>0</v>
      </c>
      <c r="AW19">
        <v>0</v>
      </c>
      <c r="AX19">
        <v>0</v>
      </c>
    </row>
    <row r="20" spans="1:50" x14ac:dyDescent="0.25">
      <c r="A20" s="4" t="s">
        <v>4200</v>
      </c>
      <c r="B20" s="3">
        <v>42994</v>
      </c>
      <c r="C20" t="s">
        <v>1325</v>
      </c>
      <c r="D20" t="s">
        <v>1380</v>
      </c>
      <c r="E20" t="s">
        <v>1325</v>
      </c>
      <c r="F20">
        <v>60000</v>
      </c>
      <c r="G20" t="s">
        <v>4201</v>
      </c>
      <c r="H20" s="3">
        <v>42994</v>
      </c>
      <c r="I20" t="s">
        <v>214</v>
      </c>
      <c r="J20">
        <v>55000</v>
      </c>
      <c r="K20" s="1" t="s">
        <v>67</v>
      </c>
      <c r="M20" s="3">
        <v>42996</v>
      </c>
      <c r="N20" t="s">
        <v>54</v>
      </c>
      <c r="O20" t="s">
        <v>214</v>
      </c>
      <c r="P20" t="s">
        <v>56</v>
      </c>
      <c r="Q20">
        <v>49250</v>
      </c>
      <c r="R20" s="3">
        <v>43080</v>
      </c>
      <c r="S20" t="s">
        <v>54</v>
      </c>
      <c r="T20" t="s">
        <v>1596</v>
      </c>
      <c r="U20" t="s">
        <v>60</v>
      </c>
      <c r="V20">
        <v>4900</v>
      </c>
      <c r="AG20" s="4" t="s">
        <v>4202</v>
      </c>
      <c r="AH20" s="3">
        <v>43045</v>
      </c>
      <c r="AI20" s="4">
        <v>60000</v>
      </c>
      <c r="AJ20">
        <v>0</v>
      </c>
      <c r="AS20" t="s">
        <v>4199</v>
      </c>
      <c r="AT20" s="3">
        <v>43140</v>
      </c>
      <c r="AU20">
        <v>60000</v>
      </c>
      <c r="AV20">
        <v>0</v>
      </c>
      <c r="AW20">
        <v>0</v>
      </c>
      <c r="AX20">
        <v>0</v>
      </c>
    </row>
    <row r="21" spans="1:50" x14ac:dyDescent="0.25">
      <c r="A21" t="s">
        <v>4203</v>
      </c>
      <c r="B21" s="3">
        <v>43006</v>
      </c>
      <c r="C21" t="s">
        <v>1325</v>
      </c>
      <c r="D21" t="s">
        <v>2895</v>
      </c>
      <c r="E21" t="s">
        <v>1325</v>
      </c>
      <c r="F21">
        <v>30500</v>
      </c>
      <c r="G21" t="s">
        <v>4204</v>
      </c>
      <c r="H21" s="3">
        <v>43006</v>
      </c>
      <c r="I21" t="s">
        <v>344</v>
      </c>
      <c r="J21">
        <v>29000</v>
      </c>
      <c r="K21" s="1"/>
      <c r="M21" s="3">
        <v>43011</v>
      </c>
      <c r="N21" t="s">
        <v>1336</v>
      </c>
      <c r="P21" t="s">
        <v>56</v>
      </c>
      <c r="Q21">
        <v>10000</v>
      </c>
      <c r="R21" s="3">
        <v>43011</v>
      </c>
      <c r="S21" t="s">
        <v>54</v>
      </c>
      <c r="T21" t="s">
        <v>4205</v>
      </c>
      <c r="U21" t="s">
        <v>56</v>
      </c>
      <c r="V21">
        <v>15700</v>
      </c>
      <c r="W21" s="3">
        <v>43033</v>
      </c>
      <c r="X21" t="s">
        <v>54</v>
      </c>
      <c r="Y21" t="s">
        <v>494</v>
      </c>
      <c r="Z21" t="s">
        <v>60</v>
      </c>
      <c r="AA21">
        <v>2950</v>
      </c>
      <c r="AG21" t="s">
        <v>4206</v>
      </c>
      <c r="AH21" s="3">
        <v>43031</v>
      </c>
      <c r="AI21">
        <v>30500</v>
      </c>
      <c r="AJ21">
        <v>0</v>
      </c>
      <c r="AS21" t="s">
        <v>4207</v>
      </c>
      <c r="AT21" s="3">
        <v>43106</v>
      </c>
      <c r="AU21">
        <v>29890</v>
      </c>
      <c r="AV21">
        <v>0</v>
      </c>
      <c r="AW21">
        <v>610</v>
      </c>
      <c r="AX21">
        <v>0</v>
      </c>
    </row>
    <row r="22" spans="1:50" x14ac:dyDescent="0.25">
      <c r="A22" t="s">
        <v>4208</v>
      </c>
      <c r="B22" s="3">
        <v>43036</v>
      </c>
      <c r="C22" t="s">
        <v>1325</v>
      </c>
      <c r="D22" t="s">
        <v>4209</v>
      </c>
      <c r="E22" t="s">
        <v>1325</v>
      </c>
      <c r="F22">
        <v>9500</v>
      </c>
      <c r="G22" t="s">
        <v>4210</v>
      </c>
      <c r="H22" s="3">
        <v>43036</v>
      </c>
      <c r="I22" t="s">
        <v>344</v>
      </c>
      <c r="J22">
        <v>8500</v>
      </c>
      <c r="K22" s="1"/>
      <c r="M22" s="3">
        <v>43039</v>
      </c>
      <c r="N22" t="s">
        <v>54</v>
      </c>
      <c r="O22" t="s">
        <v>579</v>
      </c>
      <c r="P22" t="s">
        <v>56</v>
      </c>
      <c r="Q22">
        <v>4400</v>
      </c>
      <c r="R22" s="3">
        <v>43039</v>
      </c>
      <c r="S22" t="s">
        <v>57</v>
      </c>
      <c r="U22" t="s">
        <v>56</v>
      </c>
      <c r="V22">
        <v>3000</v>
      </c>
      <c r="W22" s="3">
        <v>43057</v>
      </c>
      <c r="X22" t="s">
        <v>54</v>
      </c>
      <c r="Y22" t="s">
        <v>411</v>
      </c>
      <c r="Z22" t="s">
        <v>60</v>
      </c>
      <c r="AA22">
        <v>970</v>
      </c>
      <c r="AG22" t="s">
        <v>4211</v>
      </c>
      <c r="AH22" s="3">
        <v>43060</v>
      </c>
      <c r="AI22">
        <v>9500</v>
      </c>
      <c r="AJ22">
        <v>0</v>
      </c>
      <c r="AS22" t="s">
        <v>4212</v>
      </c>
      <c r="AT22" s="3">
        <v>43118</v>
      </c>
      <c r="AU22">
        <v>9310</v>
      </c>
      <c r="AV22">
        <v>0</v>
      </c>
      <c r="AW22">
        <v>190</v>
      </c>
      <c r="AX22">
        <v>0</v>
      </c>
    </row>
    <row r="23" spans="1:50" x14ac:dyDescent="0.25">
      <c r="A23" t="s">
        <v>4213</v>
      </c>
      <c r="B23" s="3">
        <v>43036</v>
      </c>
      <c r="C23" t="s">
        <v>1325</v>
      </c>
      <c r="D23" t="s">
        <v>4209</v>
      </c>
      <c r="E23" t="s">
        <v>1325</v>
      </c>
      <c r="F23">
        <v>15000</v>
      </c>
      <c r="G23" t="s">
        <v>4214</v>
      </c>
      <c r="H23" s="3">
        <v>43036</v>
      </c>
      <c r="I23" t="s">
        <v>4215</v>
      </c>
      <c r="J23">
        <v>13500</v>
      </c>
      <c r="K23" s="1"/>
      <c r="M23" s="3">
        <v>43039</v>
      </c>
      <c r="N23" t="s">
        <v>57</v>
      </c>
      <c r="P23" t="s">
        <v>56</v>
      </c>
      <c r="Q23">
        <v>11000</v>
      </c>
      <c r="R23" s="3">
        <v>43071</v>
      </c>
      <c r="S23" t="s">
        <v>54</v>
      </c>
      <c r="T23" t="s">
        <v>4216</v>
      </c>
      <c r="U23" t="s">
        <v>60</v>
      </c>
      <c r="V23">
        <v>1950</v>
      </c>
      <c r="AG23" t="s">
        <v>4217</v>
      </c>
      <c r="AH23" s="3">
        <v>43057</v>
      </c>
      <c r="AI23">
        <v>15000</v>
      </c>
      <c r="AJ23">
        <v>0</v>
      </c>
      <c r="AS23" t="s">
        <v>4212</v>
      </c>
      <c r="AT23" s="3">
        <v>43118</v>
      </c>
      <c r="AU23">
        <v>14700</v>
      </c>
      <c r="AV23">
        <v>0</v>
      </c>
      <c r="AW23">
        <v>300</v>
      </c>
      <c r="AX23">
        <v>0</v>
      </c>
    </row>
    <row r="24" spans="1:50" x14ac:dyDescent="0.25">
      <c r="A24" s="4" t="s">
        <v>4218</v>
      </c>
      <c r="B24" s="3">
        <v>43038</v>
      </c>
      <c r="C24" t="s">
        <v>1325</v>
      </c>
      <c r="D24" t="s">
        <v>1380</v>
      </c>
      <c r="E24" t="s">
        <v>1325</v>
      </c>
      <c r="F24">
        <v>93000</v>
      </c>
      <c r="G24" t="s">
        <v>4219</v>
      </c>
      <c r="H24" s="3">
        <v>43038</v>
      </c>
      <c r="I24" t="s">
        <v>66</v>
      </c>
      <c r="J24">
        <v>85000</v>
      </c>
      <c r="K24" s="1" t="s">
        <v>67</v>
      </c>
      <c r="M24" s="3">
        <v>43043</v>
      </c>
      <c r="N24" t="s">
        <v>54</v>
      </c>
      <c r="O24" t="s">
        <v>77</v>
      </c>
      <c r="P24" t="s">
        <v>56</v>
      </c>
      <c r="Q24">
        <v>74200</v>
      </c>
      <c r="R24" s="3">
        <v>43095</v>
      </c>
      <c r="S24" t="s">
        <v>54</v>
      </c>
      <c r="T24" t="s">
        <v>69</v>
      </c>
      <c r="U24" t="s">
        <v>60</v>
      </c>
      <c r="V24">
        <v>9800</v>
      </c>
      <c r="AG24" s="4" t="s">
        <v>4220</v>
      </c>
      <c r="AH24" s="3">
        <v>43084</v>
      </c>
      <c r="AI24" s="4">
        <v>93000</v>
      </c>
      <c r="AJ24">
        <v>0</v>
      </c>
      <c r="AS24" t="s">
        <v>4221</v>
      </c>
      <c r="AT24" s="3">
        <v>43165</v>
      </c>
      <c r="AU24">
        <v>93000</v>
      </c>
      <c r="AV24">
        <v>0</v>
      </c>
      <c r="AW24">
        <v>0</v>
      </c>
      <c r="AX24">
        <v>0</v>
      </c>
    </row>
    <row r="25" spans="1:50" x14ac:dyDescent="0.25">
      <c r="A25" s="4" t="s">
        <v>4222</v>
      </c>
      <c r="B25" s="3">
        <v>43053</v>
      </c>
      <c r="C25" t="s">
        <v>4118</v>
      </c>
      <c r="D25" t="s">
        <v>1380</v>
      </c>
      <c r="E25" t="s">
        <v>1325</v>
      </c>
      <c r="F25">
        <v>93000</v>
      </c>
      <c r="G25" t="s">
        <v>4223</v>
      </c>
      <c r="H25" s="3">
        <v>43053</v>
      </c>
      <c r="I25" t="s">
        <v>66</v>
      </c>
      <c r="J25">
        <v>85000</v>
      </c>
      <c r="K25" s="1" t="s">
        <v>67</v>
      </c>
      <c r="M25" s="3">
        <v>43053</v>
      </c>
      <c r="N25" t="s">
        <v>54</v>
      </c>
      <c r="O25" t="s">
        <v>69</v>
      </c>
      <c r="P25" t="s">
        <v>56</v>
      </c>
      <c r="Q25">
        <v>74200</v>
      </c>
      <c r="R25" s="3">
        <v>43125</v>
      </c>
      <c r="S25" t="s">
        <v>54</v>
      </c>
      <c r="T25" t="s">
        <v>77</v>
      </c>
      <c r="U25" t="s">
        <v>60</v>
      </c>
      <c r="V25">
        <v>9800</v>
      </c>
      <c r="AG25" s="4" t="s">
        <v>4224</v>
      </c>
      <c r="AH25" s="3">
        <v>43117</v>
      </c>
      <c r="AI25" s="4">
        <v>93000</v>
      </c>
      <c r="AJ25">
        <v>0</v>
      </c>
      <c r="AS25" t="s">
        <v>4225</v>
      </c>
      <c r="AT25" s="3">
        <v>43173</v>
      </c>
      <c r="AU25">
        <v>93000</v>
      </c>
      <c r="AV25">
        <v>0</v>
      </c>
      <c r="AW25">
        <v>0</v>
      </c>
      <c r="AX25">
        <v>0</v>
      </c>
    </row>
    <row r="26" spans="1:50" x14ac:dyDescent="0.25">
      <c r="A26" t="s">
        <v>4226</v>
      </c>
      <c r="B26" s="3">
        <v>43063</v>
      </c>
      <c r="C26" t="s">
        <v>1325</v>
      </c>
      <c r="D26" t="s">
        <v>4191</v>
      </c>
      <c r="E26" t="s">
        <v>1325</v>
      </c>
      <c r="F26">
        <v>55000</v>
      </c>
      <c r="G26" t="s">
        <v>4227</v>
      </c>
      <c r="H26" s="3">
        <v>43063</v>
      </c>
      <c r="I26" t="s">
        <v>344</v>
      </c>
      <c r="J26">
        <v>45000</v>
      </c>
      <c r="K26" s="1"/>
      <c r="M26" s="3">
        <v>43066</v>
      </c>
      <c r="N26" t="s">
        <v>54</v>
      </c>
      <c r="O26" t="s">
        <v>455</v>
      </c>
      <c r="P26" t="s">
        <v>56</v>
      </c>
      <c r="Q26">
        <v>19700</v>
      </c>
      <c r="R26" s="3">
        <v>43066</v>
      </c>
      <c r="S26" t="s">
        <v>1336</v>
      </c>
      <c r="T26" t="s">
        <v>455</v>
      </c>
      <c r="U26" t="s">
        <v>56</v>
      </c>
      <c r="V26">
        <v>15000</v>
      </c>
      <c r="W26" s="3">
        <v>43066</v>
      </c>
      <c r="X26" t="s">
        <v>57</v>
      </c>
      <c r="Y26" t="s">
        <v>443</v>
      </c>
      <c r="Z26" t="s">
        <v>56</v>
      </c>
      <c r="AA26">
        <v>5000</v>
      </c>
      <c r="AB26" s="3">
        <v>43111</v>
      </c>
      <c r="AC26" t="s">
        <v>54</v>
      </c>
      <c r="AD26" t="s">
        <v>494</v>
      </c>
      <c r="AE26" t="s">
        <v>60</v>
      </c>
      <c r="AF26">
        <v>4930</v>
      </c>
      <c r="AG26" t="s">
        <v>4228</v>
      </c>
      <c r="AH26" s="3">
        <v>43111</v>
      </c>
      <c r="AI26">
        <v>55000</v>
      </c>
      <c r="AJ26">
        <v>0</v>
      </c>
      <c r="AS26" t="s">
        <v>4229</v>
      </c>
      <c r="AT26" s="3">
        <v>43181</v>
      </c>
      <c r="AU26">
        <v>53900</v>
      </c>
      <c r="AV26">
        <v>0</v>
      </c>
      <c r="AW26">
        <v>1100</v>
      </c>
      <c r="AX26">
        <v>0</v>
      </c>
    </row>
    <row r="27" spans="1:50" x14ac:dyDescent="0.25">
      <c r="A27" t="s">
        <v>4230</v>
      </c>
      <c r="B27" s="3">
        <v>43070</v>
      </c>
      <c r="C27" t="s">
        <v>1325</v>
      </c>
      <c r="D27" t="s">
        <v>4231</v>
      </c>
      <c r="E27" t="s">
        <v>1325</v>
      </c>
      <c r="F27">
        <v>19500</v>
      </c>
      <c r="G27" t="s">
        <v>4232</v>
      </c>
      <c r="H27" s="3">
        <v>43070</v>
      </c>
      <c r="I27" t="s">
        <v>399</v>
      </c>
      <c r="J27">
        <v>17000</v>
      </c>
      <c r="K27" s="1"/>
      <c r="M27" s="3">
        <v>43071</v>
      </c>
      <c r="N27" t="s">
        <v>54</v>
      </c>
      <c r="O27" t="s">
        <v>3803</v>
      </c>
      <c r="P27" t="s">
        <v>56</v>
      </c>
      <c r="Q27">
        <v>14750</v>
      </c>
      <c r="R27" s="3">
        <v>43091</v>
      </c>
      <c r="S27" t="s">
        <v>54</v>
      </c>
      <c r="T27" t="s">
        <v>399</v>
      </c>
      <c r="U27" t="s">
        <v>60</v>
      </c>
      <c r="V27">
        <v>1950</v>
      </c>
      <c r="AG27" t="s">
        <v>4233</v>
      </c>
      <c r="AH27" s="3">
        <v>43104</v>
      </c>
      <c r="AI27">
        <v>19500</v>
      </c>
      <c r="AJ27">
        <v>0</v>
      </c>
      <c r="AS27" t="s">
        <v>4234</v>
      </c>
      <c r="AT27" s="3">
        <v>43151</v>
      </c>
      <c r="AU27">
        <v>48510</v>
      </c>
      <c r="AV27">
        <v>0</v>
      </c>
      <c r="AW27">
        <v>990</v>
      </c>
      <c r="AX27">
        <v>0</v>
      </c>
    </row>
    <row r="28" spans="1:50" x14ac:dyDescent="0.25">
      <c r="A28" t="s">
        <v>4235</v>
      </c>
      <c r="B28" s="3">
        <v>43080</v>
      </c>
      <c r="C28" t="s">
        <v>1325</v>
      </c>
      <c r="D28" t="s">
        <v>4236</v>
      </c>
      <c r="E28" t="s">
        <v>1325</v>
      </c>
      <c r="F28">
        <v>30000</v>
      </c>
      <c r="G28" t="s">
        <v>4237</v>
      </c>
      <c r="H28" s="3">
        <v>43080</v>
      </c>
      <c r="I28" t="s">
        <v>399</v>
      </c>
      <c r="J28">
        <v>26000</v>
      </c>
      <c r="K28" s="1"/>
      <c r="M28" s="3">
        <v>43082</v>
      </c>
      <c r="N28" t="s">
        <v>54</v>
      </c>
      <c r="O28" t="s">
        <v>488</v>
      </c>
      <c r="P28" t="s">
        <v>56</v>
      </c>
      <c r="Q28">
        <v>23750</v>
      </c>
      <c r="R28" s="3">
        <v>43106</v>
      </c>
      <c r="S28" t="s">
        <v>54</v>
      </c>
      <c r="T28" t="s">
        <v>489</v>
      </c>
      <c r="U28" t="s">
        <v>60</v>
      </c>
      <c r="V28">
        <v>1950</v>
      </c>
      <c r="AG28" t="s">
        <v>4233</v>
      </c>
      <c r="AH28" s="3">
        <v>43104</v>
      </c>
      <c r="AI28">
        <v>30000</v>
      </c>
      <c r="AJ28">
        <v>0</v>
      </c>
      <c r="AS28" t="s">
        <v>4234</v>
      </c>
      <c r="AT28" s="3">
        <v>43151</v>
      </c>
      <c r="AU28">
        <v>48510</v>
      </c>
      <c r="AV28">
        <v>0</v>
      </c>
      <c r="AW28">
        <v>990</v>
      </c>
      <c r="AX28">
        <v>0</v>
      </c>
    </row>
    <row r="29" spans="1:50" x14ac:dyDescent="0.25">
      <c r="A29" s="4" t="s">
        <v>4238</v>
      </c>
      <c r="B29" s="3">
        <v>43091</v>
      </c>
      <c r="C29" t="s">
        <v>1325</v>
      </c>
      <c r="D29" t="s">
        <v>3864</v>
      </c>
      <c r="E29" t="s">
        <v>1325</v>
      </c>
      <c r="F29">
        <v>88000</v>
      </c>
      <c r="G29" t="s">
        <v>4239</v>
      </c>
      <c r="H29" s="3">
        <v>43091</v>
      </c>
      <c r="I29" t="s">
        <v>66</v>
      </c>
      <c r="J29">
        <v>80000</v>
      </c>
      <c r="K29" s="1" t="s">
        <v>67</v>
      </c>
      <c r="M29" s="3">
        <v>43095</v>
      </c>
      <c r="N29" t="s">
        <v>54</v>
      </c>
      <c r="O29" t="s">
        <v>77</v>
      </c>
      <c r="P29" t="s">
        <v>56</v>
      </c>
      <c r="Q29">
        <v>70000</v>
      </c>
      <c r="R29" s="3">
        <v>43146</v>
      </c>
      <c r="S29" t="s">
        <v>54</v>
      </c>
      <c r="T29" t="s">
        <v>68</v>
      </c>
      <c r="U29" t="s">
        <v>60</v>
      </c>
      <c r="V29">
        <v>8800</v>
      </c>
      <c r="AG29" s="4" t="s">
        <v>4240</v>
      </c>
      <c r="AH29" s="3">
        <v>43147</v>
      </c>
      <c r="AI29" s="4">
        <v>88000</v>
      </c>
      <c r="AJ29">
        <v>0</v>
      </c>
      <c r="AS29" t="s">
        <v>4241</v>
      </c>
      <c r="AT29" s="3">
        <v>43243</v>
      </c>
      <c r="AU29">
        <v>88000</v>
      </c>
      <c r="AV29">
        <v>0</v>
      </c>
      <c r="AW29">
        <v>0</v>
      </c>
      <c r="AX29">
        <v>0</v>
      </c>
    </row>
    <row r="30" spans="1:50" x14ac:dyDescent="0.25">
      <c r="A30" s="4" t="s">
        <v>4242</v>
      </c>
      <c r="B30" s="3">
        <v>43091</v>
      </c>
      <c r="C30" t="s">
        <v>1325</v>
      </c>
      <c r="D30" t="s">
        <v>3864</v>
      </c>
      <c r="E30" t="s">
        <v>1325</v>
      </c>
      <c r="F30">
        <v>88000</v>
      </c>
      <c r="G30" t="s">
        <v>4243</v>
      </c>
      <c r="H30" s="3">
        <v>43091</v>
      </c>
      <c r="I30" t="s">
        <v>66</v>
      </c>
      <c r="J30">
        <v>80000</v>
      </c>
      <c r="K30" s="1" t="s">
        <v>67</v>
      </c>
      <c r="M30" s="3">
        <v>43095</v>
      </c>
      <c r="N30" t="s">
        <v>54</v>
      </c>
      <c r="O30" t="s">
        <v>77</v>
      </c>
      <c r="P30" t="s">
        <v>56</v>
      </c>
      <c r="Q30">
        <v>70000</v>
      </c>
      <c r="R30" s="3">
        <v>43162</v>
      </c>
      <c r="S30" t="s">
        <v>54</v>
      </c>
      <c r="T30" t="s">
        <v>69</v>
      </c>
      <c r="U30" t="s">
        <v>60</v>
      </c>
      <c r="V30">
        <v>8800</v>
      </c>
      <c r="AG30" s="4" t="s">
        <v>4244</v>
      </c>
      <c r="AH30" s="3">
        <v>43147</v>
      </c>
      <c r="AI30" s="4">
        <v>88000</v>
      </c>
      <c r="AJ30">
        <v>0</v>
      </c>
      <c r="AS30" t="s">
        <v>4245</v>
      </c>
      <c r="AT30" s="3">
        <v>43248</v>
      </c>
      <c r="AU30">
        <v>88000</v>
      </c>
      <c r="AV30">
        <v>0</v>
      </c>
      <c r="AW30">
        <v>0</v>
      </c>
      <c r="AX30">
        <v>0</v>
      </c>
    </row>
    <row r="31" spans="1:50" x14ac:dyDescent="0.25">
      <c r="A31" s="4" t="s">
        <v>4246</v>
      </c>
      <c r="B31" s="3">
        <v>43101</v>
      </c>
      <c r="C31" t="s">
        <v>1325</v>
      </c>
      <c r="D31" t="s">
        <v>3864</v>
      </c>
      <c r="E31" t="s">
        <v>1325</v>
      </c>
      <c r="F31">
        <v>90000</v>
      </c>
      <c r="G31" t="s">
        <v>4247</v>
      </c>
      <c r="H31" s="3">
        <v>43101</v>
      </c>
      <c r="I31" t="s">
        <v>66</v>
      </c>
      <c r="J31">
        <v>82000</v>
      </c>
      <c r="K31" s="1" t="s">
        <v>67</v>
      </c>
      <c r="M31" s="3">
        <v>43102</v>
      </c>
      <c r="N31" t="s">
        <v>54</v>
      </c>
      <c r="O31" t="s">
        <v>77</v>
      </c>
      <c r="P31" t="s">
        <v>56</v>
      </c>
      <c r="Q31">
        <v>71000</v>
      </c>
      <c r="R31" s="3">
        <v>43146</v>
      </c>
      <c r="S31" t="s">
        <v>54</v>
      </c>
      <c r="T31" t="s">
        <v>68</v>
      </c>
      <c r="U31" t="s">
        <v>60</v>
      </c>
      <c r="V31">
        <v>10300</v>
      </c>
      <c r="AG31" s="4" t="s">
        <v>4248</v>
      </c>
      <c r="AH31" s="3">
        <v>43159</v>
      </c>
      <c r="AI31" s="4">
        <v>90000</v>
      </c>
      <c r="AJ31">
        <v>0</v>
      </c>
      <c r="AS31" t="s">
        <v>4249</v>
      </c>
      <c r="AT31" s="3">
        <v>43251</v>
      </c>
      <c r="AU31">
        <v>90000</v>
      </c>
      <c r="AV31">
        <v>0</v>
      </c>
      <c r="AW31">
        <v>0</v>
      </c>
      <c r="AX31">
        <v>0</v>
      </c>
    </row>
    <row r="32" spans="1:50" x14ac:dyDescent="0.25">
      <c r="A32" s="4" t="s">
        <v>4250</v>
      </c>
      <c r="B32" s="3">
        <v>43128</v>
      </c>
      <c r="C32" t="s">
        <v>1325</v>
      </c>
      <c r="D32" t="s">
        <v>3864</v>
      </c>
      <c r="E32" t="s">
        <v>1325</v>
      </c>
      <c r="F32">
        <v>88000</v>
      </c>
      <c r="G32" t="s">
        <v>4251</v>
      </c>
      <c r="H32" s="3">
        <v>43128</v>
      </c>
      <c r="I32" t="s">
        <v>214</v>
      </c>
      <c r="J32">
        <v>79000</v>
      </c>
      <c r="K32" s="1" t="s">
        <v>67</v>
      </c>
      <c r="M32" s="3">
        <v>43131</v>
      </c>
      <c r="N32" t="s">
        <v>54</v>
      </c>
      <c r="O32" t="s">
        <v>1546</v>
      </c>
      <c r="P32" t="s">
        <v>56</v>
      </c>
      <c r="Q32">
        <v>67200</v>
      </c>
      <c r="R32" s="3">
        <v>43162</v>
      </c>
      <c r="S32" t="s">
        <v>54</v>
      </c>
      <c r="T32" t="s">
        <v>4252</v>
      </c>
      <c r="U32" t="s">
        <v>60</v>
      </c>
      <c r="V32">
        <v>10200</v>
      </c>
      <c r="AG32" s="4" t="s">
        <v>4253</v>
      </c>
      <c r="AH32" s="3">
        <v>43162</v>
      </c>
      <c r="AI32" s="4">
        <v>88000</v>
      </c>
      <c r="AJ32">
        <v>0</v>
      </c>
      <c r="AS32" t="s">
        <v>4254</v>
      </c>
      <c r="AT32" s="3">
        <v>43272</v>
      </c>
      <c r="AU32">
        <v>88000</v>
      </c>
      <c r="AV32">
        <v>0</v>
      </c>
      <c r="AW32">
        <v>0</v>
      </c>
      <c r="AX32">
        <v>0</v>
      </c>
    </row>
    <row r="33" spans="1:50" x14ac:dyDescent="0.25">
      <c r="A33" s="4" t="s">
        <v>4255</v>
      </c>
      <c r="B33" s="3">
        <v>43129</v>
      </c>
      <c r="C33" t="s">
        <v>1325</v>
      </c>
      <c r="D33" t="s">
        <v>3864</v>
      </c>
      <c r="E33" t="s">
        <v>1325</v>
      </c>
      <c r="F33">
        <v>80000</v>
      </c>
      <c r="G33" t="s">
        <v>4256</v>
      </c>
      <c r="H33" s="3">
        <v>43129</v>
      </c>
      <c r="I33" t="s">
        <v>214</v>
      </c>
      <c r="J33">
        <v>70000</v>
      </c>
      <c r="K33" s="1" t="s">
        <v>67</v>
      </c>
      <c r="M33" s="3">
        <v>43131</v>
      </c>
      <c r="N33" t="s">
        <v>54</v>
      </c>
      <c r="O33" t="s">
        <v>1546</v>
      </c>
      <c r="P33" t="s">
        <v>56</v>
      </c>
      <c r="Q33">
        <v>59200</v>
      </c>
      <c r="R33" s="3">
        <v>43162</v>
      </c>
      <c r="S33" t="s">
        <v>54</v>
      </c>
      <c r="T33" t="s">
        <v>4252</v>
      </c>
      <c r="U33" t="s">
        <v>60</v>
      </c>
      <c r="V33">
        <v>9800</v>
      </c>
      <c r="AG33" s="4" t="s">
        <v>4257</v>
      </c>
      <c r="AH33" s="3">
        <v>43162</v>
      </c>
      <c r="AI33" s="4">
        <v>80000</v>
      </c>
      <c r="AJ33">
        <v>0</v>
      </c>
      <c r="AS33" t="s">
        <v>4258</v>
      </c>
      <c r="AT33" s="3">
        <v>43255</v>
      </c>
      <c r="AU33">
        <v>80000</v>
      </c>
      <c r="AV33">
        <v>0</v>
      </c>
      <c r="AW33">
        <v>0</v>
      </c>
      <c r="AX33">
        <v>0</v>
      </c>
    </row>
    <row r="34" spans="1:50" x14ac:dyDescent="0.25">
      <c r="A34" s="4" t="s">
        <v>4259</v>
      </c>
      <c r="B34" s="3">
        <v>43143</v>
      </c>
      <c r="C34" t="s">
        <v>1325</v>
      </c>
      <c r="D34" t="s">
        <v>3864</v>
      </c>
      <c r="E34" t="s">
        <v>1325</v>
      </c>
      <c r="F34">
        <v>80000</v>
      </c>
      <c r="G34" t="s">
        <v>4260</v>
      </c>
      <c r="H34" s="3">
        <v>43143</v>
      </c>
      <c r="I34" t="s">
        <v>344</v>
      </c>
      <c r="J34">
        <v>72000</v>
      </c>
      <c r="K34" s="1" t="s">
        <v>67</v>
      </c>
      <c r="M34" s="3">
        <v>43155</v>
      </c>
      <c r="N34" t="s">
        <v>54</v>
      </c>
      <c r="O34" t="s">
        <v>4261</v>
      </c>
      <c r="P34" t="s">
        <v>56</v>
      </c>
      <c r="Q34">
        <v>61500</v>
      </c>
      <c r="R34" s="3">
        <v>43220</v>
      </c>
      <c r="S34" t="s">
        <v>54</v>
      </c>
      <c r="T34" t="s">
        <v>410</v>
      </c>
      <c r="U34" t="s">
        <v>60</v>
      </c>
      <c r="V34">
        <v>9800</v>
      </c>
      <c r="AG34" s="4" t="s">
        <v>4262</v>
      </c>
      <c r="AH34" s="3">
        <v>43188</v>
      </c>
      <c r="AI34" s="4">
        <v>80000</v>
      </c>
      <c r="AJ34">
        <v>0</v>
      </c>
      <c r="AS34" t="s">
        <v>4263</v>
      </c>
      <c r="AT34" s="3">
        <v>43263</v>
      </c>
      <c r="AU34">
        <v>80000</v>
      </c>
      <c r="AV34">
        <v>0</v>
      </c>
      <c r="AW34">
        <v>0</v>
      </c>
      <c r="AX34">
        <v>0</v>
      </c>
    </row>
    <row r="35" spans="1:50" x14ac:dyDescent="0.25">
      <c r="A35" s="4" t="s">
        <v>4264</v>
      </c>
      <c r="B35" s="3">
        <v>43144</v>
      </c>
      <c r="C35" t="s">
        <v>1325</v>
      </c>
      <c r="D35" t="s">
        <v>2871</v>
      </c>
      <c r="E35" t="s">
        <v>1325</v>
      </c>
      <c r="F35">
        <v>60000</v>
      </c>
      <c r="G35" t="s">
        <v>4265</v>
      </c>
      <c r="H35" s="3">
        <v>43144</v>
      </c>
      <c r="I35" t="s">
        <v>344</v>
      </c>
      <c r="J35">
        <v>55000</v>
      </c>
      <c r="K35" s="1" t="s">
        <v>67</v>
      </c>
      <c r="M35" s="3">
        <v>43155</v>
      </c>
      <c r="N35" t="s">
        <v>54</v>
      </c>
      <c r="O35" t="s">
        <v>4261</v>
      </c>
      <c r="P35" t="s">
        <v>56</v>
      </c>
      <c r="Q35">
        <v>44500</v>
      </c>
      <c r="R35" s="3">
        <v>43243</v>
      </c>
      <c r="S35" t="s">
        <v>54</v>
      </c>
      <c r="T35" t="s">
        <v>77</v>
      </c>
      <c r="U35" t="s">
        <v>60</v>
      </c>
      <c r="V35">
        <v>9800</v>
      </c>
      <c r="AG35" s="4" t="s">
        <v>4266</v>
      </c>
      <c r="AH35" s="3">
        <v>43188</v>
      </c>
      <c r="AI35" s="4">
        <v>60000</v>
      </c>
      <c r="AJ35">
        <v>0</v>
      </c>
      <c r="AS35" t="s">
        <v>4258</v>
      </c>
      <c r="AT35" s="3">
        <v>43255</v>
      </c>
      <c r="AU35">
        <v>60000</v>
      </c>
      <c r="AV35">
        <v>0</v>
      </c>
      <c r="AW35">
        <v>0</v>
      </c>
      <c r="AX35">
        <v>0</v>
      </c>
    </row>
    <row r="36" spans="1:50" x14ac:dyDescent="0.25">
      <c r="A36" t="s">
        <v>4267</v>
      </c>
      <c r="B36" s="3">
        <v>43162</v>
      </c>
      <c r="C36" t="s">
        <v>1325</v>
      </c>
      <c r="D36" t="s">
        <v>4231</v>
      </c>
      <c r="E36" t="s">
        <v>1325</v>
      </c>
      <c r="F36">
        <v>20000</v>
      </c>
      <c r="G36" t="s">
        <v>4268</v>
      </c>
      <c r="H36" s="3">
        <v>43162</v>
      </c>
      <c r="I36" t="s">
        <v>344</v>
      </c>
      <c r="J36">
        <v>18000</v>
      </c>
      <c r="K36" s="1"/>
      <c r="M36" s="3">
        <v>43167</v>
      </c>
      <c r="N36" t="s">
        <v>54</v>
      </c>
      <c r="O36" t="s">
        <v>410</v>
      </c>
      <c r="P36" t="s">
        <v>56</v>
      </c>
      <c r="Q36">
        <v>15750</v>
      </c>
      <c r="R36" s="3">
        <v>43182</v>
      </c>
      <c r="S36" t="s">
        <v>54</v>
      </c>
      <c r="T36" t="s">
        <v>410</v>
      </c>
      <c r="U36" t="s">
        <v>60</v>
      </c>
      <c r="V36">
        <v>1950</v>
      </c>
      <c r="AG36" t="s">
        <v>4269</v>
      </c>
      <c r="AH36" s="3">
        <v>43178</v>
      </c>
      <c r="AI36">
        <v>20000</v>
      </c>
      <c r="AJ36">
        <v>0</v>
      </c>
      <c r="AS36" t="s">
        <v>4270</v>
      </c>
      <c r="AT36" s="3">
        <v>43220</v>
      </c>
      <c r="AU36">
        <v>19600</v>
      </c>
      <c r="AV36">
        <v>0</v>
      </c>
      <c r="AW36">
        <v>400</v>
      </c>
      <c r="AX36">
        <v>0</v>
      </c>
    </row>
    <row r="37" spans="1:50" x14ac:dyDescent="0.25">
      <c r="A37" s="4" t="s">
        <v>4271</v>
      </c>
      <c r="B37" s="3">
        <v>43162</v>
      </c>
      <c r="C37" t="s">
        <v>1325</v>
      </c>
      <c r="D37" t="s">
        <v>2895</v>
      </c>
      <c r="E37" t="s">
        <v>1325</v>
      </c>
      <c r="F37">
        <v>60000</v>
      </c>
      <c r="G37" t="s">
        <v>4272</v>
      </c>
      <c r="H37" s="3">
        <v>43162</v>
      </c>
      <c r="I37" t="s">
        <v>66</v>
      </c>
      <c r="J37">
        <v>55000</v>
      </c>
      <c r="K37" s="1" t="s">
        <v>67</v>
      </c>
      <c r="M37" s="3">
        <v>43173</v>
      </c>
      <c r="N37" t="s">
        <v>54</v>
      </c>
      <c r="O37" t="s">
        <v>68</v>
      </c>
      <c r="P37" t="s">
        <v>56</v>
      </c>
      <c r="Q37">
        <v>49200</v>
      </c>
      <c r="R37" s="3">
        <v>43251</v>
      </c>
      <c r="S37" t="s">
        <v>54</v>
      </c>
      <c r="T37" t="s">
        <v>77</v>
      </c>
      <c r="U37" t="s">
        <v>60</v>
      </c>
      <c r="V37">
        <v>4900</v>
      </c>
      <c r="AG37" s="4" t="s">
        <v>4273</v>
      </c>
      <c r="AH37" s="3">
        <v>43234</v>
      </c>
      <c r="AI37" s="4">
        <v>60000</v>
      </c>
      <c r="AJ37">
        <v>0</v>
      </c>
      <c r="AS37" t="s">
        <v>4274</v>
      </c>
      <c r="AT37" s="3">
        <v>43425</v>
      </c>
      <c r="AU37">
        <v>60000</v>
      </c>
      <c r="AV37">
        <v>0</v>
      </c>
      <c r="AW37">
        <v>0</v>
      </c>
      <c r="AX37">
        <v>0</v>
      </c>
    </row>
    <row r="38" spans="1:50" x14ac:dyDescent="0.25">
      <c r="A38" s="4" t="s">
        <v>4275</v>
      </c>
      <c r="B38" s="3">
        <v>43162</v>
      </c>
      <c r="C38" t="s">
        <v>1325</v>
      </c>
      <c r="D38" t="s">
        <v>2895</v>
      </c>
      <c r="E38" t="s">
        <v>1325</v>
      </c>
      <c r="F38">
        <v>60000</v>
      </c>
      <c r="G38" t="s">
        <v>4276</v>
      </c>
      <c r="H38" s="3">
        <v>43162</v>
      </c>
      <c r="I38" t="s">
        <v>66</v>
      </c>
      <c r="J38">
        <v>55000</v>
      </c>
      <c r="K38" s="1" t="s">
        <v>67</v>
      </c>
      <c r="M38" s="3">
        <v>43173</v>
      </c>
      <c r="N38" t="s">
        <v>54</v>
      </c>
      <c r="O38" t="s">
        <v>68</v>
      </c>
      <c r="P38" t="s">
        <v>56</v>
      </c>
      <c r="Q38">
        <v>49200</v>
      </c>
      <c r="R38" s="3">
        <v>43251</v>
      </c>
      <c r="S38" t="s">
        <v>54</v>
      </c>
      <c r="T38" t="s">
        <v>77</v>
      </c>
      <c r="U38" t="s">
        <v>60</v>
      </c>
      <c r="V38">
        <v>4900</v>
      </c>
      <c r="AG38" s="4" t="s">
        <v>4277</v>
      </c>
      <c r="AH38" s="3">
        <v>43234</v>
      </c>
      <c r="AI38" s="4">
        <v>60000</v>
      </c>
      <c r="AJ38">
        <v>60000</v>
      </c>
    </row>
    <row r="39" spans="1:50" x14ac:dyDescent="0.25">
      <c r="A39" s="4" t="s">
        <v>4278</v>
      </c>
      <c r="B39" s="3">
        <v>43169</v>
      </c>
      <c r="C39" t="s">
        <v>1325</v>
      </c>
      <c r="D39" t="s">
        <v>3864</v>
      </c>
      <c r="E39" t="s">
        <v>1325</v>
      </c>
      <c r="F39">
        <v>60000</v>
      </c>
      <c r="G39" t="s">
        <v>4279</v>
      </c>
      <c r="H39" s="3">
        <v>43169</v>
      </c>
      <c r="I39" t="s">
        <v>66</v>
      </c>
      <c r="J39">
        <v>53000</v>
      </c>
      <c r="K39" s="1" t="s">
        <v>67</v>
      </c>
      <c r="M39" s="3">
        <v>43173</v>
      </c>
      <c r="N39" t="s">
        <v>54</v>
      </c>
      <c r="O39" t="s">
        <v>68</v>
      </c>
      <c r="P39" t="s">
        <v>56</v>
      </c>
      <c r="Q39">
        <v>47400</v>
      </c>
      <c r="R39" s="3">
        <v>43215</v>
      </c>
      <c r="S39" t="s">
        <v>54</v>
      </c>
      <c r="T39" t="s">
        <v>1191</v>
      </c>
      <c r="U39" t="s">
        <v>60</v>
      </c>
      <c r="V39">
        <v>4900</v>
      </c>
      <c r="AG39" s="4" t="s">
        <v>4280</v>
      </c>
      <c r="AH39" s="3">
        <v>43227</v>
      </c>
      <c r="AI39" s="4">
        <v>60000</v>
      </c>
      <c r="AJ39">
        <v>0</v>
      </c>
      <c r="AS39" t="s">
        <v>4281</v>
      </c>
      <c r="AT39" s="3">
        <v>43416</v>
      </c>
      <c r="AU39">
        <v>60000</v>
      </c>
      <c r="AV39">
        <v>0</v>
      </c>
      <c r="AW39">
        <v>0</v>
      </c>
      <c r="AX39">
        <v>0</v>
      </c>
    </row>
    <row r="40" spans="1:50" x14ac:dyDescent="0.25">
      <c r="A40" s="4" t="s">
        <v>4282</v>
      </c>
      <c r="B40" s="3">
        <v>43171</v>
      </c>
      <c r="C40" t="s">
        <v>1325</v>
      </c>
      <c r="D40" t="s">
        <v>3864</v>
      </c>
      <c r="E40" t="s">
        <v>1325</v>
      </c>
      <c r="F40">
        <v>60000</v>
      </c>
      <c r="G40" t="s">
        <v>4283</v>
      </c>
      <c r="H40" s="3">
        <v>43171</v>
      </c>
      <c r="I40" t="s">
        <v>66</v>
      </c>
      <c r="J40">
        <v>53000</v>
      </c>
      <c r="K40" s="1" t="s">
        <v>67</v>
      </c>
      <c r="M40" s="3">
        <v>43173</v>
      </c>
      <c r="N40" t="s">
        <v>54</v>
      </c>
      <c r="O40" t="s">
        <v>68</v>
      </c>
      <c r="P40" t="s">
        <v>56</v>
      </c>
      <c r="Q40">
        <v>47400</v>
      </c>
      <c r="R40" s="3">
        <v>43224</v>
      </c>
      <c r="S40" t="s">
        <v>54</v>
      </c>
      <c r="T40" t="s">
        <v>66</v>
      </c>
      <c r="U40" t="s">
        <v>60</v>
      </c>
      <c r="V40">
        <v>4900</v>
      </c>
      <c r="AG40" s="4" t="s">
        <v>4284</v>
      </c>
      <c r="AH40" s="3">
        <v>43234</v>
      </c>
      <c r="AI40" s="4">
        <v>60000</v>
      </c>
      <c r="AJ40">
        <v>60000</v>
      </c>
    </row>
    <row r="41" spans="1:50" x14ac:dyDescent="0.25">
      <c r="A41" t="s">
        <v>4285</v>
      </c>
      <c r="B41" s="3">
        <v>43174</v>
      </c>
      <c r="C41" t="s">
        <v>1325</v>
      </c>
      <c r="D41" t="s">
        <v>4286</v>
      </c>
      <c r="E41" t="s">
        <v>1325</v>
      </c>
      <c r="F41">
        <v>27500</v>
      </c>
      <c r="G41" t="s">
        <v>4287</v>
      </c>
      <c r="H41" s="3">
        <v>43175</v>
      </c>
      <c r="I41" t="s">
        <v>1244</v>
      </c>
      <c r="J41">
        <v>25000</v>
      </c>
      <c r="K41" s="1"/>
      <c r="M41" s="3">
        <v>43178</v>
      </c>
      <c r="N41" t="s">
        <v>54</v>
      </c>
      <c r="O41" t="s">
        <v>4288</v>
      </c>
      <c r="P41" t="s">
        <v>56</v>
      </c>
      <c r="Q41">
        <v>21500</v>
      </c>
      <c r="R41" s="3">
        <v>43195</v>
      </c>
      <c r="S41" t="s">
        <v>54</v>
      </c>
      <c r="T41" t="s">
        <v>2038</v>
      </c>
      <c r="U41" t="s">
        <v>60</v>
      </c>
      <c r="V41">
        <v>2950</v>
      </c>
      <c r="AG41" t="s">
        <v>4289</v>
      </c>
      <c r="AH41" s="3">
        <v>43190</v>
      </c>
      <c r="AI41">
        <v>27500</v>
      </c>
      <c r="AJ41">
        <v>0</v>
      </c>
      <c r="AS41" t="s">
        <v>4290</v>
      </c>
      <c r="AT41" s="3">
        <v>43235</v>
      </c>
      <c r="AU41">
        <v>26950</v>
      </c>
      <c r="AV41">
        <v>0</v>
      </c>
      <c r="AW41">
        <v>550</v>
      </c>
      <c r="AX41">
        <v>0</v>
      </c>
    </row>
    <row r="42" spans="1:50" x14ac:dyDescent="0.25">
      <c r="A42" t="s">
        <v>4291</v>
      </c>
      <c r="B42" s="3">
        <v>43183</v>
      </c>
      <c r="C42" t="s">
        <v>1325</v>
      </c>
      <c r="D42" t="s">
        <v>1727</v>
      </c>
      <c r="E42" t="s">
        <v>1325</v>
      </c>
      <c r="F42">
        <v>20000</v>
      </c>
      <c r="G42" t="s">
        <v>4292</v>
      </c>
      <c r="H42" s="3">
        <v>43183</v>
      </c>
      <c r="I42" t="s">
        <v>339</v>
      </c>
      <c r="J42">
        <v>28000</v>
      </c>
      <c r="K42" s="1"/>
      <c r="M42" s="3">
        <v>43186</v>
      </c>
      <c r="N42" t="s">
        <v>54</v>
      </c>
      <c r="O42" t="s">
        <v>328</v>
      </c>
      <c r="P42" t="s">
        <v>56</v>
      </c>
      <c r="Q42">
        <v>24600</v>
      </c>
      <c r="R42" s="3">
        <v>43237</v>
      </c>
      <c r="S42" t="s">
        <v>54</v>
      </c>
      <c r="T42" t="s">
        <v>414</v>
      </c>
      <c r="U42" t="s">
        <v>60</v>
      </c>
      <c r="V42">
        <v>2950</v>
      </c>
      <c r="AG42" t="s">
        <v>4293</v>
      </c>
      <c r="AH42" s="3">
        <v>43190</v>
      </c>
      <c r="AI42">
        <v>20000</v>
      </c>
      <c r="AJ42">
        <v>0</v>
      </c>
      <c r="AS42" t="s">
        <v>4290</v>
      </c>
      <c r="AT42" s="3">
        <v>43235</v>
      </c>
      <c r="AU42">
        <v>19600</v>
      </c>
      <c r="AV42">
        <v>0</v>
      </c>
      <c r="AW42">
        <v>400</v>
      </c>
      <c r="AX42">
        <v>0</v>
      </c>
    </row>
    <row r="43" spans="1:50" x14ac:dyDescent="0.25">
      <c r="A43" t="s">
        <v>4294</v>
      </c>
      <c r="B43" s="3">
        <v>43183</v>
      </c>
      <c r="C43" t="s">
        <v>1325</v>
      </c>
      <c r="D43" t="s">
        <v>4295</v>
      </c>
      <c r="E43" t="s">
        <v>1325</v>
      </c>
      <c r="F43">
        <v>12000</v>
      </c>
      <c r="K43" s="1"/>
      <c r="AG43" t="s">
        <v>4296</v>
      </c>
      <c r="AH43" s="3">
        <v>43203</v>
      </c>
      <c r="AI43">
        <v>12000</v>
      </c>
      <c r="AJ43">
        <v>0</v>
      </c>
      <c r="AS43" t="s">
        <v>4297</v>
      </c>
      <c r="AT43" s="3">
        <v>43287</v>
      </c>
      <c r="AU43">
        <v>11760</v>
      </c>
      <c r="AV43">
        <v>0</v>
      </c>
      <c r="AW43">
        <v>240</v>
      </c>
      <c r="AX43">
        <v>0</v>
      </c>
    </row>
    <row r="44" spans="1:50" x14ac:dyDescent="0.25">
      <c r="A44" t="s">
        <v>4298</v>
      </c>
      <c r="B44" s="3">
        <v>43214</v>
      </c>
      <c r="C44" t="s">
        <v>1325</v>
      </c>
      <c r="D44" t="s">
        <v>4299</v>
      </c>
      <c r="E44" t="s">
        <v>1325</v>
      </c>
      <c r="F44">
        <v>40000</v>
      </c>
      <c r="G44" t="s">
        <v>4300</v>
      </c>
      <c r="H44" s="3">
        <v>43214</v>
      </c>
      <c r="I44" t="s">
        <v>1368</v>
      </c>
      <c r="J44">
        <v>38000</v>
      </c>
      <c r="K44" s="1"/>
      <c r="M44" s="3">
        <v>43220</v>
      </c>
      <c r="N44" t="s">
        <v>54</v>
      </c>
      <c r="O44" t="s">
        <v>4301</v>
      </c>
      <c r="P44" t="s">
        <v>56</v>
      </c>
      <c r="Q44">
        <v>24400</v>
      </c>
      <c r="R44" s="3">
        <v>43220</v>
      </c>
      <c r="S44" t="s">
        <v>1336</v>
      </c>
      <c r="U44" t="s">
        <v>56</v>
      </c>
      <c r="V44">
        <v>10000</v>
      </c>
      <c r="W44" s="3">
        <v>43239</v>
      </c>
      <c r="X44" t="s">
        <v>54</v>
      </c>
      <c r="Y44" t="s">
        <v>1371</v>
      </c>
      <c r="Z44" t="s">
        <v>60</v>
      </c>
      <c r="AA44">
        <v>2950</v>
      </c>
      <c r="AG44" t="s">
        <v>4302</v>
      </c>
      <c r="AH44" s="3">
        <v>43248</v>
      </c>
      <c r="AI44">
        <v>40000</v>
      </c>
      <c r="AJ44">
        <v>1600</v>
      </c>
      <c r="AS44" t="s">
        <v>4297</v>
      </c>
      <c r="AT44" s="3">
        <v>43287</v>
      </c>
      <c r="AU44">
        <v>213020</v>
      </c>
      <c r="AV44">
        <v>0</v>
      </c>
      <c r="AW44">
        <v>4380</v>
      </c>
      <c r="AX44">
        <v>1600</v>
      </c>
    </row>
    <row r="45" spans="1:50" x14ac:dyDescent="0.25">
      <c r="A45" t="s">
        <v>4303</v>
      </c>
      <c r="B45" s="3">
        <v>43214</v>
      </c>
      <c r="C45" t="s">
        <v>1325</v>
      </c>
      <c r="D45" t="s">
        <v>4299</v>
      </c>
      <c r="E45" t="s">
        <v>1325</v>
      </c>
      <c r="F45">
        <v>40000</v>
      </c>
      <c r="G45" t="s">
        <v>4304</v>
      </c>
      <c r="H45" s="3">
        <v>43214</v>
      </c>
      <c r="I45" t="s">
        <v>1368</v>
      </c>
      <c r="J45">
        <v>38000</v>
      </c>
      <c r="K45" s="1"/>
      <c r="M45" s="3">
        <v>43220</v>
      </c>
      <c r="N45" t="s">
        <v>1336</v>
      </c>
      <c r="P45" t="s">
        <v>56</v>
      </c>
      <c r="Q45">
        <v>10000</v>
      </c>
      <c r="R45" s="3">
        <v>43220</v>
      </c>
      <c r="S45" t="s">
        <v>54</v>
      </c>
      <c r="T45" t="s">
        <v>4305</v>
      </c>
      <c r="U45" t="s">
        <v>56</v>
      </c>
      <c r="V45">
        <v>24400</v>
      </c>
      <c r="W45" s="3">
        <v>43273</v>
      </c>
      <c r="X45" t="s">
        <v>54</v>
      </c>
      <c r="Y45" t="s">
        <v>1371</v>
      </c>
      <c r="Z45" t="s">
        <v>60</v>
      </c>
      <c r="AA45">
        <v>2900</v>
      </c>
      <c r="AG45" t="s">
        <v>4302</v>
      </c>
      <c r="AH45" s="3">
        <v>43248</v>
      </c>
      <c r="AI45">
        <v>40000</v>
      </c>
      <c r="AJ45">
        <v>1600</v>
      </c>
      <c r="AS45" t="s">
        <v>4297</v>
      </c>
      <c r="AT45" s="3">
        <v>43287</v>
      </c>
      <c r="AU45">
        <v>213020</v>
      </c>
      <c r="AV45">
        <v>0</v>
      </c>
      <c r="AW45">
        <v>4380</v>
      </c>
      <c r="AX45">
        <v>1600</v>
      </c>
    </row>
    <row r="46" spans="1:50" x14ac:dyDescent="0.25">
      <c r="A46" t="s">
        <v>4306</v>
      </c>
      <c r="B46" s="3">
        <v>43214</v>
      </c>
      <c r="C46" t="s">
        <v>1325</v>
      </c>
      <c r="D46" t="s">
        <v>4299</v>
      </c>
      <c r="E46" t="s">
        <v>1325</v>
      </c>
      <c r="F46">
        <v>41000</v>
      </c>
      <c r="G46" t="s">
        <v>4307</v>
      </c>
      <c r="H46" s="3">
        <v>43214</v>
      </c>
      <c r="I46" t="s">
        <v>1368</v>
      </c>
      <c r="J46">
        <v>38000</v>
      </c>
      <c r="K46" s="1"/>
      <c r="M46" s="3">
        <v>43220</v>
      </c>
      <c r="N46" t="s">
        <v>1336</v>
      </c>
      <c r="P46" t="s">
        <v>56</v>
      </c>
      <c r="Q46">
        <v>10000</v>
      </c>
      <c r="R46" s="3">
        <v>43220</v>
      </c>
      <c r="S46" t="s">
        <v>54</v>
      </c>
      <c r="T46" t="s">
        <v>4308</v>
      </c>
      <c r="U46" t="s">
        <v>56</v>
      </c>
      <c r="V46">
        <v>24400</v>
      </c>
      <c r="W46" s="3">
        <v>43239</v>
      </c>
      <c r="X46" t="s">
        <v>54</v>
      </c>
      <c r="Y46" t="s">
        <v>1371</v>
      </c>
      <c r="Z46" t="s">
        <v>60</v>
      </c>
      <c r="AA46">
        <v>2950</v>
      </c>
      <c r="AG46" t="s">
        <v>4309</v>
      </c>
      <c r="AH46" s="3">
        <v>43256</v>
      </c>
      <c r="AI46">
        <v>41000</v>
      </c>
      <c r="AJ46">
        <v>0</v>
      </c>
      <c r="AS46" t="s">
        <v>4310</v>
      </c>
      <c r="AT46" s="3">
        <v>43385</v>
      </c>
      <c r="AU46">
        <v>40180</v>
      </c>
      <c r="AV46">
        <v>0</v>
      </c>
      <c r="AW46">
        <v>820</v>
      </c>
      <c r="AX46">
        <v>0</v>
      </c>
    </row>
    <row r="47" spans="1:50" x14ac:dyDescent="0.25">
      <c r="A47" t="s">
        <v>4311</v>
      </c>
      <c r="B47" s="3">
        <v>43223</v>
      </c>
      <c r="C47" t="s">
        <v>1325</v>
      </c>
      <c r="D47" t="s">
        <v>4312</v>
      </c>
      <c r="E47" t="s">
        <v>1325</v>
      </c>
      <c r="F47">
        <v>41000</v>
      </c>
      <c r="G47" t="s">
        <v>4313</v>
      </c>
      <c r="H47" s="3">
        <v>43223</v>
      </c>
      <c r="I47" t="s">
        <v>2514</v>
      </c>
      <c r="J47">
        <v>37500</v>
      </c>
      <c r="K47" s="1"/>
      <c r="M47" s="3">
        <v>43224</v>
      </c>
      <c r="N47" t="s">
        <v>54</v>
      </c>
      <c r="O47" t="s">
        <v>2515</v>
      </c>
      <c r="P47" t="s">
        <v>56</v>
      </c>
      <c r="Q47">
        <v>23600</v>
      </c>
      <c r="R47" s="3">
        <v>43224</v>
      </c>
      <c r="S47" t="s">
        <v>1336</v>
      </c>
      <c r="U47" t="s">
        <v>56</v>
      </c>
      <c r="V47">
        <v>10000</v>
      </c>
      <c r="W47" s="3">
        <v>43255</v>
      </c>
      <c r="X47" t="s">
        <v>54</v>
      </c>
      <c r="Y47" t="s">
        <v>2515</v>
      </c>
      <c r="Z47" t="s">
        <v>60</v>
      </c>
      <c r="AA47">
        <v>3450</v>
      </c>
      <c r="AG47" t="s">
        <v>4302</v>
      </c>
      <c r="AH47" s="3">
        <v>43248</v>
      </c>
      <c r="AI47">
        <v>41000</v>
      </c>
      <c r="AJ47">
        <v>1600</v>
      </c>
      <c r="AS47" t="s">
        <v>4297</v>
      </c>
      <c r="AT47" s="3">
        <v>43287</v>
      </c>
      <c r="AU47">
        <v>213020</v>
      </c>
      <c r="AV47">
        <v>0</v>
      </c>
      <c r="AW47">
        <v>4380</v>
      </c>
      <c r="AX47">
        <v>1600</v>
      </c>
    </row>
    <row r="48" spans="1:50" x14ac:dyDescent="0.25">
      <c r="A48" t="s">
        <v>4314</v>
      </c>
      <c r="B48" s="3">
        <v>43223</v>
      </c>
      <c r="C48" t="s">
        <v>1325</v>
      </c>
      <c r="D48" t="s">
        <v>4312</v>
      </c>
      <c r="E48" t="s">
        <v>1325</v>
      </c>
      <c r="F48">
        <v>49000</v>
      </c>
      <c r="G48" t="s">
        <v>4315</v>
      </c>
      <c r="H48" s="3">
        <v>43223</v>
      </c>
      <c r="I48" t="s">
        <v>2514</v>
      </c>
      <c r="J48">
        <v>45000</v>
      </c>
      <c r="K48" s="1"/>
      <c r="M48" s="3">
        <v>43224</v>
      </c>
      <c r="N48" t="s">
        <v>1336</v>
      </c>
      <c r="P48" t="s">
        <v>56</v>
      </c>
      <c r="Q48">
        <v>20000</v>
      </c>
      <c r="R48" s="3">
        <v>43224</v>
      </c>
      <c r="S48" t="s">
        <v>54</v>
      </c>
      <c r="T48" t="s">
        <v>2515</v>
      </c>
      <c r="U48" t="s">
        <v>56</v>
      </c>
      <c r="V48">
        <v>19600</v>
      </c>
      <c r="W48" s="3">
        <v>43255</v>
      </c>
      <c r="X48" t="s">
        <v>54</v>
      </c>
      <c r="Y48" t="s">
        <v>2515</v>
      </c>
      <c r="Z48" t="s">
        <v>60</v>
      </c>
      <c r="AA48">
        <v>4900</v>
      </c>
      <c r="AG48" t="s">
        <v>4302</v>
      </c>
      <c r="AH48" s="3">
        <v>43248</v>
      </c>
      <c r="AI48">
        <v>49000</v>
      </c>
      <c r="AJ48">
        <v>1600</v>
      </c>
      <c r="AS48" t="s">
        <v>4297</v>
      </c>
      <c r="AT48" s="3">
        <v>43287</v>
      </c>
      <c r="AU48">
        <v>213020</v>
      </c>
      <c r="AV48">
        <v>0</v>
      </c>
      <c r="AW48">
        <v>4380</v>
      </c>
      <c r="AX48">
        <v>1600</v>
      </c>
    </row>
    <row r="49" spans="1:50" x14ac:dyDescent="0.25">
      <c r="A49" t="s">
        <v>4316</v>
      </c>
      <c r="B49" s="3">
        <v>43223</v>
      </c>
      <c r="C49" t="s">
        <v>1325</v>
      </c>
      <c r="D49" t="s">
        <v>4312</v>
      </c>
      <c r="E49" t="s">
        <v>1325</v>
      </c>
      <c r="F49">
        <v>49000</v>
      </c>
      <c r="G49" t="s">
        <v>4317</v>
      </c>
      <c r="H49" s="3">
        <v>43223</v>
      </c>
      <c r="I49" t="s">
        <v>2514</v>
      </c>
      <c r="J49">
        <v>45000</v>
      </c>
      <c r="K49" s="1"/>
      <c r="M49" s="3">
        <v>43224</v>
      </c>
      <c r="N49" t="s">
        <v>1336</v>
      </c>
      <c r="P49" t="s">
        <v>56</v>
      </c>
      <c r="Q49">
        <v>20000</v>
      </c>
      <c r="R49" s="3">
        <v>43224</v>
      </c>
      <c r="S49" t="s">
        <v>54</v>
      </c>
      <c r="T49" t="s">
        <v>2515</v>
      </c>
      <c r="U49" t="s">
        <v>56</v>
      </c>
      <c r="V49">
        <v>19600</v>
      </c>
      <c r="W49" s="3">
        <v>43255</v>
      </c>
      <c r="X49" t="s">
        <v>54</v>
      </c>
      <c r="Y49" t="s">
        <v>2515</v>
      </c>
      <c r="Z49" t="s">
        <v>60</v>
      </c>
      <c r="AA49">
        <v>4900</v>
      </c>
      <c r="AG49" t="s">
        <v>4302</v>
      </c>
      <c r="AH49" s="3">
        <v>43248</v>
      </c>
      <c r="AI49">
        <v>49000</v>
      </c>
      <c r="AJ49">
        <v>1600</v>
      </c>
      <c r="AS49" t="s">
        <v>4297</v>
      </c>
      <c r="AT49" s="3">
        <v>43287</v>
      </c>
      <c r="AU49">
        <v>213020</v>
      </c>
      <c r="AV49">
        <v>0</v>
      </c>
      <c r="AW49">
        <v>4380</v>
      </c>
      <c r="AX49">
        <v>1600</v>
      </c>
    </row>
    <row r="50" spans="1:50" x14ac:dyDescent="0.25">
      <c r="A50" t="s">
        <v>4318</v>
      </c>
      <c r="B50" s="3">
        <v>43223</v>
      </c>
      <c r="C50" t="s">
        <v>1325</v>
      </c>
      <c r="D50" t="s">
        <v>1727</v>
      </c>
      <c r="E50" t="s">
        <v>1325</v>
      </c>
      <c r="F50">
        <v>29000</v>
      </c>
      <c r="G50" t="s">
        <v>4319</v>
      </c>
      <c r="H50" s="3">
        <v>43223</v>
      </c>
      <c r="I50" t="s">
        <v>230</v>
      </c>
      <c r="J50">
        <v>26000</v>
      </c>
      <c r="K50" s="1"/>
      <c r="M50" s="3">
        <v>43225</v>
      </c>
      <c r="N50" t="s">
        <v>54</v>
      </c>
      <c r="O50" t="s">
        <v>4320</v>
      </c>
      <c r="P50" t="s">
        <v>56</v>
      </c>
      <c r="Q50">
        <v>23750</v>
      </c>
      <c r="R50" s="3">
        <v>43245</v>
      </c>
      <c r="S50" t="s">
        <v>54</v>
      </c>
      <c r="T50" t="s">
        <v>720</v>
      </c>
      <c r="U50" t="s">
        <v>60</v>
      </c>
      <c r="V50">
        <v>1950</v>
      </c>
      <c r="AG50" t="s">
        <v>4321</v>
      </c>
      <c r="AH50" s="3">
        <v>43248</v>
      </c>
      <c r="AI50">
        <v>29000</v>
      </c>
      <c r="AJ50">
        <v>0</v>
      </c>
      <c r="AS50" t="s">
        <v>4297</v>
      </c>
      <c r="AT50" s="3">
        <v>43287</v>
      </c>
      <c r="AU50">
        <v>28420</v>
      </c>
      <c r="AV50">
        <v>0</v>
      </c>
      <c r="AW50">
        <v>580</v>
      </c>
      <c r="AX50">
        <v>0</v>
      </c>
    </row>
    <row r="51" spans="1:50" x14ac:dyDescent="0.25">
      <c r="A51" t="s">
        <v>4322</v>
      </c>
      <c r="B51" s="3">
        <v>43241</v>
      </c>
      <c r="C51" t="s">
        <v>1325</v>
      </c>
      <c r="D51" t="s">
        <v>4312</v>
      </c>
      <c r="E51" t="s">
        <v>1325</v>
      </c>
      <c r="F51">
        <v>49000</v>
      </c>
      <c r="G51" t="s">
        <v>4323</v>
      </c>
      <c r="H51" s="3">
        <v>43241</v>
      </c>
      <c r="I51" t="s">
        <v>2514</v>
      </c>
      <c r="J51">
        <v>43000</v>
      </c>
      <c r="K51" s="1"/>
      <c r="M51" s="3">
        <v>43243</v>
      </c>
      <c r="N51" t="s">
        <v>54</v>
      </c>
      <c r="O51" t="s">
        <v>2515</v>
      </c>
      <c r="P51" t="s">
        <v>56</v>
      </c>
      <c r="Q51">
        <v>37500</v>
      </c>
      <c r="R51" s="3">
        <v>43273</v>
      </c>
      <c r="S51" t="s">
        <v>54</v>
      </c>
      <c r="T51" t="s">
        <v>2515</v>
      </c>
      <c r="U51" t="s">
        <v>60</v>
      </c>
      <c r="V51">
        <v>4850</v>
      </c>
      <c r="AG51" t="s">
        <v>4324</v>
      </c>
      <c r="AH51" s="3">
        <v>43272</v>
      </c>
      <c r="AI51">
        <v>49000</v>
      </c>
      <c r="AJ51">
        <v>0</v>
      </c>
      <c r="AS51" t="s">
        <v>4297</v>
      </c>
      <c r="AT51" s="3">
        <v>43287</v>
      </c>
      <c r="AU51">
        <v>90160</v>
      </c>
      <c r="AV51">
        <v>0</v>
      </c>
      <c r="AW51">
        <v>1840</v>
      </c>
      <c r="AX51">
        <v>0</v>
      </c>
    </row>
    <row r="52" spans="1:50" x14ac:dyDescent="0.25">
      <c r="A52" s="4" t="s">
        <v>4325</v>
      </c>
      <c r="B52" s="3">
        <v>43245</v>
      </c>
      <c r="C52" t="s">
        <v>1325</v>
      </c>
      <c r="D52" t="s">
        <v>3864</v>
      </c>
      <c r="E52" t="s">
        <v>1325</v>
      </c>
      <c r="F52">
        <v>91000</v>
      </c>
      <c r="G52" t="s">
        <v>4326</v>
      </c>
      <c r="H52" s="3">
        <v>43245</v>
      </c>
      <c r="I52" t="s">
        <v>66</v>
      </c>
      <c r="J52">
        <v>82000</v>
      </c>
      <c r="K52" s="1" t="s">
        <v>67</v>
      </c>
      <c r="M52" s="3">
        <v>43246</v>
      </c>
      <c r="N52" t="s">
        <v>54</v>
      </c>
      <c r="O52" t="s">
        <v>77</v>
      </c>
      <c r="P52" t="s">
        <v>56</v>
      </c>
      <c r="Q52">
        <v>52100</v>
      </c>
      <c r="R52" s="3">
        <v>43246</v>
      </c>
      <c r="S52" t="s">
        <v>54</v>
      </c>
      <c r="T52" t="s">
        <v>77</v>
      </c>
      <c r="U52" t="s">
        <v>56</v>
      </c>
      <c r="V52">
        <v>19200</v>
      </c>
      <c r="W52" s="3">
        <v>43291</v>
      </c>
      <c r="X52" t="s">
        <v>54</v>
      </c>
      <c r="Y52" t="s">
        <v>77</v>
      </c>
      <c r="Z52" t="s">
        <v>60</v>
      </c>
      <c r="AA52">
        <v>9800</v>
      </c>
      <c r="AG52" s="4" t="s">
        <v>4327</v>
      </c>
      <c r="AH52" s="3">
        <v>43301</v>
      </c>
      <c r="AI52" s="4">
        <v>91000</v>
      </c>
      <c r="AJ52">
        <v>91000</v>
      </c>
    </row>
    <row r="53" spans="1:50" x14ac:dyDescent="0.25">
      <c r="A53" s="4" t="s">
        <v>4328</v>
      </c>
      <c r="B53" s="3">
        <v>43245</v>
      </c>
      <c r="C53" t="s">
        <v>1325</v>
      </c>
      <c r="D53" t="s">
        <v>3864</v>
      </c>
      <c r="E53" t="s">
        <v>1325</v>
      </c>
      <c r="F53">
        <v>91000</v>
      </c>
      <c r="G53" t="s">
        <v>4329</v>
      </c>
      <c r="H53" s="3">
        <v>43245</v>
      </c>
      <c r="I53" t="s">
        <v>66</v>
      </c>
      <c r="J53">
        <v>82000</v>
      </c>
      <c r="K53" s="1" t="s">
        <v>67</v>
      </c>
      <c r="M53" s="3">
        <v>43246</v>
      </c>
      <c r="N53" t="s">
        <v>54</v>
      </c>
      <c r="O53" t="s">
        <v>77</v>
      </c>
      <c r="P53" t="s">
        <v>56</v>
      </c>
      <c r="Q53">
        <v>71300</v>
      </c>
      <c r="R53" s="3">
        <v>43291</v>
      </c>
      <c r="S53" t="s">
        <v>54</v>
      </c>
      <c r="T53" t="s">
        <v>77</v>
      </c>
      <c r="U53" t="s">
        <v>60</v>
      </c>
      <c r="V53">
        <v>9800</v>
      </c>
      <c r="AG53" s="4" t="s">
        <v>4330</v>
      </c>
      <c r="AH53" s="3">
        <v>43301</v>
      </c>
      <c r="AI53" s="4">
        <v>91000</v>
      </c>
      <c r="AJ53">
        <v>91000</v>
      </c>
    </row>
    <row r="54" spans="1:50" x14ac:dyDescent="0.25">
      <c r="A54" s="4" t="s">
        <v>4331</v>
      </c>
      <c r="B54" s="3">
        <v>43246</v>
      </c>
      <c r="C54" t="s">
        <v>1325</v>
      </c>
      <c r="D54" t="s">
        <v>3864</v>
      </c>
      <c r="E54" t="s">
        <v>1325</v>
      </c>
      <c r="F54">
        <v>88000</v>
      </c>
      <c r="G54" t="s">
        <v>4332</v>
      </c>
      <c r="H54" s="3">
        <v>43246</v>
      </c>
      <c r="I54" t="s">
        <v>66</v>
      </c>
      <c r="J54">
        <v>73000</v>
      </c>
      <c r="K54" s="1" t="s">
        <v>67</v>
      </c>
      <c r="M54" s="3">
        <v>43246</v>
      </c>
      <c r="N54" t="s">
        <v>54</v>
      </c>
      <c r="O54" t="s">
        <v>69</v>
      </c>
      <c r="P54" t="s">
        <v>56</v>
      </c>
      <c r="Q54">
        <v>61700</v>
      </c>
      <c r="R54" s="3">
        <v>43307</v>
      </c>
      <c r="S54" t="s">
        <v>54</v>
      </c>
      <c r="T54" t="s">
        <v>77</v>
      </c>
      <c r="U54" t="s">
        <v>60</v>
      </c>
      <c r="V54">
        <v>10200</v>
      </c>
      <c r="AG54" s="4" t="s">
        <v>4333</v>
      </c>
      <c r="AH54" s="3">
        <v>43301</v>
      </c>
      <c r="AI54" s="4">
        <v>88000</v>
      </c>
      <c r="AJ54">
        <v>88000</v>
      </c>
    </row>
    <row r="55" spans="1:50" x14ac:dyDescent="0.25">
      <c r="A55" s="4" t="s">
        <v>4334</v>
      </c>
      <c r="B55" s="3">
        <v>43246</v>
      </c>
      <c r="C55" t="s">
        <v>1325</v>
      </c>
      <c r="D55" t="s">
        <v>4312</v>
      </c>
      <c r="E55" t="s">
        <v>1325</v>
      </c>
      <c r="F55">
        <v>80000</v>
      </c>
      <c r="G55" t="s">
        <v>4335</v>
      </c>
      <c r="H55" s="3">
        <v>43246</v>
      </c>
      <c r="I55" t="s">
        <v>66</v>
      </c>
      <c r="J55">
        <v>73000</v>
      </c>
      <c r="K55" s="1" t="s">
        <v>67</v>
      </c>
      <c r="M55" s="3">
        <v>43246</v>
      </c>
      <c r="N55" t="s">
        <v>54</v>
      </c>
      <c r="O55" t="s">
        <v>69</v>
      </c>
      <c r="P55" t="s">
        <v>56</v>
      </c>
      <c r="Q55">
        <v>61700</v>
      </c>
      <c r="R55" s="3">
        <v>43330</v>
      </c>
      <c r="S55" t="s">
        <v>54</v>
      </c>
      <c r="T55" t="s">
        <v>1312</v>
      </c>
      <c r="U55" t="s">
        <v>60</v>
      </c>
      <c r="V55">
        <v>10300</v>
      </c>
      <c r="AG55" s="4" t="s">
        <v>4336</v>
      </c>
      <c r="AH55" s="3">
        <v>43297</v>
      </c>
      <c r="AI55" s="4">
        <v>80000</v>
      </c>
      <c r="AJ55">
        <v>80000</v>
      </c>
    </row>
    <row r="56" spans="1:50" x14ac:dyDescent="0.25">
      <c r="A56" s="4" t="s">
        <v>4337</v>
      </c>
      <c r="B56" s="3">
        <v>43249</v>
      </c>
      <c r="C56" t="s">
        <v>1325</v>
      </c>
      <c r="D56" t="s">
        <v>3864</v>
      </c>
      <c r="E56" t="s">
        <v>1325</v>
      </c>
      <c r="F56">
        <v>80000</v>
      </c>
      <c r="G56" t="s">
        <v>4338</v>
      </c>
      <c r="H56" s="3">
        <v>43249</v>
      </c>
      <c r="I56" t="s">
        <v>66</v>
      </c>
      <c r="J56">
        <v>72000</v>
      </c>
      <c r="K56" s="1" t="s">
        <v>67</v>
      </c>
      <c r="M56" s="3">
        <v>43251</v>
      </c>
      <c r="N56" t="s">
        <v>54</v>
      </c>
      <c r="O56" t="s">
        <v>69</v>
      </c>
      <c r="P56" t="s">
        <v>56</v>
      </c>
      <c r="Q56">
        <v>61200</v>
      </c>
      <c r="R56" s="3">
        <v>43330</v>
      </c>
      <c r="S56" t="s">
        <v>54</v>
      </c>
      <c r="T56" t="s">
        <v>1312</v>
      </c>
      <c r="U56" t="s">
        <v>60</v>
      </c>
      <c r="V56">
        <v>9800</v>
      </c>
      <c r="AG56" s="4" t="s">
        <v>4339</v>
      </c>
      <c r="AH56" s="3">
        <v>43297</v>
      </c>
      <c r="AI56" s="4">
        <v>80000</v>
      </c>
      <c r="AJ56">
        <v>80000</v>
      </c>
    </row>
    <row r="57" spans="1:50" x14ac:dyDescent="0.25">
      <c r="A57" s="4" t="s">
        <v>4340</v>
      </c>
      <c r="B57" s="3">
        <v>43249</v>
      </c>
      <c r="C57" t="s">
        <v>1325</v>
      </c>
      <c r="D57" t="s">
        <v>3864</v>
      </c>
      <c r="E57" t="s">
        <v>1325</v>
      </c>
      <c r="F57">
        <v>80000</v>
      </c>
      <c r="G57" t="s">
        <v>4341</v>
      </c>
      <c r="H57" s="3">
        <v>43249</v>
      </c>
      <c r="I57" t="s">
        <v>502</v>
      </c>
      <c r="J57">
        <v>72000</v>
      </c>
      <c r="K57" s="1" t="s">
        <v>67</v>
      </c>
      <c r="M57" s="3">
        <v>43251</v>
      </c>
      <c r="N57" t="s">
        <v>54</v>
      </c>
      <c r="O57" t="s">
        <v>3896</v>
      </c>
      <c r="P57" t="s">
        <v>56</v>
      </c>
      <c r="Q57">
        <v>61200</v>
      </c>
      <c r="R57" s="3">
        <v>43307</v>
      </c>
      <c r="S57" t="s">
        <v>54</v>
      </c>
      <c r="T57" t="s">
        <v>3896</v>
      </c>
      <c r="U57" t="s">
        <v>60</v>
      </c>
      <c r="V57">
        <v>9800</v>
      </c>
      <c r="AG57" s="4" t="s">
        <v>4342</v>
      </c>
      <c r="AH57" s="3">
        <v>43297</v>
      </c>
      <c r="AI57" s="4">
        <v>80000</v>
      </c>
      <c r="AJ57">
        <v>80000</v>
      </c>
    </row>
    <row r="58" spans="1:50" x14ac:dyDescent="0.25">
      <c r="A58" t="s">
        <v>4343</v>
      </c>
      <c r="B58" s="3">
        <v>43250</v>
      </c>
      <c r="C58" t="s">
        <v>1325</v>
      </c>
      <c r="D58" t="s">
        <v>1727</v>
      </c>
      <c r="E58" t="s">
        <v>1325</v>
      </c>
      <c r="F58">
        <v>43000</v>
      </c>
      <c r="G58" t="s">
        <v>4344</v>
      </c>
      <c r="H58" s="3">
        <v>43250</v>
      </c>
      <c r="I58" t="s">
        <v>214</v>
      </c>
      <c r="J58">
        <v>39000</v>
      </c>
      <c r="K58" s="1"/>
      <c r="M58" s="3">
        <v>43251</v>
      </c>
      <c r="N58" t="s">
        <v>57</v>
      </c>
      <c r="P58" t="s">
        <v>56</v>
      </c>
      <c r="Q58">
        <v>0</v>
      </c>
      <c r="R58" s="3">
        <v>43251</v>
      </c>
      <c r="S58" t="s">
        <v>1336</v>
      </c>
      <c r="U58" t="s">
        <v>56</v>
      </c>
      <c r="V58">
        <v>35000</v>
      </c>
      <c r="W58" s="3">
        <v>43273</v>
      </c>
      <c r="X58" t="s">
        <v>54</v>
      </c>
      <c r="Y58" t="s">
        <v>2515</v>
      </c>
      <c r="Z58" t="s">
        <v>60</v>
      </c>
      <c r="AA58">
        <v>3350</v>
      </c>
      <c r="AG58" t="s">
        <v>4324</v>
      </c>
      <c r="AH58" s="3">
        <v>43272</v>
      </c>
      <c r="AI58">
        <v>43000</v>
      </c>
      <c r="AJ58">
        <v>0</v>
      </c>
      <c r="AS58" t="s">
        <v>4297</v>
      </c>
      <c r="AT58" s="3">
        <v>43287</v>
      </c>
      <c r="AU58">
        <v>90160</v>
      </c>
      <c r="AV58">
        <v>0</v>
      </c>
      <c r="AW58">
        <v>1840</v>
      </c>
      <c r="AX58">
        <v>0</v>
      </c>
    </row>
    <row r="59" spans="1:50" x14ac:dyDescent="0.25">
      <c r="A59" s="4" t="s">
        <v>4345</v>
      </c>
      <c r="B59" s="3">
        <v>43253</v>
      </c>
      <c r="C59" t="s">
        <v>1325</v>
      </c>
      <c r="D59" t="s">
        <v>4236</v>
      </c>
      <c r="E59" t="s">
        <v>1325</v>
      </c>
      <c r="F59">
        <v>60000</v>
      </c>
      <c r="G59" t="s">
        <v>4346</v>
      </c>
      <c r="H59" s="3">
        <v>43253</v>
      </c>
      <c r="I59" t="s">
        <v>66</v>
      </c>
      <c r="J59">
        <v>54000</v>
      </c>
      <c r="K59" s="1" t="s">
        <v>67</v>
      </c>
      <c r="M59" s="3">
        <v>43253</v>
      </c>
      <c r="N59" t="s">
        <v>54</v>
      </c>
      <c r="O59" t="s">
        <v>77</v>
      </c>
      <c r="P59" t="s">
        <v>56</v>
      </c>
      <c r="Q59">
        <v>48500</v>
      </c>
      <c r="R59" s="3">
        <v>43343</v>
      </c>
      <c r="S59" t="s">
        <v>54</v>
      </c>
      <c r="T59" t="s">
        <v>69</v>
      </c>
      <c r="U59" t="s">
        <v>60</v>
      </c>
      <c r="V59">
        <v>4900</v>
      </c>
      <c r="AG59" s="4" t="s">
        <v>4347</v>
      </c>
      <c r="AH59" s="3">
        <v>43329</v>
      </c>
      <c r="AI59" s="4">
        <v>60000</v>
      </c>
      <c r="AJ59">
        <v>60000</v>
      </c>
    </row>
    <row r="60" spans="1:50" x14ac:dyDescent="0.25">
      <c r="A60" s="4" t="s">
        <v>4348</v>
      </c>
      <c r="B60" s="3">
        <v>43262</v>
      </c>
      <c r="C60" t="s">
        <v>1325</v>
      </c>
      <c r="D60" t="s">
        <v>3864</v>
      </c>
      <c r="E60" t="s">
        <v>1325</v>
      </c>
      <c r="F60">
        <v>98000</v>
      </c>
      <c r="G60" t="s">
        <v>4349</v>
      </c>
      <c r="H60" s="3">
        <v>43262</v>
      </c>
      <c r="I60" t="s">
        <v>66</v>
      </c>
      <c r="J60">
        <v>90000</v>
      </c>
      <c r="K60" s="1" t="s">
        <v>67</v>
      </c>
      <c r="M60" s="3">
        <v>43262</v>
      </c>
      <c r="N60" t="s">
        <v>54</v>
      </c>
      <c r="O60" t="s">
        <v>69</v>
      </c>
      <c r="P60" t="s">
        <v>56</v>
      </c>
      <c r="Q60">
        <v>80200</v>
      </c>
      <c r="R60" s="3">
        <v>43343</v>
      </c>
      <c r="S60" t="s">
        <v>54</v>
      </c>
      <c r="T60" t="s">
        <v>69</v>
      </c>
      <c r="U60" t="s">
        <v>60</v>
      </c>
      <c r="V60">
        <v>8500</v>
      </c>
      <c r="AG60" s="4" t="s">
        <v>4350</v>
      </c>
      <c r="AH60" s="3">
        <v>43329</v>
      </c>
      <c r="AI60" s="4">
        <v>98000</v>
      </c>
      <c r="AJ60">
        <v>98000</v>
      </c>
    </row>
    <row r="61" spans="1:50" x14ac:dyDescent="0.25">
      <c r="A61" s="4" t="s">
        <v>4351</v>
      </c>
      <c r="B61" s="3">
        <v>43269</v>
      </c>
      <c r="C61" t="s">
        <v>1325</v>
      </c>
      <c r="D61" t="s">
        <v>4236</v>
      </c>
      <c r="E61" t="s">
        <v>1325</v>
      </c>
      <c r="F61">
        <v>54000</v>
      </c>
      <c r="G61" t="s">
        <v>4352</v>
      </c>
      <c r="H61" s="3">
        <v>43269</v>
      </c>
      <c r="I61" t="s">
        <v>66</v>
      </c>
      <c r="J61">
        <v>48000</v>
      </c>
      <c r="K61" s="1" t="s">
        <v>67</v>
      </c>
      <c r="M61" s="3">
        <v>43281</v>
      </c>
      <c r="N61" t="s">
        <v>57</v>
      </c>
      <c r="P61" t="s">
        <v>56</v>
      </c>
      <c r="Q61">
        <v>5000</v>
      </c>
      <c r="R61" s="3">
        <v>43281</v>
      </c>
      <c r="S61" t="s">
        <v>54</v>
      </c>
      <c r="T61" t="s">
        <v>1191</v>
      </c>
      <c r="U61" t="s">
        <v>56</v>
      </c>
      <c r="V61">
        <v>34300</v>
      </c>
      <c r="W61" s="3">
        <v>43343</v>
      </c>
      <c r="X61" t="s">
        <v>54</v>
      </c>
      <c r="Y61" t="s">
        <v>69</v>
      </c>
      <c r="Z61" t="s">
        <v>60</v>
      </c>
      <c r="AA61">
        <v>7600</v>
      </c>
      <c r="AG61" s="4" t="s">
        <v>4353</v>
      </c>
      <c r="AH61" s="3">
        <v>43329</v>
      </c>
      <c r="AI61" s="4">
        <v>54000</v>
      </c>
      <c r="AJ61">
        <v>54000</v>
      </c>
    </row>
    <row r="62" spans="1:50" x14ac:dyDescent="0.25">
      <c r="A62" t="s">
        <v>4354</v>
      </c>
      <c r="B62" s="3">
        <v>43281</v>
      </c>
      <c r="C62" t="s">
        <v>1325</v>
      </c>
      <c r="D62" t="s">
        <v>4299</v>
      </c>
      <c r="E62" t="s">
        <v>1325</v>
      </c>
      <c r="F62">
        <v>21500</v>
      </c>
      <c r="G62" t="s">
        <v>4355</v>
      </c>
      <c r="H62" s="3">
        <v>43284</v>
      </c>
      <c r="I62" t="s">
        <v>290</v>
      </c>
      <c r="J62">
        <v>20000</v>
      </c>
      <c r="K62" s="1"/>
      <c r="M62" s="3">
        <v>43286</v>
      </c>
      <c r="N62" t="s">
        <v>54</v>
      </c>
      <c r="O62" t="s">
        <v>4356</v>
      </c>
      <c r="P62" t="s">
        <v>56</v>
      </c>
      <c r="Q62">
        <v>16000</v>
      </c>
      <c r="R62" s="3">
        <v>43304</v>
      </c>
      <c r="S62" t="s">
        <v>54</v>
      </c>
      <c r="T62" t="s">
        <v>4357</v>
      </c>
      <c r="U62" t="s">
        <v>60</v>
      </c>
      <c r="V62">
        <v>3400</v>
      </c>
      <c r="AG62" t="s">
        <v>4358</v>
      </c>
      <c r="AH62" s="3">
        <v>43305</v>
      </c>
      <c r="AI62">
        <v>21500</v>
      </c>
      <c r="AJ62">
        <v>0</v>
      </c>
      <c r="AS62" t="s">
        <v>4310</v>
      </c>
      <c r="AT62" s="3">
        <v>43385</v>
      </c>
      <c r="AU62">
        <v>21070</v>
      </c>
      <c r="AV62">
        <v>0</v>
      </c>
      <c r="AW62">
        <v>430</v>
      </c>
      <c r="AX62">
        <v>0</v>
      </c>
    </row>
    <row r="63" spans="1:50" x14ac:dyDescent="0.25">
      <c r="A63" t="s">
        <v>4359</v>
      </c>
      <c r="B63" s="3">
        <v>43299</v>
      </c>
      <c r="C63" t="s">
        <v>1325</v>
      </c>
      <c r="D63" t="s">
        <v>1184</v>
      </c>
      <c r="E63" t="s">
        <v>1325</v>
      </c>
      <c r="F63">
        <v>44000</v>
      </c>
      <c r="G63" t="s">
        <v>4360</v>
      </c>
      <c r="H63" s="3">
        <v>43301</v>
      </c>
      <c r="I63" t="s">
        <v>53</v>
      </c>
      <c r="J63">
        <v>40000</v>
      </c>
      <c r="K63" s="1"/>
      <c r="M63" s="3">
        <v>43305</v>
      </c>
      <c r="N63" t="s">
        <v>1336</v>
      </c>
      <c r="O63" t="s">
        <v>4361</v>
      </c>
      <c r="P63" t="s">
        <v>56</v>
      </c>
      <c r="Q63">
        <v>15000</v>
      </c>
      <c r="R63" s="3">
        <v>43305</v>
      </c>
      <c r="S63" t="s">
        <v>54</v>
      </c>
      <c r="T63" t="s">
        <v>55</v>
      </c>
      <c r="U63" t="s">
        <v>56</v>
      </c>
      <c r="V63">
        <v>19500</v>
      </c>
      <c r="W63" s="3">
        <v>43393</v>
      </c>
      <c r="X63" t="s">
        <v>54</v>
      </c>
      <c r="Y63" t="s">
        <v>2713</v>
      </c>
      <c r="Z63" t="s">
        <v>60</v>
      </c>
      <c r="AA63">
        <v>4700</v>
      </c>
      <c r="AB63" s="3">
        <v>43393</v>
      </c>
      <c r="AC63" t="s">
        <v>57</v>
      </c>
      <c r="AE63" t="s">
        <v>60</v>
      </c>
      <c r="AF63">
        <v>0</v>
      </c>
      <c r="AG63" t="s">
        <v>4362</v>
      </c>
      <c r="AH63" s="3">
        <v>43322</v>
      </c>
      <c r="AI63">
        <v>44000</v>
      </c>
      <c r="AJ63">
        <v>0</v>
      </c>
      <c r="AS63" t="s">
        <v>4363</v>
      </c>
      <c r="AT63" s="3">
        <v>43404</v>
      </c>
      <c r="AU63">
        <v>43802</v>
      </c>
      <c r="AV63">
        <v>0</v>
      </c>
      <c r="AW63">
        <v>198</v>
      </c>
      <c r="AX63">
        <v>0</v>
      </c>
    </row>
    <row r="64" spans="1:50" x14ac:dyDescent="0.25">
      <c r="A64" t="s">
        <v>4364</v>
      </c>
      <c r="B64" s="3">
        <v>43309</v>
      </c>
      <c r="C64" t="s">
        <v>1325</v>
      </c>
      <c r="D64" t="s">
        <v>4286</v>
      </c>
      <c r="E64" t="s">
        <v>1325</v>
      </c>
      <c r="F64">
        <v>24500</v>
      </c>
      <c r="G64" t="s">
        <v>4365</v>
      </c>
      <c r="H64" s="3">
        <v>43309</v>
      </c>
      <c r="I64" t="s">
        <v>344</v>
      </c>
      <c r="J64">
        <v>22000</v>
      </c>
      <c r="K64" s="1"/>
      <c r="M64" s="3">
        <v>43312</v>
      </c>
      <c r="N64" t="s">
        <v>54</v>
      </c>
      <c r="O64" t="s">
        <v>538</v>
      </c>
      <c r="P64" t="s">
        <v>56</v>
      </c>
      <c r="Q64">
        <v>19700</v>
      </c>
      <c r="R64" s="3">
        <v>43353</v>
      </c>
      <c r="S64" t="s">
        <v>54</v>
      </c>
      <c r="T64" t="s">
        <v>410</v>
      </c>
      <c r="U64" t="s">
        <v>60</v>
      </c>
      <c r="V64">
        <v>1950</v>
      </c>
      <c r="AG64" t="s">
        <v>4366</v>
      </c>
      <c r="AH64" s="3">
        <v>43351</v>
      </c>
      <c r="AI64">
        <v>24500</v>
      </c>
      <c r="AJ64">
        <v>0</v>
      </c>
      <c r="AS64" t="s">
        <v>4367</v>
      </c>
      <c r="AT64" s="3">
        <v>43479</v>
      </c>
      <c r="AU64">
        <v>24390</v>
      </c>
      <c r="AV64">
        <v>0</v>
      </c>
      <c r="AW64">
        <v>110</v>
      </c>
      <c r="AX64">
        <v>0</v>
      </c>
    </row>
    <row r="65" spans="1:50" x14ac:dyDescent="0.25">
      <c r="A65" t="s">
        <v>4368</v>
      </c>
      <c r="B65" s="3">
        <v>43342</v>
      </c>
      <c r="C65" t="s">
        <v>1325</v>
      </c>
      <c r="D65" t="s">
        <v>1727</v>
      </c>
      <c r="E65" t="s">
        <v>1325</v>
      </c>
      <c r="F65">
        <v>45000</v>
      </c>
      <c r="G65" t="s">
        <v>4369</v>
      </c>
      <c r="H65" s="3">
        <v>43342</v>
      </c>
      <c r="I65" t="s">
        <v>1244</v>
      </c>
      <c r="J65">
        <v>42000</v>
      </c>
      <c r="K65" s="1"/>
      <c r="M65" s="3">
        <v>43343</v>
      </c>
      <c r="N65" t="s">
        <v>54</v>
      </c>
      <c r="O65" t="s">
        <v>1244</v>
      </c>
      <c r="P65" t="s">
        <v>56</v>
      </c>
      <c r="Q65">
        <v>36500</v>
      </c>
      <c r="R65" s="3">
        <v>43383</v>
      </c>
      <c r="S65" t="s">
        <v>54</v>
      </c>
      <c r="T65" t="s">
        <v>1244</v>
      </c>
      <c r="U65" t="s">
        <v>60</v>
      </c>
      <c r="V65">
        <v>4900</v>
      </c>
      <c r="AG65" t="s">
        <v>4370</v>
      </c>
      <c r="AH65" s="3">
        <v>43385</v>
      </c>
      <c r="AI65">
        <v>45000</v>
      </c>
      <c r="AJ65">
        <v>0</v>
      </c>
      <c r="AS65" t="s">
        <v>4371</v>
      </c>
      <c r="AT65" s="3">
        <v>43433</v>
      </c>
      <c r="AU65">
        <v>105523</v>
      </c>
      <c r="AV65">
        <v>0</v>
      </c>
      <c r="AW65">
        <v>477</v>
      </c>
      <c r="AX65">
        <v>0</v>
      </c>
    </row>
    <row r="66" spans="1:50" x14ac:dyDescent="0.25">
      <c r="A66" t="s">
        <v>4372</v>
      </c>
      <c r="B66" s="3">
        <v>43361</v>
      </c>
      <c r="C66" t="s">
        <v>1325</v>
      </c>
      <c r="D66" t="s">
        <v>4373</v>
      </c>
      <c r="E66" t="s">
        <v>1325</v>
      </c>
      <c r="F66">
        <v>33000</v>
      </c>
      <c r="G66" t="s">
        <v>4374</v>
      </c>
      <c r="H66" s="3">
        <v>43361</v>
      </c>
      <c r="I66" t="s">
        <v>344</v>
      </c>
      <c r="J66">
        <v>29000</v>
      </c>
      <c r="K66" s="1"/>
      <c r="M66" s="3">
        <v>43363</v>
      </c>
      <c r="N66" t="s">
        <v>54</v>
      </c>
      <c r="O66" t="s">
        <v>494</v>
      </c>
      <c r="P66" t="s">
        <v>56</v>
      </c>
      <c r="Q66">
        <v>12750</v>
      </c>
      <c r="R66" s="3">
        <v>43363</v>
      </c>
      <c r="S66" t="s">
        <v>57</v>
      </c>
      <c r="T66" t="s">
        <v>494</v>
      </c>
      <c r="U66" t="s">
        <v>56</v>
      </c>
      <c r="V66">
        <v>3000</v>
      </c>
      <c r="W66" s="3">
        <v>43363</v>
      </c>
      <c r="X66" t="s">
        <v>1336</v>
      </c>
      <c r="Y66" t="s">
        <v>538</v>
      </c>
      <c r="Z66" t="s">
        <v>56</v>
      </c>
      <c r="AA66">
        <v>10000</v>
      </c>
      <c r="AB66" s="3">
        <v>43383</v>
      </c>
      <c r="AC66" t="s">
        <v>54</v>
      </c>
      <c r="AD66" t="s">
        <v>410</v>
      </c>
      <c r="AE66" t="s">
        <v>60</v>
      </c>
      <c r="AF66">
        <v>2950</v>
      </c>
      <c r="AG66" t="s">
        <v>4370</v>
      </c>
      <c r="AH66" s="3">
        <v>43385</v>
      </c>
      <c r="AI66">
        <v>33000</v>
      </c>
      <c r="AJ66">
        <v>0</v>
      </c>
      <c r="AS66" t="s">
        <v>4371</v>
      </c>
      <c r="AT66" s="3">
        <v>43433</v>
      </c>
      <c r="AU66">
        <v>105523</v>
      </c>
      <c r="AV66">
        <v>0</v>
      </c>
      <c r="AW66">
        <v>477</v>
      </c>
      <c r="AX66">
        <v>0</v>
      </c>
    </row>
    <row r="67" spans="1:50" x14ac:dyDescent="0.25">
      <c r="A67" t="s">
        <v>4375</v>
      </c>
      <c r="B67" s="3">
        <v>43371</v>
      </c>
      <c r="C67" t="s">
        <v>1325</v>
      </c>
      <c r="D67" t="s">
        <v>4376</v>
      </c>
      <c r="E67" t="s">
        <v>1325</v>
      </c>
      <c r="F67">
        <v>28000</v>
      </c>
      <c r="G67" t="s">
        <v>4377</v>
      </c>
      <c r="H67" s="3">
        <v>43371</v>
      </c>
      <c r="I67" t="s">
        <v>399</v>
      </c>
      <c r="J67">
        <v>25000</v>
      </c>
      <c r="K67" s="1"/>
      <c r="M67" s="3">
        <v>43372</v>
      </c>
      <c r="N67" t="s">
        <v>54</v>
      </c>
      <c r="O67" t="s">
        <v>926</v>
      </c>
      <c r="P67" t="s">
        <v>56</v>
      </c>
      <c r="Q67">
        <v>21750</v>
      </c>
      <c r="R67" s="3">
        <v>43388</v>
      </c>
      <c r="S67" t="s">
        <v>54</v>
      </c>
      <c r="T67" t="s">
        <v>399</v>
      </c>
      <c r="U67" t="s">
        <v>60</v>
      </c>
      <c r="V67">
        <v>2950</v>
      </c>
      <c r="AG67" t="s">
        <v>4370</v>
      </c>
      <c r="AH67" s="3">
        <v>43385</v>
      </c>
      <c r="AI67">
        <v>28000</v>
      </c>
      <c r="AJ67">
        <v>0</v>
      </c>
      <c r="AS67" t="s">
        <v>4371</v>
      </c>
      <c r="AT67" s="3">
        <v>43433</v>
      </c>
      <c r="AU67">
        <v>105523</v>
      </c>
      <c r="AV67">
        <v>0</v>
      </c>
      <c r="AW67">
        <v>477</v>
      </c>
      <c r="AX67">
        <v>0</v>
      </c>
    </row>
    <row r="68" spans="1:50" x14ac:dyDescent="0.25">
      <c r="A68" t="s">
        <v>4378</v>
      </c>
      <c r="B68" s="3">
        <v>43423</v>
      </c>
      <c r="C68" t="s">
        <v>1325</v>
      </c>
      <c r="D68" t="s">
        <v>4376</v>
      </c>
      <c r="E68" t="s">
        <v>1325</v>
      </c>
      <c r="F68">
        <v>19000</v>
      </c>
      <c r="G68" t="s">
        <v>4379</v>
      </c>
      <c r="H68" s="3">
        <v>43424</v>
      </c>
      <c r="I68" t="s">
        <v>344</v>
      </c>
      <c r="J68">
        <v>17000</v>
      </c>
      <c r="K68" s="1"/>
      <c r="M68" s="3">
        <v>43428</v>
      </c>
      <c r="N68" t="s">
        <v>54</v>
      </c>
      <c r="O68" t="s">
        <v>4380</v>
      </c>
      <c r="P68" t="s">
        <v>56</v>
      </c>
      <c r="Q68">
        <v>14750</v>
      </c>
      <c r="R68" s="3">
        <v>43512</v>
      </c>
      <c r="S68" t="s">
        <v>54</v>
      </c>
      <c r="T68" t="s">
        <v>410</v>
      </c>
      <c r="U68" t="s">
        <v>60</v>
      </c>
      <c r="V68">
        <v>1950</v>
      </c>
      <c r="AG68" t="s">
        <v>4381</v>
      </c>
      <c r="AH68" s="3">
        <v>43474</v>
      </c>
      <c r="AI68">
        <v>19000</v>
      </c>
      <c r="AJ68">
        <v>0</v>
      </c>
      <c r="AS68" t="s">
        <v>4382</v>
      </c>
      <c r="AT68" s="3">
        <v>43521</v>
      </c>
      <c r="AU68">
        <v>18914</v>
      </c>
      <c r="AV68">
        <v>0</v>
      </c>
      <c r="AW68">
        <v>86</v>
      </c>
      <c r="AX68">
        <v>0</v>
      </c>
    </row>
    <row r="69" spans="1:50" x14ac:dyDescent="0.25">
      <c r="A69" t="s">
        <v>4383</v>
      </c>
      <c r="B69" s="3">
        <v>43494</v>
      </c>
      <c r="C69" t="s">
        <v>1325</v>
      </c>
      <c r="D69" t="s">
        <v>1745</v>
      </c>
      <c r="E69" t="s">
        <v>1325</v>
      </c>
      <c r="F69">
        <v>19000</v>
      </c>
      <c r="G69" t="s">
        <v>4384</v>
      </c>
      <c r="H69" s="3">
        <v>43494</v>
      </c>
      <c r="I69" t="s">
        <v>344</v>
      </c>
      <c r="J69">
        <v>17000</v>
      </c>
      <c r="K69" s="1"/>
      <c r="M69" s="3">
        <v>43495</v>
      </c>
      <c r="N69" t="s">
        <v>54</v>
      </c>
      <c r="O69" t="s">
        <v>4385</v>
      </c>
      <c r="P69" t="s">
        <v>56</v>
      </c>
      <c r="Q69">
        <v>14750</v>
      </c>
      <c r="R69" s="3">
        <v>43526</v>
      </c>
      <c r="S69" t="s">
        <v>54</v>
      </c>
      <c r="T69" t="s">
        <v>410</v>
      </c>
      <c r="U69" t="s">
        <v>60</v>
      </c>
      <c r="V69">
        <v>1950</v>
      </c>
      <c r="AG69" t="s">
        <v>4386</v>
      </c>
      <c r="AH69" s="3">
        <v>43522</v>
      </c>
      <c r="AI69">
        <v>19000</v>
      </c>
      <c r="AJ69">
        <v>0</v>
      </c>
      <c r="AS69" t="s">
        <v>4387</v>
      </c>
      <c r="AT69" s="3">
        <v>43555</v>
      </c>
      <c r="AU69">
        <v>18914</v>
      </c>
      <c r="AV69">
        <v>0</v>
      </c>
      <c r="AW69">
        <v>86</v>
      </c>
      <c r="AX69">
        <v>0</v>
      </c>
    </row>
    <row r="70" spans="1:50" x14ac:dyDescent="0.25">
      <c r="A70" t="s">
        <v>4388</v>
      </c>
      <c r="B70" s="3">
        <v>43497</v>
      </c>
      <c r="C70" t="s">
        <v>1325</v>
      </c>
      <c r="D70" t="s">
        <v>4389</v>
      </c>
      <c r="E70" t="s">
        <v>1325</v>
      </c>
      <c r="F70">
        <v>7500</v>
      </c>
      <c r="G70" t="s">
        <v>4390</v>
      </c>
      <c r="H70" s="3">
        <v>43497</v>
      </c>
      <c r="I70" t="s">
        <v>230</v>
      </c>
      <c r="J70">
        <v>6500</v>
      </c>
      <c r="K70" s="1"/>
      <c r="M70" s="3">
        <v>43514</v>
      </c>
      <c r="N70" t="s">
        <v>54</v>
      </c>
      <c r="O70" t="s">
        <v>1074</v>
      </c>
      <c r="P70" t="s">
        <v>56</v>
      </c>
      <c r="Q70">
        <v>5400</v>
      </c>
      <c r="R70" s="3">
        <v>43514</v>
      </c>
      <c r="S70" t="s">
        <v>54</v>
      </c>
      <c r="T70" t="s">
        <v>1074</v>
      </c>
      <c r="U70" t="s">
        <v>60</v>
      </c>
      <c r="V70">
        <v>970</v>
      </c>
    </row>
    <row r="71" spans="1:50" x14ac:dyDescent="0.25">
      <c r="A71" t="s">
        <v>4391</v>
      </c>
      <c r="B71" s="3">
        <v>43549</v>
      </c>
      <c r="C71" t="s">
        <v>1325</v>
      </c>
      <c r="D71" t="s">
        <v>4392</v>
      </c>
      <c r="E71" t="s">
        <v>1325</v>
      </c>
      <c r="F71">
        <v>9500</v>
      </c>
      <c r="G71" t="s">
        <v>4393</v>
      </c>
      <c r="H71" s="3">
        <v>43549</v>
      </c>
      <c r="I71" t="s">
        <v>344</v>
      </c>
      <c r="J71">
        <v>8500</v>
      </c>
      <c r="K71" s="1"/>
      <c r="M71" s="3">
        <v>43551</v>
      </c>
      <c r="N71" t="s">
        <v>54</v>
      </c>
      <c r="O71" t="s">
        <v>410</v>
      </c>
      <c r="P71" t="s">
        <v>56</v>
      </c>
      <c r="Q71">
        <v>7400</v>
      </c>
      <c r="R71" s="3">
        <v>43565</v>
      </c>
      <c r="S71" t="s">
        <v>54</v>
      </c>
      <c r="T71" t="s">
        <v>410</v>
      </c>
      <c r="U71" t="s">
        <v>60</v>
      </c>
      <c r="V71">
        <v>885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AA2" activePane="bottomRight" state="frozen"/>
      <selection pane="topRight" activeCell="G1" sqref="G1"/>
      <selection pane="bottomLeft" activeCell="A2" sqref="A2"/>
      <selection pane="bottomRight" activeCell="AI2" sqref="AI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4394</v>
      </c>
      <c r="B2" s="3">
        <v>42600</v>
      </c>
      <c r="C2" t="s">
        <v>50</v>
      </c>
      <c r="D2" t="s">
        <v>3508</v>
      </c>
      <c r="E2" t="s">
        <v>4395</v>
      </c>
      <c r="F2">
        <v>115000</v>
      </c>
      <c r="G2" t="s">
        <v>4396</v>
      </c>
      <c r="H2" s="3">
        <v>42600</v>
      </c>
      <c r="I2" t="s">
        <v>1305</v>
      </c>
      <c r="J2">
        <v>105000</v>
      </c>
      <c r="K2" s="1"/>
      <c r="M2" s="3">
        <v>42600</v>
      </c>
      <c r="N2" t="s">
        <v>54</v>
      </c>
      <c r="P2" t="s">
        <v>56</v>
      </c>
      <c r="Q2">
        <v>69000</v>
      </c>
      <c r="R2" s="3">
        <v>42600</v>
      </c>
      <c r="S2" t="s">
        <v>57</v>
      </c>
      <c r="U2" t="s">
        <v>56</v>
      </c>
      <c r="V2">
        <v>20500</v>
      </c>
      <c r="W2" s="3">
        <v>42644</v>
      </c>
      <c r="X2" t="s">
        <v>54</v>
      </c>
      <c r="Z2" t="s">
        <v>60</v>
      </c>
      <c r="AA2">
        <v>14800</v>
      </c>
      <c r="AG2" t="s">
        <v>4397</v>
      </c>
      <c r="AH2" s="3">
        <v>42730</v>
      </c>
      <c r="AI2">
        <v>115000</v>
      </c>
      <c r="AJ2">
        <v>60000</v>
      </c>
      <c r="AS2" t="s">
        <v>4398</v>
      </c>
      <c r="AT2" s="3">
        <v>42825</v>
      </c>
      <c r="AU2">
        <v>55000</v>
      </c>
      <c r="AV2">
        <v>0</v>
      </c>
      <c r="AW2">
        <v>0</v>
      </c>
      <c r="AX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2" sqref="E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4" t="s">
        <v>4399</v>
      </c>
      <c r="B2" s="3">
        <v>43461</v>
      </c>
      <c r="C2" t="s">
        <v>4400</v>
      </c>
      <c r="D2" t="s">
        <v>1660</v>
      </c>
      <c r="E2" t="s">
        <v>4400</v>
      </c>
      <c r="F2">
        <v>98000</v>
      </c>
      <c r="G2" t="s">
        <v>4401</v>
      </c>
      <c r="H2" s="3">
        <v>43461</v>
      </c>
      <c r="I2" t="s">
        <v>66</v>
      </c>
      <c r="J2">
        <v>90000</v>
      </c>
      <c r="K2" s="1" t="s">
        <v>67</v>
      </c>
      <c r="M2" s="3">
        <v>43465</v>
      </c>
      <c r="N2" t="s">
        <v>54</v>
      </c>
      <c r="O2" t="s">
        <v>66</v>
      </c>
      <c r="P2" t="s">
        <v>56</v>
      </c>
      <c r="Q2">
        <v>79100</v>
      </c>
      <c r="AG2" s="4" t="s">
        <v>4402</v>
      </c>
      <c r="AH2" s="3">
        <v>43509</v>
      </c>
      <c r="AI2" s="4">
        <v>98000</v>
      </c>
      <c r="AJ2">
        <v>98000</v>
      </c>
    </row>
    <row r="3" spans="1:74" x14ac:dyDescent="0.25">
      <c r="A3" s="4" t="s">
        <v>4403</v>
      </c>
      <c r="B3" s="3">
        <v>43465</v>
      </c>
      <c r="C3" t="s">
        <v>4400</v>
      </c>
      <c r="D3" t="s">
        <v>1660</v>
      </c>
      <c r="E3" t="s">
        <v>4400</v>
      </c>
      <c r="F3">
        <v>105000</v>
      </c>
      <c r="G3" t="s">
        <v>4404</v>
      </c>
      <c r="H3" s="3">
        <v>43465</v>
      </c>
      <c r="I3" t="s">
        <v>66</v>
      </c>
      <c r="J3">
        <v>97000</v>
      </c>
      <c r="K3" s="1" t="s">
        <v>67</v>
      </c>
      <c r="M3" s="3">
        <v>43465</v>
      </c>
      <c r="N3" t="s">
        <v>54</v>
      </c>
      <c r="O3" t="s">
        <v>1191</v>
      </c>
      <c r="P3" t="s">
        <v>56</v>
      </c>
      <c r="Q3">
        <v>86200</v>
      </c>
      <c r="AG3" s="4" t="s">
        <v>4405</v>
      </c>
      <c r="AH3" s="3">
        <v>43502</v>
      </c>
      <c r="AI3" s="4">
        <v>105000</v>
      </c>
      <c r="AJ3">
        <v>105000</v>
      </c>
    </row>
    <row r="4" spans="1:74" x14ac:dyDescent="0.25">
      <c r="A4" s="4" t="s">
        <v>4406</v>
      </c>
      <c r="B4" s="3">
        <v>43465</v>
      </c>
      <c r="C4" t="s">
        <v>4400</v>
      </c>
      <c r="D4" t="s">
        <v>1660</v>
      </c>
      <c r="E4" t="s">
        <v>4400</v>
      </c>
      <c r="F4">
        <v>106000</v>
      </c>
      <c r="G4" t="s">
        <v>4407</v>
      </c>
      <c r="H4" s="3">
        <v>43465</v>
      </c>
      <c r="I4" t="s">
        <v>3926</v>
      </c>
      <c r="J4">
        <v>97000</v>
      </c>
      <c r="K4" s="1" t="s">
        <v>67</v>
      </c>
      <c r="M4" s="3">
        <v>43465</v>
      </c>
      <c r="N4" t="s">
        <v>54</v>
      </c>
      <c r="O4" t="s">
        <v>4038</v>
      </c>
      <c r="P4" t="s">
        <v>56</v>
      </c>
      <c r="Q4">
        <v>86200</v>
      </c>
      <c r="AG4" s="4" t="s">
        <v>4408</v>
      </c>
      <c r="AH4" s="3">
        <v>43509</v>
      </c>
      <c r="AI4" s="4">
        <v>106000</v>
      </c>
      <c r="AJ4">
        <v>106000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7" t="s">
        <v>4409</v>
      </c>
      <c r="B2" s="3">
        <v>42516</v>
      </c>
      <c r="C2" t="s">
        <v>50</v>
      </c>
      <c r="D2" t="s">
        <v>3422</v>
      </c>
      <c r="E2" t="s">
        <v>4410</v>
      </c>
      <c r="F2">
        <v>24000</v>
      </c>
      <c r="G2" t="s">
        <v>4411</v>
      </c>
      <c r="H2" s="3">
        <v>42516</v>
      </c>
      <c r="I2" t="s">
        <v>214</v>
      </c>
      <c r="J2">
        <v>22000</v>
      </c>
      <c r="K2" s="1" t="s">
        <v>67</v>
      </c>
      <c r="M2" s="3">
        <v>42516</v>
      </c>
      <c r="N2" t="s">
        <v>57</v>
      </c>
      <c r="P2" t="s">
        <v>56</v>
      </c>
      <c r="Q2">
        <v>16000</v>
      </c>
      <c r="R2" s="3">
        <v>42525</v>
      </c>
      <c r="S2" t="s">
        <v>54</v>
      </c>
      <c r="U2" t="s">
        <v>60</v>
      </c>
      <c r="V2">
        <v>5500</v>
      </c>
      <c r="AG2" s="7" t="s">
        <v>4412</v>
      </c>
      <c r="AH2" s="3">
        <v>42669</v>
      </c>
      <c r="AI2" s="7">
        <v>24000</v>
      </c>
      <c r="AJ2">
        <v>24000</v>
      </c>
    </row>
    <row r="3" spans="1:74" x14ac:dyDescent="0.25">
      <c r="A3" t="s">
        <v>4413</v>
      </c>
      <c r="B3" s="3">
        <v>42516</v>
      </c>
      <c r="C3" t="s">
        <v>50</v>
      </c>
      <c r="D3" t="s">
        <v>3422</v>
      </c>
      <c r="E3" t="s">
        <v>4410</v>
      </c>
      <c r="F3">
        <v>0</v>
      </c>
      <c r="K3" s="1"/>
    </row>
    <row r="4" spans="1:74" x14ac:dyDescent="0.25">
      <c r="A4" s="7" t="s">
        <v>4414</v>
      </c>
      <c r="B4" s="3">
        <v>42555</v>
      </c>
      <c r="C4" t="s">
        <v>50</v>
      </c>
      <c r="D4" t="s">
        <v>3422</v>
      </c>
      <c r="E4" t="s">
        <v>4410</v>
      </c>
      <c r="F4">
        <v>23000</v>
      </c>
      <c r="G4" t="s">
        <v>4415</v>
      </c>
      <c r="H4" s="3">
        <v>42555</v>
      </c>
      <c r="I4" t="s">
        <v>1305</v>
      </c>
      <c r="J4">
        <v>21000</v>
      </c>
      <c r="K4" s="1" t="s">
        <v>67</v>
      </c>
      <c r="M4" s="3">
        <v>42555</v>
      </c>
      <c r="N4" t="s">
        <v>57</v>
      </c>
      <c r="P4" t="s">
        <v>56</v>
      </c>
      <c r="Q4">
        <v>15000</v>
      </c>
      <c r="R4" s="3">
        <v>42573</v>
      </c>
      <c r="S4" t="s">
        <v>54</v>
      </c>
      <c r="U4" t="s">
        <v>60</v>
      </c>
      <c r="V4">
        <v>5600</v>
      </c>
      <c r="AG4" s="7" t="s">
        <v>4416</v>
      </c>
      <c r="AH4" s="3">
        <v>42623</v>
      </c>
      <c r="AI4" s="7">
        <v>23000</v>
      </c>
      <c r="AJ4">
        <v>23000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3" sqref="F3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4417</v>
      </c>
      <c r="B2" s="3">
        <v>43487</v>
      </c>
      <c r="C2" t="s">
        <v>4400</v>
      </c>
      <c r="D2" t="s">
        <v>4418</v>
      </c>
      <c r="E2" t="s">
        <v>4419</v>
      </c>
      <c r="F2">
        <v>103000</v>
      </c>
      <c r="G2" t="s">
        <v>4420</v>
      </c>
      <c r="H2" s="3">
        <v>43511</v>
      </c>
      <c r="I2" t="s">
        <v>514</v>
      </c>
      <c r="J2">
        <v>93000</v>
      </c>
      <c r="K2" s="1"/>
      <c r="M2" s="3">
        <v>43511</v>
      </c>
      <c r="N2" t="s">
        <v>54</v>
      </c>
      <c r="O2" t="s">
        <v>4421</v>
      </c>
      <c r="P2" t="s">
        <v>56</v>
      </c>
      <c r="Q2">
        <v>82100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2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4422</v>
      </c>
      <c r="B2" s="3">
        <v>42717</v>
      </c>
      <c r="C2" t="s">
        <v>4423</v>
      </c>
      <c r="D2" t="s">
        <v>4424</v>
      </c>
      <c r="E2" t="s">
        <v>4425</v>
      </c>
      <c r="F2">
        <v>32500</v>
      </c>
      <c r="G2" t="s">
        <v>4426</v>
      </c>
      <c r="H2" s="3">
        <v>42717</v>
      </c>
      <c r="I2" t="s">
        <v>214</v>
      </c>
      <c r="J2">
        <v>28000</v>
      </c>
      <c r="K2" s="1"/>
      <c r="M2" s="3">
        <v>42717</v>
      </c>
      <c r="N2" t="s">
        <v>54</v>
      </c>
      <c r="P2" t="s">
        <v>56</v>
      </c>
      <c r="Q2">
        <v>22600</v>
      </c>
      <c r="R2" s="3">
        <v>42754</v>
      </c>
      <c r="S2" t="s">
        <v>54</v>
      </c>
      <c r="U2" t="s">
        <v>60</v>
      </c>
      <c r="V2">
        <v>4950</v>
      </c>
      <c r="AG2" t="s">
        <v>4427</v>
      </c>
      <c r="AH2" s="3">
        <v>42730</v>
      </c>
      <c r="AI2">
        <v>32500</v>
      </c>
      <c r="AJ2">
        <v>0</v>
      </c>
      <c r="AS2" t="s">
        <v>4428</v>
      </c>
      <c r="AT2" s="3">
        <v>42840</v>
      </c>
      <c r="AU2">
        <v>31850</v>
      </c>
      <c r="AV2">
        <v>0</v>
      </c>
      <c r="AW2">
        <v>650</v>
      </c>
      <c r="AX2">
        <v>0</v>
      </c>
    </row>
    <row r="3" spans="1:74" x14ac:dyDescent="0.25">
      <c r="A3" t="s">
        <v>4429</v>
      </c>
      <c r="B3" s="3">
        <v>42718</v>
      </c>
      <c r="C3" t="s">
        <v>4423</v>
      </c>
      <c r="D3" t="s">
        <v>4430</v>
      </c>
      <c r="E3" t="s">
        <v>4425</v>
      </c>
      <c r="F3">
        <v>11000</v>
      </c>
      <c r="G3" t="s">
        <v>4431</v>
      </c>
      <c r="H3" s="3">
        <v>42718</v>
      </c>
      <c r="I3" t="s">
        <v>214</v>
      </c>
      <c r="J3">
        <v>10000</v>
      </c>
      <c r="K3" s="1"/>
      <c r="M3" s="3">
        <v>42721</v>
      </c>
      <c r="N3" t="s">
        <v>54</v>
      </c>
      <c r="P3" t="s">
        <v>60</v>
      </c>
      <c r="Q3">
        <v>9800</v>
      </c>
      <c r="AG3" t="s">
        <v>4432</v>
      </c>
      <c r="AH3" s="3">
        <v>42730</v>
      </c>
      <c r="AI3">
        <v>11000</v>
      </c>
      <c r="AJ3">
        <v>0</v>
      </c>
      <c r="AS3" t="s">
        <v>4428</v>
      </c>
      <c r="AT3" s="3">
        <v>42840</v>
      </c>
      <c r="AU3">
        <v>10780</v>
      </c>
      <c r="AV3">
        <v>0</v>
      </c>
      <c r="AW3">
        <v>220</v>
      </c>
      <c r="AX3">
        <v>0</v>
      </c>
    </row>
    <row r="4" spans="1:74" x14ac:dyDescent="0.25">
      <c r="A4" t="s">
        <v>4433</v>
      </c>
      <c r="B4" s="3">
        <v>42721</v>
      </c>
      <c r="C4" t="s">
        <v>4423</v>
      </c>
      <c r="D4" t="s">
        <v>4424</v>
      </c>
      <c r="E4" t="s">
        <v>4425</v>
      </c>
      <c r="F4">
        <v>32500</v>
      </c>
      <c r="G4" t="s">
        <v>4434</v>
      </c>
      <c r="H4" s="3">
        <v>42721</v>
      </c>
      <c r="I4" t="s">
        <v>214</v>
      </c>
      <c r="J4">
        <v>28000</v>
      </c>
      <c r="K4" s="1"/>
      <c r="M4" s="3">
        <v>42721</v>
      </c>
      <c r="N4" t="s">
        <v>54</v>
      </c>
      <c r="P4" t="s">
        <v>56</v>
      </c>
      <c r="Q4">
        <v>22600</v>
      </c>
      <c r="R4" s="3">
        <v>42754</v>
      </c>
      <c r="S4" t="s">
        <v>54</v>
      </c>
      <c r="U4" t="s">
        <v>60</v>
      </c>
      <c r="V4">
        <v>4950</v>
      </c>
      <c r="AG4" t="s">
        <v>4435</v>
      </c>
      <c r="AH4" s="3">
        <v>42730</v>
      </c>
      <c r="AI4">
        <v>32500</v>
      </c>
      <c r="AJ4">
        <v>0</v>
      </c>
      <c r="AS4" t="s">
        <v>4428</v>
      </c>
      <c r="AT4" s="3">
        <v>42840</v>
      </c>
      <c r="AU4">
        <v>31850</v>
      </c>
      <c r="AV4">
        <v>0</v>
      </c>
      <c r="AW4">
        <v>650</v>
      </c>
      <c r="AX4">
        <v>0</v>
      </c>
    </row>
    <row r="5" spans="1:74" x14ac:dyDescent="0.25">
      <c r="A5" t="s">
        <v>4436</v>
      </c>
      <c r="B5" s="3">
        <v>42723</v>
      </c>
      <c r="C5" t="s">
        <v>4423</v>
      </c>
      <c r="D5" t="s">
        <v>4437</v>
      </c>
      <c r="E5" t="s">
        <v>4425</v>
      </c>
      <c r="F5">
        <v>29500</v>
      </c>
      <c r="G5" t="s">
        <v>4438</v>
      </c>
      <c r="H5" s="3">
        <v>42723</v>
      </c>
      <c r="I5" t="s">
        <v>214</v>
      </c>
      <c r="J5">
        <v>21000</v>
      </c>
      <c r="K5" s="1"/>
      <c r="M5" s="3">
        <v>42724</v>
      </c>
      <c r="N5" t="s">
        <v>54</v>
      </c>
      <c r="P5" t="s">
        <v>60</v>
      </c>
      <c r="Q5">
        <v>20600</v>
      </c>
      <c r="AG5" t="s">
        <v>4439</v>
      </c>
      <c r="AH5" s="3">
        <v>42730</v>
      </c>
      <c r="AI5">
        <v>29500</v>
      </c>
      <c r="AJ5">
        <v>0</v>
      </c>
      <c r="AS5" t="s">
        <v>4428</v>
      </c>
      <c r="AT5" s="3">
        <v>42840</v>
      </c>
      <c r="AU5">
        <v>28910</v>
      </c>
      <c r="AV5">
        <v>0</v>
      </c>
      <c r="AW5">
        <v>590</v>
      </c>
      <c r="AX5">
        <v>0</v>
      </c>
    </row>
    <row r="6" spans="1:74" x14ac:dyDescent="0.25">
      <c r="A6" t="s">
        <v>4440</v>
      </c>
      <c r="B6" s="3">
        <v>42724</v>
      </c>
      <c r="C6" t="s">
        <v>4423</v>
      </c>
      <c r="D6" t="s">
        <v>4441</v>
      </c>
      <c r="E6" t="s">
        <v>4425</v>
      </c>
      <c r="F6">
        <v>25500</v>
      </c>
      <c r="G6" t="s">
        <v>4442</v>
      </c>
      <c r="H6" s="3">
        <v>42724</v>
      </c>
      <c r="I6" t="s">
        <v>214</v>
      </c>
      <c r="J6">
        <v>22000</v>
      </c>
      <c r="K6" s="1"/>
      <c r="M6" s="3">
        <v>42724</v>
      </c>
      <c r="N6" t="s">
        <v>54</v>
      </c>
      <c r="P6" t="s">
        <v>56</v>
      </c>
      <c r="Q6">
        <v>16600</v>
      </c>
      <c r="R6" s="3">
        <v>42844</v>
      </c>
      <c r="S6" t="s">
        <v>54</v>
      </c>
      <c r="T6" t="s">
        <v>1546</v>
      </c>
      <c r="U6" t="s">
        <v>60</v>
      </c>
      <c r="V6">
        <v>4900</v>
      </c>
      <c r="AG6" t="s">
        <v>4443</v>
      </c>
      <c r="AH6" s="3">
        <v>42744</v>
      </c>
      <c r="AI6">
        <v>25500</v>
      </c>
      <c r="AJ6">
        <v>0</v>
      </c>
      <c r="AS6" t="s">
        <v>4428</v>
      </c>
      <c r="AT6" s="3">
        <v>42840</v>
      </c>
      <c r="AU6">
        <v>49980</v>
      </c>
      <c r="AV6">
        <v>0</v>
      </c>
      <c r="AW6">
        <v>1020</v>
      </c>
      <c r="AX6">
        <v>0</v>
      </c>
    </row>
    <row r="7" spans="1:74" x14ac:dyDescent="0.25">
      <c r="A7" t="s">
        <v>4444</v>
      </c>
      <c r="B7" s="3">
        <v>42725</v>
      </c>
      <c r="C7" t="s">
        <v>4423</v>
      </c>
      <c r="D7" t="s">
        <v>4424</v>
      </c>
      <c r="E7" t="s">
        <v>4425</v>
      </c>
      <c r="F7">
        <v>33500</v>
      </c>
      <c r="G7" t="s">
        <v>4445</v>
      </c>
      <c r="H7" s="3">
        <v>42725</v>
      </c>
      <c r="I7" t="s">
        <v>214</v>
      </c>
      <c r="J7">
        <v>29000</v>
      </c>
      <c r="K7" s="1"/>
      <c r="M7" s="3">
        <v>42725</v>
      </c>
      <c r="N7" t="s">
        <v>54</v>
      </c>
      <c r="P7" t="s">
        <v>56</v>
      </c>
      <c r="Q7">
        <v>22600</v>
      </c>
      <c r="R7" s="3">
        <v>42754</v>
      </c>
      <c r="S7" t="s">
        <v>54</v>
      </c>
      <c r="U7" t="s">
        <v>60</v>
      </c>
      <c r="V7">
        <v>5900</v>
      </c>
      <c r="AG7" t="s">
        <v>4446</v>
      </c>
      <c r="AH7" s="3">
        <v>42730</v>
      </c>
      <c r="AI7">
        <v>33500</v>
      </c>
      <c r="AJ7">
        <v>0</v>
      </c>
      <c r="AS7" t="s">
        <v>4447</v>
      </c>
      <c r="AT7" s="3">
        <v>42829</v>
      </c>
      <c r="AU7">
        <v>32830</v>
      </c>
      <c r="AV7">
        <v>0</v>
      </c>
      <c r="AW7">
        <v>670</v>
      </c>
      <c r="AX7">
        <v>0</v>
      </c>
    </row>
    <row r="8" spans="1:74" x14ac:dyDescent="0.25">
      <c r="A8" t="s">
        <v>4448</v>
      </c>
      <c r="B8" s="3">
        <v>42725</v>
      </c>
      <c r="C8" t="s">
        <v>4423</v>
      </c>
      <c r="D8" t="s">
        <v>4449</v>
      </c>
      <c r="E8" t="s">
        <v>4425</v>
      </c>
      <c r="F8">
        <v>24000</v>
      </c>
      <c r="G8" t="s">
        <v>4450</v>
      </c>
      <c r="H8" s="3">
        <v>42725</v>
      </c>
      <c r="I8" t="s">
        <v>214</v>
      </c>
      <c r="J8">
        <v>21000</v>
      </c>
      <c r="K8" s="1"/>
      <c r="M8" s="3">
        <v>42725</v>
      </c>
      <c r="N8" t="s">
        <v>54</v>
      </c>
      <c r="P8" t="s">
        <v>56</v>
      </c>
      <c r="Q8">
        <v>16600</v>
      </c>
      <c r="R8" s="3">
        <v>42754</v>
      </c>
      <c r="S8" t="s">
        <v>54</v>
      </c>
      <c r="U8" t="s">
        <v>60</v>
      </c>
      <c r="V8">
        <v>3950</v>
      </c>
      <c r="AG8" t="s">
        <v>4451</v>
      </c>
      <c r="AH8" s="3">
        <v>42744</v>
      </c>
      <c r="AI8">
        <v>24000</v>
      </c>
      <c r="AJ8">
        <v>0</v>
      </c>
      <c r="AS8" t="s">
        <v>4452</v>
      </c>
      <c r="AT8" s="3">
        <v>42825</v>
      </c>
      <c r="AU8">
        <v>164640</v>
      </c>
      <c r="AV8">
        <v>0</v>
      </c>
      <c r="AW8">
        <v>3360</v>
      </c>
      <c r="AX8">
        <v>0</v>
      </c>
    </row>
    <row r="9" spans="1:74" x14ac:dyDescent="0.25">
      <c r="A9" t="s">
        <v>4453</v>
      </c>
      <c r="B9" s="3">
        <v>42726</v>
      </c>
      <c r="C9" t="s">
        <v>4423</v>
      </c>
      <c r="D9" t="s">
        <v>4424</v>
      </c>
      <c r="E9" t="s">
        <v>4425</v>
      </c>
      <c r="F9">
        <v>32500</v>
      </c>
      <c r="G9" t="s">
        <v>4454</v>
      </c>
      <c r="H9" s="3">
        <v>42726</v>
      </c>
      <c r="I9" t="s">
        <v>214</v>
      </c>
      <c r="J9">
        <v>29000</v>
      </c>
      <c r="K9" s="1"/>
      <c r="M9" s="3">
        <v>42726</v>
      </c>
      <c r="N9" t="s">
        <v>54</v>
      </c>
      <c r="P9" t="s">
        <v>56</v>
      </c>
      <c r="Q9">
        <v>22600</v>
      </c>
      <c r="R9" s="3">
        <v>42754</v>
      </c>
      <c r="S9" t="s">
        <v>54</v>
      </c>
      <c r="U9" t="s">
        <v>60</v>
      </c>
      <c r="V9">
        <v>5900</v>
      </c>
      <c r="AG9" t="s">
        <v>4455</v>
      </c>
      <c r="AH9" s="3">
        <v>42744</v>
      </c>
      <c r="AI9">
        <v>32500</v>
      </c>
      <c r="AJ9">
        <v>0</v>
      </c>
      <c r="AS9" t="s">
        <v>4447</v>
      </c>
      <c r="AT9" s="3">
        <v>42829</v>
      </c>
      <c r="AU9">
        <v>159250</v>
      </c>
      <c r="AV9">
        <v>0</v>
      </c>
      <c r="AW9">
        <v>3250</v>
      </c>
      <c r="AX9">
        <v>0</v>
      </c>
    </row>
    <row r="10" spans="1:74" x14ac:dyDescent="0.25">
      <c r="A10" t="s">
        <v>4456</v>
      </c>
      <c r="B10" s="3">
        <v>42727</v>
      </c>
      <c r="C10" t="s">
        <v>4423</v>
      </c>
      <c r="D10" t="s">
        <v>4441</v>
      </c>
      <c r="E10" t="s">
        <v>4425</v>
      </c>
      <c r="F10">
        <v>25500</v>
      </c>
      <c r="G10" t="s">
        <v>4457</v>
      </c>
      <c r="H10" s="3">
        <v>42727</v>
      </c>
      <c r="I10" t="s">
        <v>214</v>
      </c>
      <c r="J10">
        <v>22000</v>
      </c>
      <c r="K10" s="1"/>
      <c r="M10" s="3">
        <v>42727</v>
      </c>
      <c r="N10" t="s">
        <v>54</v>
      </c>
      <c r="P10" t="s">
        <v>56</v>
      </c>
      <c r="Q10">
        <v>17600</v>
      </c>
      <c r="R10" s="3">
        <v>42783</v>
      </c>
      <c r="S10" t="s">
        <v>54</v>
      </c>
      <c r="U10" t="s">
        <v>60</v>
      </c>
      <c r="V10">
        <v>3900</v>
      </c>
      <c r="AG10" t="s">
        <v>4443</v>
      </c>
      <c r="AH10" s="3">
        <v>42744</v>
      </c>
      <c r="AI10">
        <v>25500</v>
      </c>
      <c r="AJ10">
        <v>0</v>
      </c>
      <c r="AS10" t="s">
        <v>4428</v>
      </c>
      <c r="AT10" s="3">
        <v>42840</v>
      </c>
      <c r="AU10">
        <v>49980</v>
      </c>
      <c r="AV10">
        <v>0</v>
      </c>
      <c r="AW10">
        <v>1020</v>
      </c>
      <c r="AX10">
        <v>0</v>
      </c>
    </row>
    <row r="11" spans="1:74" x14ac:dyDescent="0.25">
      <c r="A11" t="s">
        <v>4458</v>
      </c>
      <c r="B11" s="3">
        <v>42727</v>
      </c>
      <c r="C11" t="s">
        <v>4459</v>
      </c>
      <c r="D11" t="s">
        <v>4437</v>
      </c>
      <c r="E11" t="s">
        <v>4425</v>
      </c>
      <c r="F11">
        <v>29500</v>
      </c>
      <c r="G11" t="s">
        <v>4460</v>
      </c>
      <c r="H11" s="3">
        <v>42727</v>
      </c>
      <c r="I11" t="s">
        <v>214</v>
      </c>
      <c r="J11">
        <v>20000</v>
      </c>
      <c r="K11" s="1"/>
      <c r="M11" s="3">
        <v>42728</v>
      </c>
      <c r="N11" t="s">
        <v>54</v>
      </c>
      <c r="P11" t="s">
        <v>60</v>
      </c>
      <c r="Q11">
        <v>19600</v>
      </c>
      <c r="AG11" t="s">
        <v>4461</v>
      </c>
      <c r="AH11" s="3">
        <v>42744</v>
      </c>
      <c r="AI11">
        <v>29500</v>
      </c>
      <c r="AJ11">
        <v>0</v>
      </c>
      <c r="AS11" t="s">
        <v>4452</v>
      </c>
      <c r="AT11" s="3">
        <v>42825</v>
      </c>
      <c r="AU11">
        <v>86730</v>
      </c>
      <c r="AV11">
        <v>0</v>
      </c>
      <c r="AW11">
        <v>1770</v>
      </c>
      <c r="AX11">
        <v>0</v>
      </c>
    </row>
    <row r="12" spans="1:74" x14ac:dyDescent="0.25">
      <c r="A12" t="s">
        <v>4462</v>
      </c>
      <c r="B12" s="3">
        <v>42727</v>
      </c>
      <c r="C12" t="s">
        <v>4423</v>
      </c>
      <c r="D12" t="s">
        <v>4463</v>
      </c>
      <c r="E12" t="s">
        <v>4425</v>
      </c>
      <c r="F12">
        <v>35000</v>
      </c>
      <c r="G12" t="s">
        <v>4464</v>
      </c>
      <c r="H12" s="3">
        <v>42727</v>
      </c>
      <c r="I12" t="s">
        <v>214</v>
      </c>
      <c r="J12">
        <v>32000</v>
      </c>
      <c r="K12" s="1"/>
      <c r="M12" s="3">
        <v>42730</v>
      </c>
      <c r="N12" t="s">
        <v>54</v>
      </c>
      <c r="P12" t="s">
        <v>56</v>
      </c>
      <c r="Q12">
        <v>26600</v>
      </c>
      <c r="R12" s="3">
        <v>42754</v>
      </c>
      <c r="S12" t="s">
        <v>54</v>
      </c>
      <c r="U12" t="s">
        <v>60</v>
      </c>
      <c r="V12">
        <v>4950</v>
      </c>
      <c r="AG12" t="s">
        <v>4465</v>
      </c>
      <c r="AH12" s="3">
        <v>42744</v>
      </c>
      <c r="AI12">
        <v>35000</v>
      </c>
      <c r="AJ12">
        <v>0</v>
      </c>
      <c r="AS12" t="s">
        <v>4428</v>
      </c>
      <c r="AT12" s="3">
        <v>42840</v>
      </c>
      <c r="AU12">
        <v>34300</v>
      </c>
      <c r="AV12">
        <v>0</v>
      </c>
      <c r="AW12">
        <v>700</v>
      </c>
      <c r="AX12">
        <v>0</v>
      </c>
    </row>
    <row r="13" spans="1:74" x14ac:dyDescent="0.25">
      <c r="A13" t="s">
        <v>4466</v>
      </c>
      <c r="B13" s="3">
        <v>42727</v>
      </c>
      <c r="C13" t="s">
        <v>4459</v>
      </c>
      <c r="D13" t="s">
        <v>4437</v>
      </c>
      <c r="E13" t="s">
        <v>4425</v>
      </c>
      <c r="F13">
        <v>33500</v>
      </c>
      <c r="G13" t="s">
        <v>4467</v>
      </c>
      <c r="H13" s="3">
        <v>42727</v>
      </c>
      <c r="I13" t="s">
        <v>214</v>
      </c>
      <c r="J13">
        <v>29000</v>
      </c>
      <c r="K13" s="1"/>
      <c r="M13" s="3">
        <v>42728</v>
      </c>
      <c r="N13" t="s">
        <v>54</v>
      </c>
      <c r="P13" t="s">
        <v>60</v>
      </c>
      <c r="Q13">
        <v>28600</v>
      </c>
      <c r="AG13" t="s">
        <v>4468</v>
      </c>
      <c r="AH13" s="3">
        <v>42811</v>
      </c>
      <c r="AI13">
        <v>33500</v>
      </c>
      <c r="AJ13">
        <v>33500</v>
      </c>
    </row>
    <row r="14" spans="1:74" x14ac:dyDescent="0.25">
      <c r="A14" t="s">
        <v>4469</v>
      </c>
      <c r="B14" s="3">
        <v>42728</v>
      </c>
      <c r="C14" t="s">
        <v>4423</v>
      </c>
      <c r="D14" t="s">
        <v>4424</v>
      </c>
      <c r="E14" t="s">
        <v>4425</v>
      </c>
      <c r="F14">
        <v>32500</v>
      </c>
      <c r="G14" t="s">
        <v>4470</v>
      </c>
      <c r="H14" s="3">
        <v>42728</v>
      </c>
      <c r="I14" t="s">
        <v>214</v>
      </c>
      <c r="J14">
        <v>29000</v>
      </c>
      <c r="K14" s="1"/>
      <c r="M14" s="3">
        <v>42730</v>
      </c>
      <c r="N14" t="s">
        <v>54</v>
      </c>
      <c r="P14" t="s">
        <v>56</v>
      </c>
      <c r="Q14">
        <v>23600</v>
      </c>
      <c r="R14" s="3">
        <v>42844</v>
      </c>
      <c r="S14" t="s">
        <v>54</v>
      </c>
      <c r="T14" t="s">
        <v>1546</v>
      </c>
      <c r="U14" t="s">
        <v>60</v>
      </c>
      <c r="V14">
        <v>4900</v>
      </c>
      <c r="AG14" t="s">
        <v>4455</v>
      </c>
      <c r="AH14" s="3">
        <v>42744</v>
      </c>
      <c r="AI14">
        <v>32500</v>
      </c>
      <c r="AJ14">
        <v>0</v>
      </c>
      <c r="AS14" t="s">
        <v>4447</v>
      </c>
      <c r="AT14" s="3">
        <v>42829</v>
      </c>
      <c r="AU14">
        <v>159250</v>
      </c>
      <c r="AV14">
        <v>0</v>
      </c>
      <c r="AW14">
        <v>3250</v>
      </c>
      <c r="AX14">
        <v>0</v>
      </c>
    </row>
    <row r="15" spans="1:74" x14ac:dyDescent="0.25">
      <c r="A15" t="s">
        <v>4471</v>
      </c>
      <c r="B15" s="3">
        <v>42728</v>
      </c>
      <c r="C15" t="s">
        <v>4423</v>
      </c>
      <c r="D15" t="s">
        <v>4424</v>
      </c>
      <c r="E15" t="s">
        <v>4425</v>
      </c>
      <c r="F15">
        <v>32500</v>
      </c>
      <c r="G15" t="s">
        <v>4472</v>
      </c>
      <c r="H15" s="3">
        <v>42728</v>
      </c>
      <c r="I15" t="s">
        <v>214</v>
      </c>
      <c r="J15">
        <v>29000</v>
      </c>
      <c r="K15" s="1"/>
      <c r="M15" s="3">
        <v>42730</v>
      </c>
      <c r="N15" t="s">
        <v>54</v>
      </c>
      <c r="P15" t="s">
        <v>56</v>
      </c>
      <c r="Q15">
        <v>23600</v>
      </c>
      <c r="R15" s="3">
        <v>42754</v>
      </c>
      <c r="S15" t="s">
        <v>54</v>
      </c>
      <c r="U15" t="s">
        <v>60</v>
      </c>
      <c r="V15">
        <v>4950</v>
      </c>
      <c r="AG15" t="s">
        <v>4455</v>
      </c>
      <c r="AH15" s="3">
        <v>42744</v>
      </c>
      <c r="AI15">
        <v>32500</v>
      </c>
      <c r="AJ15">
        <v>0</v>
      </c>
      <c r="AS15" t="s">
        <v>4447</v>
      </c>
      <c r="AT15" s="3">
        <v>42829</v>
      </c>
      <c r="AU15">
        <v>159250</v>
      </c>
      <c r="AV15">
        <v>0</v>
      </c>
      <c r="AW15">
        <v>3250</v>
      </c>
      <c r="AX15">
        <v>0</v>
      </c>
    </row>
    <row r="16" spans="1:74" x14ac:dyDescent="0.25">
      <c r="A16" t="s">
        <v>4473</v>
      </c>
      <c r="B16" s="3">
        <v>42730</v>
      </c>
      <c r="C16" t="s">
        <v>4423</v>
      </c>
      <c r="D16" t="s">
        <v>4424</v>
      </c>
      <c r="E16" t="s">
        <v>4425</v>
      </c>
      <c r="F16">
        <v>24000</v>
      </c>
      <c r="G16" t="s">
        <v>4474</v>
      </c>
      <c r="H16" s="3">
        <v>42730</v>
      </c>
      <c r="I16" t="s">
        <v>214</v>
      </c>
      <c r="J16">
        <v>20000</v>
      </c>
      <c r="K16" s="1"/>
      <c r="M16" s="3">
        <v>42731</v>
      </c>
      <c r="N16" t="s">
        <v>57</v>
      </c>
      <c r="P16" t="s">
        <v>56</v>
      </c>
      <c r="Q16">
        <v>7000</v>
      </c>
      <c r="R16" s="3">
        <v>42731</v>
      </c>
      <c r="S16" t="s">
        <v>54</v>
      </c>
      <c r="U16" t="s">
        <v>56</v>
      </c>
      <c r="V16">
        <v>9600</v>
      </c>
      <c r="W16" s="3">
        <v>42783</v>
      </c>
      <c r="X16" t="s">
        <v>54</v>
      </c>
      <c r="Z16" t="s">
        <v>60</v>
      </c>
      <c r="AA16">
        <v>2950</v>
      </c>
      <c r="AG16" t="s">
        <v>4451</v>
      </c>
      <c r="AH16" s="3">
        <v>42744</v>
      </c>
      <c r="AI16">
        <v>24000</v>
      </c>
      <c r="AJ16">
        <v>0</v>
      </c>
      <c r="AS16" t="s">
        <v>4452</v>
      </c>
      <c r="AT16" s="3">
        <v>42825</v>
      </c>
      <c r="AU16">
        <v>164640</v>
      </c>
      <c r="AV16">
        <v>0</v>
      </c>
      <c r="AW16">
        <v>3360</v>
      </c>
      <c r="AX16">
        <v>0</v>
      </c>
    </row>
    <row r="17" spans="1:50" x14ac:dyDescent="0.25">
      <c r="A17" t="s">
        <v>4475</v>
      </c>
      <c r="B17" s="3">
        <v>42730</v>
      </c>
      <c r="C17" t="s">
        <v>4459</v>
      </c>
      <c r="D17" t="s">
        <v>4437</v>
      </c>
      <c r="E17" t="s">
        <v>4425</v>
      </c>
      <c r="F17">
        <v>29500</v>
      </c>
      <c r="G17" t="s">
        <v>4476</v>
      </c>
      <c r="H17" s="3">
        <v>42730</v>
      </c>
      <c r="I17" t="s">
        <v>214</v>
      </c>
      <c r="J17">
        <v>20000</v>
      </c>
      <c r="K17" s="1"/>
      <c r="M17" s="3">
        <v>42731</v>
      </c>
      <c r="N17" t="s">
        <v>54</v>
      </c>
      <c r="P17" t="s">
        <v>60</v>
      </c>
      <c r="Q17">
        <v>19600</v>
      </c>
      <c r="AG17" t="s">
        <v>4461</v>
      </c>
      <c r="AH17" s="3">
        <v>42744</v>
      </c>
      <c r="AI17">
        <v>29500</v>
      </c>
      <c r="AJ17">
        <v>0</v>
      </c>
      <c r="AS17" t="s">
        <v>4452</v>
      </c>
      <c r="AT17" s="3">
        <v>42825</v>
      </c>
      <c r="AU17">
        <v>86730</v>
      </c>
      <c r="AV17">
        <v>0</v>
      </c>
      <c r="AW17">
        <v>1770</v>
      </c>
      <c r="AX17">
        <v>0</v>
      </c>
    </row>
    <row r="18" spans="1:50" x14ac:dyDescent="0.25">
      <c r="A18" t="s">
        <v>4477</v>
      </c>
      <c r="B18" s="3">
        <v>42730</v>
      </c>
      <c r="C18" t="s">
        <v>4459</v>
      </c>
      <c r="D18" t="s">
        <v>4430</v>
      </c>
      <c r="E18" t="s">
        <v>4425</v>
      </c>
      <c r="F18">
        <v>11000</v>
      </c>
      <c r="G18" t="s">
        <v>4478</v>
      </c>
      <c r="H18" s="3">
        <v>42730</v>
      </c>
      <c r="I18" t="s">
        <v>214</v>
      </c>
      <c r="J18">
        <v>10000</v>
      </c>
      <c r="K18" s="1"/>
      <c r="M18" s="3">
        <v>42731</v>
      </c>
      <c r="N18" t="s">
        <v>54</v>
      </c>
      <c r="P18" t="s">
        <v>60</v>
      </c>
      <c r="Q18">
        <v>9700</v>
      </c>
      <c r="AG18" t="s">
        <v>4479</v>
      </c>
      <c r="AH18" s="3">
        <v>42744</v>
      </c>
      <c r="AI18">
        <v>11000</v>
      </c>
      <c r="AJ18">
        <v>0</v>
      </c>
      <c r="AS18" t="s">
        <v>4428</v>
      </c>
      <c r="AT18" s="3">
        <v>42840</v>
      </c>
      <c r="AU18">
        <v>10780</v>
      </c>
      <c r="AV18">
        <v>0</v>
      </c>
      <c r="AW18">
        <v>220</v>
      </c>
      <c r="AX18">
        <v>0</v>
      </c>
    </row>
    <row r="19" spans="1:50" x14ac:dyDescent="0.25">
      <c r="A19" t="s">
        <v>4480</v>
      </c>
      <c r="B19" s="3">
        <v>42731</v>
      </c>
      <c r="C19" t="s">
        <v>4459</v>
      </c>
      <c r="D19" t="s">
        <v>4437</v>
      </c>
      <c r="E19" t="s">
        <v>4425</v>
      </c>
      <c r="F19">
        <v>33500</v>
      </c>
      <c r="G19" t="s">
        <v>4481</v>
      </c>
      <c r="H19" s="3">
        <v>42731</v>
      </c>
      <c r="I19" t="s">
        <v>214</v>
      </c>
      <c r="J19">
        <v>29000</v>
      </c>
      <c r="K19" s="1"/>
      <c r="M19" s="3">
        <v>42732</v>
      </c>
      <c r="N19" t="s">
        <v>54</v>
      </c>
      <c r="P19" t="s">
        <v>56</v>
      </c>
      <c r="Q19">
        <v>23600</v>
      </c>
      <c r="R19" s="3">
        <v>42844</v>
      </c>
      <c r="S19" t="s">
        <v>54</v>
      </c>
      <c r="T19" t="s">
        <v>1546</v>
      </c>
      <c r="U19" t="s">
        <v>60</v>
      </c>
      <c r="V19">
        <v>4900</v>
      </c>
      <c r="AG19" t="s">
        <v>4482</v>
      </c>
      <c r="AH19" s="3">
        <v>42744</v>
      </c>
      <c r="AI19">
        <v>33500</v>
      </c>
      <c r="AJ19">
        <v>0</v>
      </c>
      <c r="AS19" t="s">
        <v>4428</v>
      </c>
      <c r="AT19" s="3">
        <v>42840</v>
      </c>
      <c r="AU19">
        <v>32830</v>
      </c>
      <c r="AV19">
        <v>0</v>
      </c>
      <c r="AW19">
        <v>670</v>
      </c>
      <c r="AX19">
        <v>0</v>
      </c>
    </row>
    <row r="20" spans="1:50" x14ac:dyDescent="0.25">
      <c r="A20" t="s">
        <v>4483</v>
      </c>
      <c r="B20" s="3">
        <v>42731</v>
      </c>
      <c r="C20" t="s">
        <v>4459</v>
      </c>
      <c r="D20" t="s">
        <v>4437</v>
      </c>
      <c r="E20" t="s">
        <v>4425</v>
      </c>
      <c r="F20">
        <v>29500</v>
      </c>
      <c r="G20" t="s">
        <v>4484</v>
      </c>
      <c r="H20" s="3">
        <v>42731</v>
      </c>
      <c r="I20" t="s">
        <v>214</v>
      </c>
      <c r="J20">
        <v>20000</v>
      </c>
      <c r="K20" s="1"/>
      <c r="M20" s="3">
        <v>42732</v>
      </c>
      <c r="N20" t="s">
        <v>54</v>
      </c>
      <c r="P20" t="s">
        <v>60</v>
      </c>
      <c r="Q20">
        <v>19600</v>
      </c>
      <c r="AG20" t="s">
        <v>4461</v>
      </c>
      <c r="AH20" s="3">
        <v>42744</v>
      </c>
      <c r="AI20">
        <v>29500</v>
      </c>
      <c r="AJ20">
        <v>0</v>
      </c>
      <c r="AS20" t="s">
        <v>4452</v>
      </c>
      <c r="AT20" s="3">
        <v>42825</v>
      </c>
      <c r="AU20">
        <v>86730</v>
      </c>
      <c r="AV20">
        <v>0</v>
      </c>
      <c r="AW20">
        <v>1770</v>
      </c>
      <c r="AX20">
        <v>0</v>
      </c>
    </row>
    <row r="21" spans="1:50" x14ac:dyDescent="0.25">
      <c r="A21" t="s">
        <v>4485</v>
      </c>
      <c r="B21" s="3">
        <v>42732</v>
      </c>
      <c r="C21" t="s">
        <v>4423</v>
      </c>
      <c r="D21" t="s">
        <v>4424</v>
      </c>
      <c r="E21" t="s">
        <v>4425</v>
      </c>
      <c r="F21">
        <v>24000</v>
      </c>
      <c r="G21" t="s">
        <v>4486</v>
      </c>
      <c r="H21" s="3">
        <v>42732</v>
      </c>
      <c r="I21" t="s">
        <v>214</v>
      </c>
      <c r="J21">
        <v>20000</v>
      </c>
      <c r="K21" s="1"/>
      <c r="M21" s="3">
        <v>42733</v>
      </c>
      <c r="N21" t="s">
        <v>54</v>
      </c>
      <c r="P21" t="s">
        <v>56</v>
      </c>
      <c r="Q21">
        <v>16600</v>
      </c>
      <c r="R21" s="3">
        <v>42810</v>
      </c>
      <c r="S21" t="s">
        <v>54</v>
      </c>
      <c r="U21" t="s">
        <v>60</v>
      </c>
      <c r="V21">
        <v>2900</v>
      </c>
      <c r="AG21" t="s">
        <v>4487</v>
      </c>
      <c r="AH21" s="3">
        <v>42765</v>
      </c>
      <c r="AI21">
        <v>24000</v>
      </c>
      <c r="AJ21">
        <v>0</v>
      </c>
      <c r="AS21" t="s">
        <v>4428</v>
      </c>
      <c r="AT21" s="3">
        <v>42840</v>
      </c>
      <c r="AU21">
        <v>141120</v>
      </c>
      <c r="AV21">
        <v>0</v>
      </c>
      <c r="AW21">
        <v>2880</v>
      </c>
      <c r="AX21">
        <v>0</v>
      </c>
    </row>
    <row r="22" spans="1:50" x14ac:dyDescent="0.25">
      <c r="A22" t="s">
        <v>4488</v>
      </c>
      <c r="B22" s="3">
        <v>42734</v>
      </c>
      <c r="C22" t="s">
        <v>4423</v>
      </c>
      <c r="D22" t="s">
        <v>4424</v>
      </c>
      <c r="E22" t="s">
        <v>4425</v>
      </c>
      <c r="F22">
        <v>24000</v>
      </c>
      <c r="G22" t="s">
        <v>4489</v>
      </c>
      <c r="H22" s="3">
        <v>42734</v>
      </c>
      <c r="I22" t="s">
        <v>214</v>
      </c>
      <c r="J22">
        <v>20000</v>
      </c>
      <c r="K22" s="1"/>
      <c r="M22" s="3">
        <v>42734</v>
      </c>
      <c r="N22" t="s">
        <v>57</v>
      </c>
      <c r="P22" t="s">
        <v>56</v>
      </c>
      <c r="Q22">
        <v>4000</v>
      </c>
      <c r="R22" s="3">
        <v>42734</v>
      </c>
      <c r="S22" t="s">
        <v>54</v>
      </c>
      <c r="U22" t="s">
        <v>56</v>
      </c>
      <c r="V22">
        <v>12600</v>
      </c>
      <c r="W22" s="3">
        <v>42783</v>
      </c>
      <c r="X22" t="s">
        <v>54</v>
      </c>
      <c r="Z22" t="s">
        <v>60</v>
      </c>
      <c r="AA22">
        <v>2950</v>
      </c>
      <c r="AG22" t="s">
        <v>4451</v>
      </c>
      <c r="AH22" s="3">
        <v>42744</v>
      </c>
      <c r="AI22">
        <v>24000</v>
      </c>
      <c r="AJ22">
        <v>0</v>
      </c>
      <c r="AS22" t="s">
        <v>4452</v>
      </c>
      <c r="AT22" s="3">
        <v>42825</v>
      </c>
      <c r="AU22">
        <v>164640</v>
      </c>
      <c r="AV22">
        <v>0</v>
      </c>
      <c r="AW22">
        <v>3360</v>
      </c>
      <c r="AX22">
        <v>0</v>
      </c>
    </row>
    <row r="23" spans="1:50" x14ac:dyDescent="0.25">
      <c r="A23" t="s">
        <v>4490</v>
      </c>
      <c r="B23" s="3">
        <v>42735</v>
      </c>
      <c r="C23" t="s">
        <v>4423</v>
      </c>
      <c r="D23" t="s">
        <v>4424</v>
      </c>
      <c r="E23" t="s">
        <v>4425</v>
      </c>
      <c r="F23">
        <v>24000</v>
      </c>
      <c r="G23" t="s">
        <v>4491</v>
      </c>
      <c r="H23" s="3">
        <v>42735</v>
      </c>
      <c r="I23" t="s">
        <v>214</v>
      </c>
      <c r="J23">
        <v>20000</v>
      </c>
      <c r="K23" s="1"/>
      <c r="M23" s="3">
        <v>42735</v>
      </c>
      <c r="N23" t="s">
        <v>54</v>
      </c>
      <c r="P23" t="s">
        <v>56</v>
      </c>
      <c r="Q23">
        <v>16600</v>
      </c>
      <c r="R23" s="3">
        <v>42926</v>
      </c>
      <c r="S23" t="s">
        <v>54</v>
      </c>
      <c r="U23" t="s">
        <v>60</v>
      </c>
      <c r="V23">
        <v>2950</v>
      </c>
      <c r="AG23" t="s">
        <v>4487</v>
      </c>
      <c r="AH23" s="3">
        <v>42765</v>
      </c>
      <c r="AI23">
        <v>24000</v>
      </c>
      <c r="AJ23">
        <v>0</v>
      </c>
      <c r="AS23" t="s">
        <v>4428</v>
      </c>
      <c r="AT23" s="3">
        <v>42840</v>
      </c>
      <c r="AU23">
        <v>141120</v>
      </c>
      <c r="AV23">
        <v>0</v>
      </c>
      <c r="AW23">
        <v>2880</v>
      </c>
      <c r="AX23">
        <v>0</v>
      </c>
    </row>
    <row r="24" spans="1:50" x14ac:dyDescent="0.25">
      <c r="A24" t="s">
        <v>4492</v>
      </c>
      <c r="B24" s="3">
        <v>42736</v>
      </c>
      <c r="C24" t="s">
        <v>4459</v>
      </c>
      <c r="D24" t="s">
        <v>4437</v>
      </c>
      <c r="E24" t="s">
        <v>4425</v>
      </c>
      <c r="F24">
        <v>32500</v>
      </c>
      <c r="G24" t="s">
        <v>4493</v>
      </c>
      <c r="H24" s="3">
        <v>42736</v>
      </c>
      <c r="I24" t="s">
        <v>214</v>
      </c>
      <c r="J24">
        <v>28000</v>
      </c>
      <c r="K24" s="1"/>
      <c r="M24" s="3">
        <v>42737</v>
      </c>
      <c r="N24" t="s">
        <v>54</v>
      </c>
      <c r="P24" t="s">
        <v>56</v>
      </c>
      <c r="Q24">
        <v>22600</v>
      </c>
      <c r="R24" s="3">
        <v>42844</v>
      </c>
      <c r="S24" t="s">
        <v>54</v>
      </c>
      <c r="T24" t="s">
        <v>1546</v>
      </c>
      <c r="U24" t="s">
        <v>60</v>
      </c>
      <c r="V24">
        <v>4900</v>
      </c>
      <c r="AG24" t="s">
        <v>4455</v>
      </c>
      <c r="AH24" s="3">
        <v>42744</v>
      </c>
      <c r="AI24">
        <v>32500</v>
      </c>
      <c r="AJ24">
        <v>0</v>
      </c>
      <c r="AS24" t="s">
        <v>4447</v>
      </c>
      <c r="AT24" s="3">
        <v>42829</v>
      </c>
      <c r="AU24">
        <v>159250</v>
      </c>
      <c r="AV24">
        <v>0</v>
      </c>
      <c r="AW24">
        <v>3250</v>
      </c>
      <c r="AX24">
        <v>0</v>
      </c>
    </row>
    <row r="25" spans="1:50" x14ac:dyDescent="0.25">
      <c r="A25" t="s">
        <v>4494</v>
      </c>
      <c r="B25" s="3">
        <v>42737</v>
      </c>
      <c r="C25" t="s">
        <v>4423</v>
      </c>
      <c r="D25" t="s">
        <v>4424</v>
      </c>
      <c r="E25" t="s">
        <v>4425</v>
      </c>
      <c r="F25">
        <v>32500</v>
      </c>
      <c r="G25" t="s">
        <v>4495</v>
      </c>
      <c r="H25" s="3">
        <v>42737</v>
      </c>
      <c r="I25" t="s">
        <v>214</v>
      </c>
      <c r="J25">
        <v>28000</v>
      </c>
      <c r="K25" s="1"/>
      <c r="M25" s="3">
        <v>42737</v>
      </c>
      <c r="N25" t="s">
        <v>54</v>
      </c>
      <c r="P25" t="s">
        <v>56</v>
      </c>
      <c r="Q25">
        <v>22600</v>
      </c>
      <c r="R25" s="3">
        <v>42783</v>
      </c>
      <c r="S25" t="s">
        <v>54</v>
      </c>
      <c r="U25" t="s">
        <v>60</v>
      </c>
      <c r="V25">
        <v>4900</v>
      </c>
      <c r="AG25" t="s">
        <v>4455</v>
      </c>
      <c r="AH25" s="3">
        <v>42744</v>
      </c>
      <c r="AI25">
        <v>32500</v>
      </c>
      <c r="AJ25">
        <v>0</v>
      </c>
      <c r="AS25" t="s">
        <v>4447</v>
      </c>
      <c r="AT25" s="3">
        <v>42829</v>
      </c>
      <c r="AU25">
        <v>159250</v>
      </c>
      <c r="AV25">
        <v>0</v>
      </c>
      <c r="AW25">
        <v>3250</v>
      </c>
      <c r="AX25">
        <v>0</v>
      </c>
    </row>
    <row r="26" spans="1:50" x14ac:dyDescent="0.25">
      <c r="A26" t="s">
        <v>4496</v>
      </c>
      <c r="B26" s="3">
        <v>42737</v>
      </c>
      <c r="C26" t="s">
        <v>4423</v>
      </c>
      <c r="D26" t="s">
        <v>4424</v>
      </c>
      <c r="E26" t="s">
        <v>4425</v>
      </c>
      <c r="F26">
        <v>24000</v>
      </c>
      <c r="G26" t="s">
        <v>4497</v>
      </c>
      <c r="H26" s="3">
        <v>42737</v>
      </c>
      <c r="I26" t="s">
        <v>214</v>
      </c>
      <c r="J26">
        <v>18000</v>
      </c>
      <c r="K26" s="1"/>
      <c r="M26" s="3">
        <v>42737</v>
      </c>
      <c r="N26" t="s">
        <v>54</v>
      </c>
      <c r="P26" t="s">
        <v>56</v>
      </c>
      <c r="Q26">
        <v>14700</v>
      </c>
      <c r="R26" s="3">
        <v>42783</v>
      </c>
      <c r="S26" t="s">
        <v>54</v>
      </c>
      <c r="U26" t="s">
        <v>60</v>
      </c>
      <c r="V26">
        <v>2950</v>
      </c>
      <c r="AG26" t="s">
        <v>4451</v>
      </c>
      <c r="AH26" s="3">
        <v>42744</v>
      </c>
      <c r="AI26">
        <v>24000</v>
      </c>
      <c r="AJ26">
        <v>0</v>
      </c>
      <c r="AS26" t="s">
        <v>4452</v>
      </c>
      <c r="AT26" s="3">
        <v>42825</v>
      </c>
      <c r="AU26">
        <v>164640</v>
      </c>
      <c r="AV26">
        <v>0</v>
      </c>
      <c r="AW26">
        <v>3360</v>
      </c>
      <c r="AX26">
        <v>0</v>
      </c>
    </row>
    <row r="27" spans="1:50" x14ac:dyDescent="0.25">
      <c r="A27" t="s">
        <v>4498</v>
      </c>
      <c r="B27" s="3">
        <v>42738</v>
      </c>
      <c r="C27" t="s">
        <v>4423</v>
      </c>
      <c r="D27" t="s">
        <v>4424</v>
      </c>
      <c r="E27" t="s">
        <v>4425</v>
      </c>
      <c r="F27">
        <v>24000</v>
      </c>
      <c r="G27" t="s">
        <v>4499</v>
      </c>
      <c r="H27" s="3">
        <v>42738</v>
      </c>
      <c r="I27" t="s">
        <v>214</v>
      </c>
      <c r="J27">
        <v>18000</v>
      </c>
      <c r="K27" s="1"/>
      <c r="M27" s="3">
        <v>42739</v>
      </c>
      <c r="N27" t="s">
        <v>54</v>
      </c>
      <c r="P27" t="s">
        <v>56</v>
      </c>
      <c r="Q27">
        <v>14700</v>
      </c>
      <c r="R27" s="3">
        <v>42783</v>
      </c>
      <c r="S27" t="s">
        <v>54</v>
      </c>
      <c r="U27" t="s">
        <v>60</v>
      </c>
      <c r="V27">
        <v>2950</v>
      </c>
      <c r="AG27" t="s">
        <v>4451</v>
      </c>
      <c r="AH27" s="3">
        <v>42744</v>
      </c>
      <c r="AI27">
        <v>24000</v>
      </c>
      <c r="AJ27">
        <v>0</v>
      </c>
      <c r="AS27" t="s">
        <v>4452</v>
      </c>
      <c r="AT27" s="3">
        <v>42825</v>
      </c>
      <c r="AU27">
        <v>164640</v>
      </c>
      <c r="AV27">
        <v>0</v>
      </c>
      <c r="AW27">
        <v>3360</v>
      </c>
      <c r="AX27">
        <v>0</v>
      </c>
    </row>
    <row r="28" spans="1:50" x14ac:dyDescent="0.25">
      <c r="A28" t="s">
        <v>4500</v>
      </c>
      <c r="B28" s="3">
        <v>42739</v>
      </c>
      <c r="C28" t="s">
        <v>4423</v>
      </c>
      <c r="D28" t="s">
        <v>4441</v>
      </c>
      <c r="E28" t="s">
        <v>4425</v>
      </c>
      <c r="F28">
        <v>25500</v>
      </c>
      <c r="G28" t="s">
        <v>4501</v>
      </c>
      <c r="H28" s="3">
        <v>42739</v>
      </c>
      <c r="I28" t="s">
        <v>214</v>
      </c>
      <c r="J28">
        <v>22000</v>
      </c>
      <c r="K28" s="1"/>
      <c r="M28" s="3">
        <v>42739</v>
      </c>
      <c r="N28" t="s">
        <v>54</v>
      </c>
      <c r="P28" t="s">
        <v>56</v>
      </c>
      <c r="Q28">
        <v>18700</v>
      </c>
      <c r="R28" s="3">
        <v>42810</v>
      </c>
      <c r="S28" t="s">
        <v>54</v>
      </c>
      <c r="U28" t="s">
        <v>60</v>
      </c>
      <c r="V28">
        <v>2900</v>
      </c>
      <c r="AG28" t="s">
        <v>4502</v>
      </c>
      <c r="AH28" s="3">
        <v>42765</v>
      </c>
      <c r="AI28">
        <v>25500</v>
      </c>
      <c r="AJ28">
        <v>0</v>
      </c>
      <c r="AS28" t="s">
        <v>4503</v>
      </c>
      <c r="AT28" s="3">
        <v>42903</v>
      </c>
      <c r="AU28">
        <v>124950</v>
      </c>
      <c r="AV28">
        <v>0</v>
      </c>
      <c r="AW28">
        <v>2550</v>
      </c>
      <c r="AX28">
        <v>0</v>
      </c>
    </row>
    <row r="29" spans="1:50" x14ac:dyDescent="0.25">
      <c r="A29" t="s">
        <v>4504</v>
      </c>
      <c r="B29" s="3">
        <v>42740</v>
      </c>
      <c r="C29" t="s">
        <v>75</v>
      </c>
      <c r="D29" t="s">
        <v>4437</v>
      </c>
      <c r="E29" t="s">
        <v>4425</v>
      </c>
      <c r="F29">
        <v>5500</v>
      </c>
      <c r="G29" t="s">
        <v>4505</v>
      </c>
      <c r="H29" s="3">
        <v>42740</v>
      </c>
      <c r="I29" t="s">
        <v>1844</v>
      </c>
      <c r="J29">
        <v>4500</v>
      </c>
      <c r="K29" s="1"/>
      <c r="M29" s="3">
        <v>42754</v>
      </c>
      <c r="N29" t="s">
        <v>54</v>
      </c>
      <c r="P29" t="s">
        <v>60</v>
      </c>
      <c r="Q29">
        <v>4450</v>
      </c>
      <c r="AG29" t="s">
        <v>4506</v>
      </c>
      <c r="AH29" s="3">
        <v>42838</v>
      </c>
      <c r="AI29">
        <v>5500</v>
      </c>
      <c r="AJ29">
        <v>0</v>
      </c>
      <c r="AS29" t="s">
        <v>4507</v>
      </c>
      <c r="AT29" s="3">
        <v>42963</v>
      </c>
      <c r="AU29">
        <v>5390</v>
      </c>
      <c r="AV29">
        <v>0</v>
      </c>
      <c r="AW29">
        <v>110</v>
      </c>
      <c r="AX29">
        <v>0</v>
      </c>
    </row>
    <row r="30" spans="1:50" x14ac:dyDescent="0.25">
      <c r="A30" t="s">
        <v>4508</v>
      </c>
      <c r="B30" s="3">
        <v>42740</v>
      </c>
      <c r="C30" t="s">
        <v>4459</v>
      </c>
      <c r="D30" t="s">
        <v>4437</v>
      </c>
      <c r="E30" t="s">
        <v>4425</v>
      </c>
      <c r="F30">
        <v>24000</v>
      </c>
      <c r="G30" t="s">
        <v>4509</v>
      </c>
      <c r="H30" s="3">
        <v>42740</v>
      </c>
      <c r="I30" t="s">
        <v>214</v>
      </c>
      <c r="J30">
        <v>20000</v>
      </c>
      <c r="K30" s="1"/>
      <c r="M30" s="3">
        <v>42740</v>
      </c>
      <c r="N30" t="s">
        <v>54</v>
      </c>
      <c r="P30" t="s">
        <v>56</v>
      </c>
      <c r="Q30">
        <v>14700</v>
      </c>
      <c r="R30" s="3">
        <v>42740</v>
      </c>
      <c r="S30" t="s">
        <v>57</v>
      </c>
      <c r="U30" t="s">
        <v>56</v>
      </c>
      <c r="V30">
        <v>2000</v>
      </c>
      <c r="W30" s="3">
        <v>42810</v>
      </c>
      <c r="X30" t="s">
        <v>54</v>
      </c>
      <c r="Z30" t="s">
        <v>60</v>
      </c>
      <c r="AA30">
        <v>2900</v>
      </c>
      <c r="AG30" t="s">
        <v>4510</v>
      </c>
      <c r="AH30" s="3">
        <v>42765</v>
      </c>
      <c r="AI30">
        <v>24000</v>
      </c>
      <c r="AJ30">
        <v>0</v>
      </c>
      <c r="AS30" t="s">
        <v>4447</v>
      </c>
      <c r="AT30" s="3">
        <v>42829</v>
      </c>
      <c r="AU30">
        <v>188160</v>
      </c>
      <c r="AV30">
        <v>0</v>
      </c>
      <c r="AW30">
        <v>3840</v>
      </c>
      <c r="AX30">
        <v>0</v>
      </c>
    </row>
    <row r="31" spans="1:50" x14ac:dyDescent="0.25">
      <c r="A31" t="s">
        <v>4511</v>
      </c>
      <c r="B31" s="3">
        <v>42740</v>
      </c>
      <c r="C31" t="s">
        <v>4423</v>
      </c>
      <c r="D31" t="s">
        <v>4441</v>
      </c>
      <c r="E31" t="s">
        <v>4425</v>
      </c>
      <c r="F31">
        <v>25500</v>
      </c>
      <c r="G31" t="s">
        <v>4512</v>
      </c>
      <c r="H31" s="3">
        <v>42740</v>
      </c>
      <c r="I31" t="s">
        <v>214</v>
      </c>
      <c r="J31">
        <v>22000</v>
      </c>
      <c r="K31" s="1"/>
      <c r="M31" s="3">
        <v>42740</v>
      </c>
      <c r="N31" t="s">
        <v>54</v>
      </c>
      <c r="P31" t="s">
        <v>56</v>
      </c>
      <c r="Q31">
        <v>17700</v>
      </c>
      <c r="R31" s="3">
        <v>42810</v>
      </c>
      <c r="S31" t="s">
        <v>54</v>
      </c>
      <c r="U31" t="s">
        <v>60</v>
      </c>
      <c r="V31">
        <v>3900</v>
      </c>
      <c r="AG31" t="s">
        <v>4502</v>
      </c>
      <c r="AH31" s="3">
        <v>42765</v>
      </c>
      <c r="AI31">
        <v>25500</v>
      </c>
      <c r="AJ31">
        <v>0</v>
      </c>
      <c r="AS31" t="s">
        <v>4503</v>
      </c>
      <c r="AT31" s="3">
        <v>42903</v>
      </c>
      <c r="AU31">
        <v>124950</v>
      </c>
      <c r="AV31">
        <v>0</v>
      </c>
      <c r="AW31">
        <v>2550</v>
      </c>
      <c r="AX31">
        <v>0</v>
      </c>
    </row>
    <row r="32" spans="1:50" x14ac:dyDescent="0.25">
      <c r="A32" t="s">
        <v>4513</v>
      </c>
      <c r="B32" s="3">
        <v>42740</v>
      </c>
      <c r="C32" t="s">
        <v>4423</v>
      </c>
      <c r="D32" t="s">
        <v>4463</v>
      </c>
      <c r="E32" t="s">
        <v>4425</v>
      </c>
      <c r="F32">
        <v>34000</v>
      </c>
      <c r="G32" t="s">
        <v>4514</v>
      </c>
      <c r="H32" s="3">
        <v>42740</v>
      </c>
      <c r="I32" t="s">
        <v>214</v>
      </c>
      <c r="J32">
        <v>31000</v>
      </c>
      <c r="K32" s="1"/>
      <c r="M32" s="3">
        <v>42740</v>
      </c>
      <c r="N32" t="s">
        <v>54</v>
      </c>
      <c r="P32" t="s">
        <v>56</v>
      </c>
      <c r="Q32">
        <v>26700</v>
      </c>
      <c r="R32" s="3">
        <v>42810</v>
      </c>
      <c r="S32" t="s">
        <v>54</v>
      </c>
      <c r="U32" t="s">
        <v>60</v>
      </c>
      <c r="V32">
        <v>3900</v>
      </c>
      <c r="AG32" t="s">
        <v>4515</v>
      </c>
      <c r="AH32" s="3">
        <v>42765</v>
      </c>
      <c r="AI32">
        <v>34000</v>
      </c>
      <c r="AJ32">
        <v>0</v>
      </c>
      <c r="AS32" t="s">
        <v>4503</v>
      </c>
      <c r="AT32" s="3">
        <v>42903</v>
      </c>
      <c r="AU32">
        <v>33320</v>
      </c>
      <c r="AV32">
        <v>0</v>
      </c>
      <c r="AW32">
        <v>680</v>
      </c>
      <c r="AX32">
        <v>0</v>
      </c>
    </row>
    <row r="33" spans="1:50" x14ac:dyDescent="0.25">
      <c r="A33" t="s">
        <v>4516</v>
      </c>
      <c r="B33" s="3">
        <v>42740</v>
      </c>
      <c r="C33" t="s">
        <v>4459</v>
      </c>
      <c r="D33" t="s">
        <v>4437</v>
      </c>
      <c r="E33" t="s">
        <v>4425</v>
      </c>
      <c r="F33">
        <v>24000</v>
      </c>
      <c r="G33" t="s">
        <v>4517</v>
      </c>
      <c r="H33" s="3">
        <v>42740</v>
      </c>
      <c r="I33" t="s">
        <v>1375</v>
      </c>
      <c r="J33">
        <v>20000</v>
      </c>
      <c r="K33" s="1"/>
      <c r="M33" s="3">
        <v>42740</v>
      </c>
      <c r="N33" t="s">
        <v>54</v>
      </c>
      <c r="P33" t="s">
        <v>56</v>
      </c>
      <c r="Q33">
        <v>16700</v>
      </c>
      <c r="R33" s="3">
        <v>42810</v>
      </c>
      <c r="S33" t="s">
        <v>54</v>
      </c>
      <c r="U33" t="s">
        <v>60</v>
      </c>
      <c r="V33">
        <v>2900</v>
      </c>
      <c r="AG33" t="s">
        <v>4510</v>
      </c>
      <c r="AH33" s="3">
        <v>42765</v>
      </c>
      <c r="AI33">
        <v>24000</v>
      </c>
      <c r="AJ33">
        <v>0</v>
      </c>
      <c r="AS33" t="s">
        <v>4447</v>
      </c>
      <c r="AT33" s="3">
        <v>42829</v>
      </c>
      <c r="AU33">
        <v>188160</v>
      </c>
      <c r="AV33">
        <v>0</v>
      </c>
      <c r="AW33">
        <v>3840</v>
      </c>
      <c r="AX33">
        <v>0</v>
      </c>
    </row>
    <row r="34" spans="1:50" x14ac:dyDescent="0.25">
      <c r="A34" t="s">
        <v>4518</v>
      </c>
      <c r="B34" s="3">
        <v>42741</v>
      </c>
      <c r="C34" t="s">
        <v>4459</v>
      </c>
      <c r="D34" t="s">
        <v>4437</v>
      </c>
      <c r="E34" t="s">
        <v>4425</v>
      </c>
      <c r="F34">
        <v>24000</v>
      </c>
      <c r="G34" t="s">
        <v>4519</v>
      </c>
      <c r="H34" s="3">
        <v>42741</v>
      </c>
      <c r="I34" t="s">
        <v>1375</v>
      </c>
      <c r="J34">
        <v>20000</v>
      </c>
      <c r="K34" s="1"/>
      <c r="M34" s="3">
        <v>42741</v>
      </c>
      <c r="N34" t="s">
        <v>54</v>
      </c>
      <c r="P34" t="s">
        <v>56</v>
      </c>
      <c r="Q34">
        <v>16700</v>
      </c>
      <c r="R34" s="3">
        <v>42783</v>
      </c>
      <c r="S34" t="s">
        <v>54</v>
      </c>
      <c r="U34" t="s">
        <v>60</v>
      </c>
      <c r="V34">
        <v>2950</v>
      </c>
      <c r="AG34" t="s">
        <v>4451</v>
      </c>
      <c r="AH34" s="3">
        <v>42744</v>
      </c>
      <c r="AI34">
        <v>24000</v>
      </c>
      <c r="AJ34">
        <v>0</v>
      </c>
      <c r="AS34" t="s">
        <v>4452</v>
      </c>
      <c r="AT34" s="3">
        <v>42825</v>
      </c>
      <c r="AU34">
        <v>164640</v>
      </c>
      <c r="AV34">
        <v>0</v>
      </c>
      <c r="AW34">
        <v>3360</v>
      </c>
      <c r="AX34">
        <v>0</v>
      </c>
    </row>
    <row r="35" spans="1:50" x14ac:dyDescent="0.25">
      <c r="A35" t="s">
        <v>4520</v>
      </c>
      <c r="B35" s="3">
        <v>42741</v>
      </c>
      <c r="C35" t="s">
        <v>4459</v>
      </c>
      <c r="D35" t="s">
        <v>4437</v>
      </c>
      <c r="E35" t="s">
        <v>4425</v>
      </c>
      <c r="F35">
        <v>24000</v>
      </c>
      <c r="G35" t="s">
        <v>4521</v>
      </c>
      <c r="H35" s="3">
        <v>42741</v>
      </c>
      <c r="I35" t="s">
        <v>1375</v>
      </c>
      <c r="J35">
        <v>20000</v>
      </c>
      <c r="K35" s="1"/>
      <c r="M35" s="3">
        <v>42741</v>
      </c>
      <c r="N35" t="s">
        <v>54</v>
      </c>
      <c r="P35" t="s">
        <v>56</v>
      </c>
      <c r="Q35">
        <v>16700</v>
      </c>
      <c r="R35" s="3">
        <v>42783</v>
      </c>
      <c r="S35" t="s">
        <v>54</v>
      </c>
      <c r="U35" t="s">
        <v>60</v>
      </c>
      <c r="V35">
        <v>2950</v>
      </c>
      <c r="AG35" t="s">
        <v>4451</v>
      </c>
      <c r="AH35" s="3">
        <v>42744</v>
      </c>
      <c r="AI35">
        <v>24000</v>
      </c>
      <c r="AJ35">
        <v>0</v>
      </c>
      <c r="AS35" t="s">
        <v>4452</v>
      </c>
      <c r="AT35" s="3">
        <v>42825</v>
      </c>
      <c r="AU35">
        <v>164640</v>
      </c>
      <c r="AV35">
        <v>0</v>
      </c>
      <c r="AW35">
        <v>3360</v>
      </c>
      <c r="AX35">
        <v>0</v>
      </c>
    </row>
    <row r="36" spans="1:50" x14ac:dyDescent="0.25">
      <c r="A36" t="s">
        <v>4522</v>
      </c>
      <c r="B36" s="3">
        <v>42742</v>
      </c>
      <c r="C36" t="s">
        <v>4423</v>
      </c>
      <c r="D36" t="s">
        <v>4424</v>
      </c>
      <c r="E36" t="s">
        <v>4425</v>
      </c>
      <c r="F36">
        <v>24000</v>
      </c>
      <c r="G36" t="s">
        <v>4523</v>
      </c>
      <c r="H36" s="3">
        <v>42742</v>
      </c>
      <c r="I36" t="s">
        <v>214</v>
      </c>
      <c r="J36">
        <v>20000</v>
      </c>
      <c r="K36" s="1"/>
      <c r="M36" s="3">
        <v>42742</v>
      </c>
      <c r="N36" t="s">
        <v>54</v>
      </c>
      <c r="P36" t="s">
        <v>56</v>
      </c>
      <c r="Q36">
        <v>11700</v>
      </c>
      <c r="R36" s="3">
        <v>42742</v>
      </c>
      <c r="S36" t="s">
        <v>57</v>
      </c>
      <c r="U36" t="s">
        <v>56</v>
      </c>
      <c r="V36">
        <v>5000</v>
      </c>
      <c r="W36" s="3">
        <v>42783</v>
      </c>
      <c r="X36" t="s">
        <v>54</v>
      </c>
      <c r="Z36" t="s">
        <v>60</v>
      </c>
      <c r="AA36">
        <v>2950</v>
      </c>
      <c r="AG36" t="s">
        <v>4487</v>
      </c>
      <c r="AH36" s="3">
        <v>42765</v>
      </c>
      <c r="AI36">
        <v>24000</v>
      </c>
      <c r="AJ36">
        <v>0</v>
      </c>
      <c r="AS36" t="s">
        <v>4428</v>
      </c>
      <c r="AT36" s="3">
        <v>42840</v>
      </c>
      <c r="AU36">
        <v>141120</v>
      </c>
      <c r="AV36">
        <v>0</v>
      </c>
      <c r="AW36">
        <v>2880</v>
      </c>
      <c r="AX36">
        <v>0</v>
      </c>
    </row>
    <row r="37" spans="1:50" x14ac:dyDescent="0.25">
      <c r="A37" t="s">
        <v>4524</v>
      </c>
      <c r="B37" s="3">
        <v>42742</v>
      </c>
      <c r="C37" t="s">
        <v>4423</v>
      </c>
      <c r="D37" t="s">
        <v>4424</v>
      </c>
      <c r="E37" t="s">
        <v>4425</v>
      </c>
      <c r="F37">
        <v>32500</v>
      </c>
      <c r="G37" t="s">
        <v>4525</v>
      </c>
      <c r="H37" s="3">
        <v>42742</v>
      </c>
      <c r="I37" t="s">
        <v>214</v>
      </c>
      <c r="J37">
        <v>28000</v>
      </c>
      <c r="K37" s="1"/>
      <c r="M37" s="3">
        <v>42742</v>
      </c>
      <c r="N37" t="s">
        <v>54</v>
      </c>
      <c r="P37" t="s">
        <v>56</v>
      </c>
      <c r="Q37">
        <v>22700</v>
      </c>
      <c r="R37" s="3">
        <v>42790</v>
      </c>
      <c r="S37" t="s">
        <v>54</v>
      </c>
      <c r="U37" t="s">
        <v>60</v>
      </c>
      <c r="V37">
        <v>4800</v>
      </c>
      <c r="AG37" t="s">
        <v>4526</v>
      </c>
      <c r="AH37" s="3">
        <v>42765</v>
      </c>
      <c r="AI37">
        <v>32500</v>
      </c>
      <c r="AJ37">
        <v>0</v>
      </c>
      <c r="AS37" t="s">
        <v>4503</v>
      </c>
      <c r="AT37" s="3">
        <v>42903</v>
      </c>
      <c r="AU37">
        <v>95550</v>
      </c>
      <c r="AV37">
        <v>0</v>
      </c>
      <c r="AW37">
        <v>1950</v>
      </c>
      <c r="AX37">
        <v>0</v>
      </c>
    </row>
    <row r="38" spans="1:50" x14ac:dyDescent="0.25">
      <c r="A38" t="s">
        <v>4527</v>
      </c>
      <c r="B38" s="3">
        <v>42742</v>
      </c>
      <c r="C38" t="s">
        <v>4423</v>
      </c>
      <c r="D38" t="s">
        <v>4441</v>
      </c>
      <c r="E38" t="s">
        <v>4425</v>
      </c>
      <c r="F38">
        <v>25500</v>
      </c>
      <c r="G38" t="s">
        <v>4528</v>
      </c>
      <c r="H38" s="3">
        <v>42742</v>
      </c>
      <c r="I38" t="s">
        <v>214</v>
      </c>
      <c r="J38">
        <v>22000</v>
      </c>
      <c r="K38" s="1"/>
      <c r="M38" s="3">
        <v>42742</v>
      </c>
      <c r="N38" t="s">
        <v>54</v>
      </c>
      <c r="P38" t="s">
        <v>56</v>
      </c>
      <c r="Q38">
        <v>18700</v>
      </c>
      <c r="R38" s="3">
        <v>42810</v>
      </c>
      <c r="S38" t="s">
        <v>54</v>
      </c>
      <c r="U38" t="s">
        <v>60</v>
      </c>
      <c r="V38">
        <v>2900</v>
      </c>
      <c r="AG38" t="s">
        <v>4502</v>
      </c>
      <c r="AH38" s="3">
        <v>42765</v>
      </c>
      <c r="AI38">
        <v>25500</v>
      </c>
      <c r="AJ38">
        <v>0</v>
      </c>
      <c r="AS38" t="s">
        <v>4503</v>
      </c>
      <c r="AT38" s="3">
        <v>42903</v>
      </c>
      <c r="AU38">
        <v>124950</v>
      </c>
      <c r="AV38">
        <v>0</v>
      </c>
      <c r="AW38">
        <v>2550</v>
      </c>
      <c r="AX38">
        <v>0</v>
      </c>
    </row>
    <row r="39" spans="1:50" x14ac:dyDescent="0.25">
      <c r="A39" t="s">
        <v>4529</v>
      </c>
      <c r="B39" s="3">
        <v>42744</v>
      </c>
      <c r="C39" t="s">
        <v>4459</v>
      </c>
      <c r="D39" t="s">
        <v>4437</v>
      </c>
      <c r="E39" t="s">
        <v>4425</v>
      </c>
      <c r="F39">
        <v>32500</v>
      </c>
      <c r="G39" t="s">
        <v>4530</v>
      </c>
      <c r="H39" s="3">
        <v>42744</v>
      </c>
      <c r="I39" t="s">
        <v>214</v>
      </c>
      <c r="J39">
        <v>28000</v>
      </c>
      <c r="K39" s="1"/>
      <c r="M39" s="3">
        <v>42744</v>
      </c>
      <c r="N39" t="s">
        <v>54</v>
      </c>
      <c r="P39" t="s">
        <v>56</v>
      </c>
      <c r="Q39">
        <v>22700</v>
      </c>
      <c r="R39" s="3">
        <v>42810</v>
      </c>
      <c r="S39" t="s">
        <v>54</v>
      </c>
      <c r="U39" t="s">
        <v>60</v>
      </c>
      <c r="V39">
        <v>4900</v>
      </c>
      <c r="AG39" t="s">
        <v>4531</v>
      </c>
      <c r="AH39" s="3">
        <v>42765</v>
      </c>
      <c r="AI39">
        <v>32500</v>
      </c>
      <c r="AJ39">
        <v>0</v>
      </c>
      <c r="AS39" t="s">
        <v>4428</v>
      </c>
      <c r="AT39" s="3">
        <v>42840</v>
      </c>
      <c r="AU39">
        <v>63700</v>
      </c>
      <c r="AV39">
        <v>0</v>
      </c>
      <c r="AW39">
        <v>1300</v>
      </c>
      <c r="AX39">
        <v>0</v>
      </c>
    </row>
    <row r="40" spans="1:50" x14ac:dyDescent="0.25">
      <c r="A40" t="s">
        <v>4532</v>
      </c>
      <c r="B40" s="3">
        <v>42744</v>
      </c>
      <c r="C40" t="s">
        <v>4459</v>
      </c>
      <c r="D40" t="s">
        <v>4437</v>
      </c>
      <c r="E40" t="s">
        <v>4425</v>
      </c>
      <c r="F40">
        <v>24000</v>
      </c>
      <c r="G40" t="s">
        <v>4533</v>
      </c>
      <c r="H40" s="3">
        <v>42744</v>
      </c>
      <c r="I40" t="s">
        <v>214</v>
      </c>
      <c r="J40">
        <v>20000</v>
      </c>
      <c r="K40" s="1"/>
      <c r="M40" s="3">
        <v>42744</v>
      </c>
      <c r="N40" t="s">
        <v>54</v>
      </c>
      <c r="P40" t="s">
        <v>56</v>
      </c>
      <c r="Q40">
        <v>16700</v>
      </c>
      <c r="R40" s="3">
        <v>42810</v>
      </c>
      <c r="S40" t="s">
        <v>54</v>
      </c>
      <c r="U40" t="s">
        <v>60</v>
      </c>
      <c r="V40">
        <v>2900</v>
      </c>
      <c r="AG40" t="s">
        <v>4510</v>
      </c>
      <c r="AH40" s="3">
        <v>42765</v>
      </c>
      <c r="AI40">
        <v>24000</v>
      </c>
      <c r="AJ40">
        <v>0</v>
      </c>
      <c r="AS40" t="s">
        <v>4447</v>
      </c>
      <c r="AT40" s="3">
        <v>42829</v>
      </c>
      <c r="AU40">
        <v>188160</v>
      </c>
      <c r="AV40">
        <v>0</v>
      </c>
      <c r="AW40">
        <v>3840</v>
      </c>
      <c r="AX40">
        <v>0</v>
      </c>
    </row>
    <row r="41" spans="1:50" x14ac:dyDescent="0.25">
      <c r="A41" t="s">
        <v>4534</v>
      </c>
      <c r="B41" s="3">
        <v>42744</v>
      </c>
      <c r="C41" t="s">
        <v>75</v>
      </c>
      <c r="D41" t="s">
        <v>4437</v>
      </c>
      <c r="E41" t="s">
        <v>4425</v>
      </c>
      <c r="F41">
        <v>5500</v>
      </c>
      <c r="G41" t="s">
        <v>4535</v>
      </c>
      <c r="H41" s="3">
        <v>42744</v>
      </c>
      <c r="I41" t="s">
        <v>1244</v>
      </c>
      <c r="J41">
        <v>4500</v>
      </c>
      <c r="K41" s="1"/>
      <c r="M41" s="3">
        <v>42754</v>
      </c>
      <c r="N41" t="s">
        <v>54</v>
      </c>
      <c r="P41" t="s">
        <v>60</v>
      </c>
      <c r="Q41">
        <v>4450</v>
      </c>
      <c r="AG41" t="s">
        <v>4536</v>
      </c>
      <c r="AH41" s="3">
        <v>42765</v>
      </c>
      <c r="AI41">
        <v>5500</v>
      </c>
      <c r="AJ41">
        <v>0</v>
      </c>
      <c r="AS41" t="s">
        <v>4537</v>
      </c>
      <c r="AT41" s="3">
        <v>42942</v>
      </c>
      <c r="AU41">
        <v>16170</v>
      </c>
      <c r="AV41">
        <v>0</v>
      </c>
      <c r="AW41">
        <v>330</v>
      </c>
      <c r="AX41">
        <v>0</v>
      </c>
    </row>
    <row r="42" spans="1:50" x14ac:dyDescent="0.25">
      <c r="A42" t="s">
        <v>4538</v>
      </c>
      <c r="B42" s="3">
        <v>42744</v>
      </c>
      <c r="C42" t="s">
        <v>4459</v>
      </c>
      <c r="D42" t="s">
        <v>4437</v>
      </c>
      <c r="E42" t="s">
        <v>4425</v>
      </c>
      <c r="F42">
        <v>24000</v>
      </c>
      <c r="G42" t="s">
        <v>4539</v>
      </c>
      <c r="H42" s="3">
        <v>42744</v>
      </c>
      <c r="I42" t="s">
        <v>214</v>
      </c>
      <c r="J42">
        <v>20000</v>
      </c>
      <c r="K42" s="1"/>
      <c r="M42" s="3">
        <v>42744</v>
      </c>
      <c r="N42" t="s">
        <v>54</v>
      </c>
      <c r="P42" t="s">
        <v>56</v>
      </c>
      <c r="Q42">
        <v>16700</v>
      </c>
      <c r="R42" s="3">
        <v>42810</v>
      </c>
      <c r="S42" t="s">
        <v>54</v>
      </c>
      <c r="U42" t="s">
        <v>60</v>
      </c>
      <c r="V42">
        <v>2900</v>
      </c>
      <c r="AG42" t="s">
        <v>4510</v>
      </c>
      <c r="AH42" s="3">
        <v>42765</v>
      </c>
      <c r="AI42">
        <v>24000</v>
      </c>
      <c r="AJ42">
        <v>0</v>
      </c>
      <c r="AS42" t="s">
        <v>4447</v>
      </c>
      <c r="AT42" s="3">
        <v>42829</v>
      </c>
      <c r="AU42">
        <v>188160</v>
      </c>
      <c r="AV42">
        <v>0</v>
      </c>
      <c r="AW42">
        <v>3840</v>
      </c>
      <c r="AX42">
        <v>0</v>
      </c>
    </row>
    <row r="43" spans="1:50" x14ac:dyDescent="0.25">
      <c r="A43" t="s">
        <v>4540</v>
      </c>
      <c r="B43" s="3">
        <v>42744</v>
      </c>
      <c r="C43" t="s">
        <v>75</v>
      </c>
      <c r="D43" t="s">
        <v>4437</v>
      </c>
      <c r="E43" t="s">
        <v>4425</v>
      </c>
      <c r="F43">
        <v>5500</v>
      </c>
      <c r="G43" t="s">
        <v>4541</v>
      </c>
      <c r="H43" s="3">
        <v>42744</v>
      </c>
      <c r="I43" t="s">
        <v>1244</v>
      </c>
      <c r="J43">
        <v>4500</v>
      </c>
      <c r="K43" s="1"/>
      <c r="M43" s="3">
        <v>42752</v>
      </c>
      <c r="N43" t="s">
        <v>54</v>
      </c>
      <c r="P43" t="s">
        <v>60</v>
      </c>
      <c r="Q43">
        <v>4400</v>
      </c>
      <c r="AG43" t="s">
        <v>4536</v>
      </c>
      <c r="AH43" s="3">
        <v>42765</v>
      </c>
      <c r="AI43">
        <v>5500</v>
      </c>
      <c r="AJ43">
        <v>0</v>
      </c>
      <c r="AS43" t="s">
        <v>4537</v>
      </c>
      <c r="AT43" s="3">
        <v>42942</v>
      </c>
      <c r="AU43">
        <v>16170</v>
      </c>
      <c r="AV43">
        <v>0</v>
      </c>
      <c r="AW43">
        <v>330</v>
      </c>
      <c r="AX43">
        <v>0</v>
      </c>
    </row>
    <row r="44" spans="1:50" x14ac:dyDescent="0.25">
      <c r="A44" t="s">
        <v>4542</v>
      </c>
      <c r="B44" s="3">
        <v>42744</v>
      </c>
      <c r="C44" t="s">
        <v>4459</v>
      </c>
      <c r="D44" t="s">
        <v>4437</v>
      </c>
      <c r="E44" t="s">
        <v>4425</v>
      </c>
      <c r="F44">
        <v>6000</v>
      </c>
      <c r="G44" t="s">
        <v>4543</v>
      </c>
      <c r="H44" s="3">
        <v>42744</v>
      </c>
      <c r="I44" t="s">
        <v>214</v>
      </c>
      <c r="J44">
        <v>5000</v>
      </c>
      <c r="K44" s="1"/>
      <c r="M44" s="3">
        <v>42744</v>
      </c>
      <c r="N44" t="s">
        <v>54</v>
      </c>
      <c r="P44" t="s">
        <v>60</v>
      </c>
      <c r="Q44">
        <v>4900</v>
      </c>
      <c r="AG44" t="s">
        <v>4544</v>
      </c>
      <c r="AH44" s="3">
        <v>42838</v>
      </c>
      <c r="AI44">
        <v>6000</v>
      </c>
      <c r="AJ44">
        <v>6000</v>
      </c>
    </row>
    <row r="45" spans="1:50" x14ac:dyDescent="0.25">
      <c r="A45" t="s">
        <v>4545</v>
      </c>
      <c r="B45" s="3">
        <v>42745</v>
      </c>
      <c r="C45" t="s">
        <v>4423</v>
      </c>
      <c r="D45" t="s">
        <v>4424</v>
      </c>
      <c r="E45" t="s">
        <v>4425</v>
      </c>
      <c r="F45">
        <v>32500</v>
      </c>
      <c r="G45" t="s">
        <v>4546</v>
      </c>
      <c r="H45" s="3">
        <v>42745</v>
      </c>
      <c r="I45" t="s">
        <v>214</v>
      </c>
      <c r="J45">
        <v>28000</v>
      </c>
      <c r="K45" s="1"/>
      <c r="M45" s="3">
        <v>42745</v>
      </c>
      <c r="N45" t="s">
        <v>54</v>
      </c>
      <c r="P45" t="s">
        <v>56</v>
      </c>
      <c r="Q45">
        <v>22700</v>
      </c>
      <c r="R45" s="3">
        <v>42810</v>
      </c>
      <c r="S45" t="s">
        <v>54</v>
      </c>
      <c r="U45" t="s">
        <v>60</v>
      </c>
      <c r="V45">
        <v>4900</v>
      </c>
      <c r="AG45" t="s">
        <v>4526</v>
      </c>
      <c r="AH45" s="3">
        <v>42765</v>
      </c>
      <c r="AI45">
        <v>32500</v>
      </c>
      <c r="AJ45">
        <v>0</v>
      </c>
      <c r="AS45" t="s">
        <v>4503</v>
      </c>
      <c r="AT45" s="3">
        <v>42903</v>
      </c>
      <c r="AU45">
        <v>95550</v>
      </c>
      <c r="AV45">
        <v>0</v>
      </c>
      <c r="AW45">
        <v>1950</v>
      </c>
      <c r="AX45">
        <v>0</v>
      </c>
    </row>
    <row r="46" spans="1:50" x14ac:dyDescent="0.25">
      <c r="A46" t="s">
        <v>4547</v>
      </c>
      <c r="B46" s="3">
        <v>42746</v>
      </c>
      <c r="C46" t="s">
        <v>4423</v>
      </c>
      <c r="D46" t="s">
        <v>4449</v>
      </c>
      <c r="E46" t="s">
        <v>4425</v>
      </c>
      <c r="F46">
        <v>11000</v>
      </c>
      <c r="G46" t="s">
        <v>4548</v>
      </c>
      <c r="H46" s="3">
        <v>42746</v>
      </c>
      <c r="I46" t="s">
        <v>214</v>
      </c>
      <c r="J46">
        <v>10000</v>
      </c>
      <c r="K46" s="1"/>
      <c r="M46" s="3">
        <v>42878</v>
      </c>
      <c r="N46" t="s">
        <v>54</v>
      </c>
      <c r="P46" t="s">
        <v>60</v>
      </c>
      <c r="Q46">
        <v>9700</v>
      </c>
      <c r="AG46" t="s">
        <v>4549</v>
      </c>
      <c r="AH46" s="3">
        <v>42808</v>
      </c>
      <c r="AI46">
        <v>11000</v>
      </c>
      <c r="AJ46">
        <v>0</v>
      </c>
      <c r="AS46" t="s">
        <v>4550</v>
      </c>
      <c r="AT46" s="3">
        <v>42916</v>
      </c>
      <c r="AU46">
        <v>10780</v>
      </c>
      <c r="AV46">
        <v>0</v>
      </c>
      <c r="AW46">
        <v>220</v>
      </c>
      <c r="AX46">
        <v>0</v>
      </c>
    </row>
    <row r="47" spans="1:50" x14ac:dyDescent="0.25">
      <c r="A47" t="s">
        <v>4551</v>
      </c>
      <c r="B47" s="3">
        <v>42746</v>
      </c>
      <c r="C47" t="s">
        <v>4459</v>
      </c>
      <c r="D47" t="s">
        <v>4437</v>
      </c>
      <c r="E47" t="s">
        <v>4425</v>
      </c>
      <c r="F47">
        <v>24000</v>
      </c>
      <c r="G47" t="s">
        <v>4552</v>
      </c>
      <c r="H47" s="3">
        <v>42746</v>
      </c>
      <c r="I47" t="s">
        <v>214</v>
      </c>
      <c r="J47">
        <v>20000</v>
      </c>
      <c r="K47" s="1"/>
      <c r="M47" s="3">
        <v>42746</v>
      </c>
      <c r="N47" t="s">
        <v>57</v>
      </c>
      <c r="P47" t="s">
        <v>56</v>
      </c>
      <c r="Q47">
        <v>4000</v>
      </c>
      <c r="R47" s="3">
        <v>42746</v>
      </c>
      <c r="S47" t="s">
        <v>54</v>
      </c>
      <c r="U47" t="s">
        <v>56</v>
      </c>
      <c r="V47">
        <v>12700</v>
      </c>
      <c r="W47" s="3">
        <v>42810</v>
      </c>
      <c r="X47" t="s">
        <v>54</v>
      </c>
      <c r="Z47" t="s">
        <v>60</v>
      </c>
      <c r="AA47">
        <v>2900</v>
      </c>
      <c r="AG47" t="s">
        <v>4510</v>
      </c>
      <c r="AH47" s="3">
        <v>42765</v>
      </c>
      <c r="AI47">
        <v>24000</v>
      </c>
      <c r="AJ47">
        <v>0</v>
      </c>
      <c r="AS47" t="s">
        <v>4447</v>
      </c>
      <c r="AT47" s="3">
        <v>42829</v>
      </c>
      <c r="AU47">
        <v>188160</v>
      </c>
      <c r="AV47">
        <v>0</v>
      </c>
      <c r="AW47">
        <v>3840</v>
      </c>
      <c r="AX47">
        <v>0</v>
      </c>
    </row>
    <row r="48" spans="1:50" x14ac:dyDescent="0.25">
      <c r="A48" t="s">
        <v>4553</v>
      </c>
      <c r="B48" s="3">
        <v>42746</v>
      </c>
      <c r="C48" t="s">
        <v>4459</v>
      </c>
      <c r="D48" t="s">
        <v>4437</v>
      </c>
      <c r="E48" t="s">
        <v>4425</v>
      </c>
      <c r="F48">
        <v>24000</v>
      </c>
      <c r="G48" t="s">
        <v>4554</v>
      </c>
      <c r="H48" s="3">
        <v>42746</v>
      </c>
      <c r="I48" t="s">
        <v>214</v>
      </c>
      <c r="J48">
        <v>20000</v>
      </c>
      <c r="K48" s="1"/>
      <c r="M48" s="3">
        <v>42746</v>
      </c>
      <c r="N48" t="s">
        <v>54</v>
      </c>
      <c r="P48" t="s">
        <v>56</v>
      </c>
      <c r="Q48">
        <v>16700</v>
      </c>
      <c r="R48" s="3">
        <v>42810</v>
      </c>
      <c r="S48" t="s">
        <v>54</v>
      </c>
      <c r="U48" t="s">
        <v>60</v>
      </c>
      <c r="V48">
        <v>2900</v>
      </c>
      <c r="AG48" t="s">
        <v>4510</v>
      </c>
      <c r="AH48" s="3">
        <v>42765</v>
      </c>
      <c r="AI48">
        <v>24000</v>
      </c>
      <c r="AJ48">
        <v>0</v>
      </c>
      <c r="AS48" t="s">
        <v>4447</v>
      </c>
      <c r="AT48" s="3">
        <v>42829</v>
      </c>
      <c r="AU48">
        <v>188160</v>
      </c>
      <c r="AV48">
        <v>0</v>
      </c>
      <c r="AW48">
        <v>3840</v>
      </c>
      <c r="AX48">
        <v>0</v>
      </c>
    </row>
    <row r="49" spans="1:50" x14ac:dyDescent="0.25">
      <c r="A49" t="s">
        <v>4555</v>
      </c>
      <c r="B49" s="3">
        <v>42747</v>
      </c>
      <c r="C49" t="s">
        <v>4423</v>
      </c>
      <c r="D49" t="s">
        <v>4424</v>
      </c>
      <c r="E49" t="s">
        <v>4425</v>
      </c>
      <c r="F49">
        <v>24000</v>
      </c>
      <c r="G49" t="s">
        <v>4556</v>
      </c>
      <c r="H49" s="3">
        <v>42747</v>
      </c>
      <c r="I49" t="s">
        <v>214</v>
      </c>
      <c r="J49">
        <v>20000</v>
      </c>
      <c r="K49" s="1"/>
      <c r="M49" s="3">
        <v>42747</v>
      </c>
      <c r="N49" t="s">
        <v>54</v>
      </c>
      <c r="P49" t="s">
        <v>56</v>
      </c>
      <c r="Q49">
        <v>16700</v>
      </c>
      <c r="R49" s="3">
        <v>42919</v>
      </c>
      <c r="S49" t="s">
        <v>54</v>
      </c>
      <c r="U49" t="s">
        <v>60</v>
      </c>
      <c r="V49">
        <v>2950</v>
      </c>
      <c r="AG49" t="s">
        <v>4557</v>
      </c>
      <c r="AH49" s="3">
        <v>42835</v>
      </c>
      <c r="AI49">
        <v>24000</v>
      </c>
      <c r="AJ49">
        <v>0</v>
      </c>
      <c r="AS49" t="s">
        <v>4537</v>
      </c>
      <c r="AT49" s="3">
        <v>42942</v>
      </c>
      <c r="AU49">
        <v>23520</v>
      </c>
      <c r="AV49">
        <v>0</v>
      </c>
      <c r="AW49">
        <v>480</v>
      </c>
      <c r="AX49">
        <v>0</v>
      </c>
    </row>
    <row r="50" spans="1:50" x14ac:dyDescent="0.25">
      <c r="A50" t="s">
        <v>4558</v>
      </c>
      <c r="B50" s="3">
        <v>42747</v>
      </c>
      <c r="C50" t="s">
        <v>4423</v>
      </c>
      <c r="D50" t="s">
        <v>4441</v>
      </c>
      <c r="E50" t="s">
        <v>4425</v>
      </c>
      <c r="F50">
        <v>25500</v>
      </c>
      <c r="G50" t="s">
        <v>4559</v>
      </c>
      <c r="H50" s="3">
        <v>42747</v>
      </c>
      <c r="I50" t="s">
        <v>214</v>
      </c>
      <c r="J50">
        <v>22000</v>
      </c>
      <c r="K50" s="1"/>
      <c r="M50" s="3">
        <v>42748</v>
      </c>
      <c r="N50" t="s">
        <v>54</v>
      </c>
      <c r="P50" t="s">
        <v>56</v>
      </c>
      <c r="Q50">
        <v>17700</v>
      </c>
      <c r="R50" s="3">
        <v>42844</v>
      </c>
      <c r="S50" t="s">
        <v>54</v>
      </c>
      <c r="T50" t="s">
        <v>1546</v>
      </c>
      <c r="U50" t="s">
        <v>60</v>
      </c>
      <c r="V50">
        <v>3900</v>
      </c>
      <c r="AG50" t="s">
        <v>4502</v>
      </c>
      <c r="AH50" s="3">
        <v>42765</v>
      </c>
      <c r="AI50">
        <v>25500</v>
      </c>
      <c r="AJ50">
        <v>0</v>
      </c>
      <c r="AS50" t="s">
        <v>4503</v>
      </c>
      <c r="AT50" s="3">
        <v>42903</v>
      </c>
      <c r="AU50">
        <v>124950</v>
      </c>
      <c r="AV50">
        <v>0</v>
      </c>
      <c r="AW50">
        <v>2550</v>
      </c>
      <c r="AX50">
        <v>0</v>
      </c>
    </row>
    <row r="51" spans="1:50" x14ac:dyDescent="0.25">
      <c r="A51" t="s">
        <v>4560</v>
      </c>
      <c r="B51" s="3">
        <v>42751</v>
      </c>
      <c r="C51" t="s">
        <v>4423</v>
      </c>
      <c r="D51" t="s">
        <v>3319</v>
      </c>
      <c r="E51" t="s">
        <v>4425</v>
      </c>
      <c r="F51">
        <v>5500</v>
      </c>
      <c r="G51" t="s">
        <v>4561</v>
      </c>
      <c r="H51" s="3">
        <v>42751</v>
      </c>
      <c r="I51" t="s">
        <v>91</v>
      </c>
      <c r="J51">
        <v>4500</v>
      </c>
      <c r="K51" s="1"/>
      <c r="M51" s="3">
        <v>42753</v>
      </c>
      <c r="N51" t="s">
        <v>54</v>
      </c>
      <c r="P51" t="s">
        <v>60</v>
      </c>
      <c r="Q51">
        <v>4450</v>
      </c>
      <c r="AG51" t="s">
        <v>4536</v>
      </c>
      <c r="AH51" s="3">
        <v>42765</v>
      </c>
      <c r="AI51">
        <v>5500</v>
      </c>
      <c r="AJ51">
        <v>0</v>
      </c>
      <c r="AS51" t="s">
        <v>4537</v>
      </c>
      <c r="AT51" s="3">
        <v>42942</v>
      </c>
      <c r="AU51">
        <v>16170</v>
      </c>
      <c r="AV51">
        <v>0</v>
      </c>
      <c r="AW51">
        <v>330</v>
      </c>
      <c r="AX51">
        <v>0</v>
      </c>
    </row>
    <row r="52" spans="1:50" x14ac:dyDescent="0.25">
      <c r="A52" t="s">
        <v>4562</v>
      </c>
      <c r="B52" s="3">
        <v>42752</v>
      </c>
      <c r="C52" t="s">
        <v>4459</v>
      </c>
      <c r="D52" t="s">
        <v>4437</v>
      </c>
      <c r="E52" t="s">
        <v>4425</v>
      </c>
      <c r="F52">
        <v>24000</v>
      </c>
      <c r="G52" t="s">
        <v>4563</v>
      </c>
      <c r="H52" s="3">
        <v>42752</v>
      </c>
      <c r="I52" t="s">
        <v>214</v>
      </c>
      <c r="J52">
        <v>20000</v>
      </c>
      <c r="K52" s="1"/>
      <c r="M52" s="3">
        <v>42752</v>
      </c>
      <c r="N52" t="s">
        <v>54</v>
      </c>
      <c r="P52" t="s">
        <v>56</v>
      </c>
      <c r="Q52">
        <v>12700</v>
      </c>
      <c r="R52" s="3">
        <v>42752</v>
      </c>
      <c r="S52" t="s">
        <v>57</v>
      </c>
      <c r="U52" t="s">
        <v>56</v>
      </c>
      <c r="V52">
        <v>4000</v>
      </c>
      <c r="W52" s="3">
        <v>42878</v>
      </c>
      <c r="X52" t="s">
        <v>54</v>
      </c>
      <c r="Z52" t="s">
        <v>60</v>
      </c>
      <c r="AA52">
        <v>2950</v>
      </c>
      <c r="AG52" t="s">
        <v>4564</v>
      </c>
      <c r="AH52" s="3">
        <v>42835</v>
      </c>
      <c r="AI52">
        <v>24000</v>
      </c>
      <c r="AJ52">
        <v>0</v>
      </c>
      <c r="AS52" t="s">
        <v>4537</v>
      </c>
      <c r="AT52" s="3">
        <v>42942</v>
      </c>
      <c r="AU52">
        <v>70560</v>
      </c>
      <c r="AV52">
        <v>0</v>
      </c>
      <c r="AW52">
        <v>1440</v>
      </c>
      <c r="AX52">
        <v>0</v>
      </c>
    </row>
    <row r="53" spans="1:50" x14ac:dyDescent="0.25">
      <c r="A53" t="s">
        <v>4565</v>
      </c>
      <c r="B53" s="3">
        <v>42752</v>
      </c>
      <c r="C53" t="s">
        <v>4459</v>
      </c>
      <c r="D53" t="s">
        <v>4437</v>
      </c>
      <c r="E53" t="s">
        <v>4425</v>
      </c>
      <c r="F53">
        <v>24000</v>
      </c>
      <c r="K53" s="1"/>
      <c r="AG53" t="s">
        <v>4564</v>
      </c>
      <c r="AH53" s="3">
        <v>42835</v>
      </c>
      <c r="AI53">
        <v>24000</v>
      </c>
      <c r="AJ53">
        <v>0</v>
      </c>
      <c r="AS53" t="s">
        <v>4537</v>
      </c>
      <c r="AT53" s="3">
        <v>42942</v>
      </c>
      <c r="AU53">
        <v>70560</v>
      </c>
      <c r="AV53">
        <v>0</v>
      </c>
      <c r="AW53">
        <v>1440</v>
      </c>
      <c r="AX53">
        <v>0</v>
      </c>
    </row>
    <row r="54" spans="1:50" x14ac:dyDescent="0.25">
      <c r="A54" t="s">
        <v>4566</v>
      </c>
      <c r="B54" s="3">
        <v>42752</v>
      </c>
      <c r="C54" t="s">
        <v>4423</v>
      </c>
      <c r="D54" t="s">
        <v>4441</v>
      </c>
      <c r="E54" t="s">
        <v>4425</v>
      </c>
      <c r="F54">
        <v>25500</v>
      </c>
      <c r="G54" t="s">
        <v>4567</v>
      </c>
      <c r="H54" s="3">
        <v>42752</v>
      </c>
      <c r="I54" t="s">
        <v>214</v>
      </c>
      <c r="J54">
        <v>22000</v>
      </c>
      <c r="K54" s="1"/>
      <c r="M54" s="3">
        <v>42752</v>
      </c>
      <c r="N54" t="s">
        <v>54</v>
      </c>
      <c r="P54" t="s">
        <v>56</v>
      </c>
      <c r="Q54">
        <v>17700</v>
      </c>
      <c r="R54" s="3">
        <v>42844</v>
      </c>
      <c r="S54" t="s">
        <v>54</v>
      </c>
      <c r="T54" t="s">
        <v>1546</v>
      </c>
      <c r="U54" t="s">
        <v>60</v>
      </c>
      <c r="V54">
        <v>3900</v>
      </c>
      <c r="AG54" t="s">
        <v>4502</v>
      </c>
      <c r="AH54" s="3">
        <v>42765</v>
      </c>
      <c r="AI54">
        <v>25500</v>
      </c>
      <c r="AJ54">
        <v>0</v>
      </c>
      <c r="AS54" t="s">
        <v>4503</v>
      </c>
      <c r="AT54" s="3">
        <v>42903</v>
      </c>
      <c r="AU54">
        <v>124950</v>
      </c>
      <c r="AV54">
        <v>0</v>
      </c>
      <c r="AW54">
        <v>2550</v>
      </c>
      <c r="AX54">
        <v>0</v>
      </c>
    </row>
    <row r="55" spans="1:50" x14ac:dyDescent="0.25">
      <c r="A55" t="s">
        <v>4568</v>
      </c>
      <c r="B55" s="3">
        <v>42753</v>
      </c>
      <c r="C55" t="s">
        <v>4423</v>
      </c>
      <c r="D55" t="s">
        <v>4424</v>
      </c>
      <c r="E55" t="s">
        <v>4425</v>
      </c>
      <c r="F55">
        <v>32500</v>
      </c>
      <c r="G55" t="s">
        <v>4569</v>
      </c>
      <c r="H55" s="3">
        <v>42753</v>
      </c>
      <c r="I55" t="s">
        <v>214</v>
      </c>
      <c r="J55">
        <v>28000</v>
      </c>
      <c r="K55" s="1"/>
      <c r="M55" s="3">
        <v>42753</v>
      </c>
      <c r="N55" t="s">
        <v>54</v>
      </c>
      <c r="P55" t="s">
        <v>56</v>
      </c>
      <c r="Q55">
        <v>16700</v>
      </c>
      <c r="R55" s="3">
        <v>42926</v>
      </c>
      <c r="S55" t="s">
        <v>54</v>
      </c>
      <c r="U55" t="s">
        <v>60</v>
      </c>
      <c r="V55">
        <v>4900</v>
      </c>
      <c r="AG55" t="s">
        <v>4526</v>
      </c>
      <c r="AH55" s="3">
        <v>42765</v>
      </c>
      <c r="AI55">
        <v>32500</v>
      </c>
      <c r="AJ55">
        <v>0</v>
      </c>
      <c r="AS55" t="s">
        <v>4503</v>
      </c>
      <c r="AT55" s="3">
        <v>42903</v>
      </c>
      <c r="AU55">
        <v>95550</v>
      </c>
      <c r="AV55">
        <v>0</v>
      </c>
      <c r="AW55">
        <v>1950</v>
      </c>
      <c r="AX55">
        <v>0</v>
      </c>
    </row>
    <row r="56" spans="1:50" x14ac:dyDescent="0.25">
      <c r="A56" t="s">
        <v>4570</v>
      </c>
      <c r="B56" s="3">
        <v>42754</v>
      </c>
      <c r="C56" t="s">
        <v>4459</v>
      </c>
      <c r="D56" t="s">
        <v>4437</v>
      </c>
      <c r="E56" t="s">
        <v>4425</v>
      </c>
      <c r="F56">
        <v>24000</v>
      </c>
      <c r="G56" t="s">
        <v>4571</v>
      </c>
      <c r="H56" s="3">
        <v>42754</v>
      </c>
      <c r="I56" t="s">
        <v>214</v>
      </c>
      <c r="J56">
        <v>20000</v>
      </c>
      <c r="K56" s="1"/>
      <c r="M56" s="3">
        <v>42754</v>
      </c>
      <c r="N56" t="s">
        <v>54</v>
      </c>
      <c r="P56" t="s">
        <v>56</v>
      </c>
      <c r="Q56">
        <v>16700</v>
      </c>
      <c r="R56" s="3">
        <v>42844</v>
      </c>
      <c r="S56" t="s">
        <v>54</v>
      </c>
      <c r="T56" t="s">
        <v>1546</v>
      </c>
      <c r="U56" t="s">
        <v>60</v>
      </c>
      <c r="V56">
        <v>2950</v>
      </c>
      <c r="AG56" t="s">
        <v>4510</v>
      </c>
      <c r="AH56" s="3">
        <v>42765</v>
      </c>
      <c r="AI56">
        <v>24000</v>
      </c>
      <c r="AJ56">
        <v>0</v>
      </c>
      <c r="AS56" t="s">
        <v>4447</v>
      </c>
      <c r="AT56" s="3">
        <v>42829</v>
      </c>
      <c r="AU56">
        <v>188160</v>
      </c>
      <c r="AV56">
        <v>0</v>
      </c>
      <c r="AW56">
        <v>3840</v>
      </c>
      <c r="AX56">
        <v>0</v>
      </c>
    </row>
    <row r="57" spans="1:50" x14ac:dyDescent="0.25">
      <c r="A57" t="s">
        <v>4572</v>
      </c>
      <c r="B57" s="3">
        <v>42754</v>
      </c>
      <c r="C57" t="s">
        <v>4459</v>
      </c>
      <c r="D57" t="s">
        <v>4437</v>
      </c>
      <c r="E57" t="s">
        <v>4425</v>
      </c>
      <c r="F57">
        <v>32500</v>
      </c>
      <c r="G57" t="s">
        <v>4573</v>
      </c>
      <c r="H57" s="3">
        <v>42754</v>
      </c>
      <c r="I57" t="s">
        <v>214</v>
      </c>
      <c r="J57">
        <v>29000</v>
      </c>
      <c r="K57" s="1"/>
      <c r="M57" s="3">
        <v>42754</v>
      </c>
      <c r="N57" t="s">
        <v>57</v>
      </c>
      <c r="P57" t="s">
        <v>56</v>
      </c>
      <c r="Q57">
        <v>3000</v>
      </c>
      <c r="R57" s="3">
        <v>42754</v>
      </c>
      <c r="S57" t="s">
        <v>54</v>
      </c>
      <c r="U57" t="s">
        <v>56</v>
      </c>
      <c r="V57">
        <v>12700</v>
      </c>
      <c r="W57" s="3">
        <v>42933</v>
      </c>
      <c r="X57" t="s">
        <v>54</v>
      </c>
      <c r="Z57" t="s">
        <v>60</v>
      </c>
      <c r="AA57">
        <v>12800</v>
      </c>
      <c r="AG57" t="s">
        <v>4574</v>
      </c>
      <c r="AH57" s="3">
        <v>42808</v>
      </c>
      <c r="AI57">
        <v>32500</v>
      </c>
      <c r="AJ57">
        <v>0</v>
      </c>
      <c r="AS57" t="s">
        <v>4550</v>
      </c>
      <c r="AT57" s="3">
        <v>42916</v>
      </c>
      <c r="AU57">
        <v>127400</v>
      </c>
      <c r="AV57">
        <v>0</v>
      </c>
      <c r="AW57">
        <v>2600</v>
      </c>
      <c r="AX57">
        <v>0</v>
      </c>
    </row>
    <row r="58" spans="1:50" x14ac:dyDescent="0.25">
      <c r="A58" t="s">
        <v>4575</v>
      </c>
      <c r="B58" s="3">
        <v>42756</v>
      </c>
      <c r="C58" t="s">
        <v>4423</v>
      </c>
      <c r="D58" t="s">
        <v>3319</v>
      </c>
      <c r="E58" t="s">
        <v>4425</v>
      </c>
      <c r="F58">
        <v>5500</v>
      </c>
      <c r="G58" t="s">
        <v>4576</v>
      </c>
      <c r="H58" s="3">
        <v>42756</v>
      </c>
      <c r="I58" t="s">
        <v>1844</v>
      </c>
      <c r="J58">
        <v>4500</v>
      </c>
      <c r="K58" s="1"/>
      <c r="M58" s="3">
        <v>42807</v>
      </c>
      <c r="N58" t="s">
        <v>54</v>
      </c>
      <c r="P58" t="s">
        <v>60</v>
      </c>
      <c r="Q58">
        <v>4450</v>
      </c>
      <c r="AG58" t="s">
        <v>4577</v>
      </c>
      <c r="AH58" s="3">
        <v>42835</v>
      </c>
      <c r="AI58">
        <v>5500</v>
      </c>
      <c r="AJ58">
        <v>0</v>
      </c>
      <c r="AS58" t="s">
        <v>4537</v>
      </c>
      <c r="AT58" s="3">
        <v>42942</v>
      </c>
      <c r="AU58">
        <v>5390</v>
      </c>
      <c r="AV58">
        <v>0</v>
      </c>
      <c r="AW58">
        <v>110</v>
      </c>
      <c r="AX58">
        <v>0</v>
      </c>
    </row>
    <row r="59" spans="1:50" x14ac:dyDescent="0.25">
      <c r="A59" t="s">
        <v>4578</v>
      </c>
      <c r="B59" s="3">
        <v>42758</v>
      </c>
      <c r="C59" t="s">
        <v>4423</v>
      </c>
      <c r="D59" t="s">
        <v>4424</v>
      </c>
      <c r="E59" t="s">
        <v>4425</v>
      </c>
      <c r="F59">
        <v>24000</v>
      </c>
      <c r="G59" t="s">
        <v>4579</v>
      </c>
      <c r="H59" s="3">
        <v>42758</v>
      </c>
      <c r="I59" t="s">
        <v>214</v>
      </c>
      <c r="J59">
        <v>20000</v>
      </c>
      <c r="K59" s="1"/>
      <c r="M59" s="3">
        <v>42759</v>
      </c>
      <c r="N59" t="s">
        <v>57</v>
      </c>
      <c r="P59" t="s">
        <v>56</v>
      </c>
      <c r="Q59">
        <v>6000</v>
      </c>
      <c r="R59" s="3">
        <v>42760</v>
      </c>
      <c r="S59" t="s">
        <v>54</v>
      </c>
      <c r="U59" t="s">
        <v>56</v>
      </c>
      <c r="V59">
        <v>10700</v>
      </c>
      <c r="W59" s="3">
        <v>42844</v>
      </c>
      <c r="X59" t="s">
        <v>54</v>
      </c>
      <c r="Y59" t="s">
        <v>1546</v>
      </c>
      <c r="Z59" t="s">
        <v>60</v>
      </c>
      <c r="AA59">
        <v>2950</v>
      </c>
      <c r="AG59" t="s">
        <v>4487</v>
      </c>
      <c r="AH59" s="3">
        <v>42765</v>
      </c>
      <c r="AI59">
        <v>24000</v>
      </c>
      <c r="AJ59">
        <v>0</v>
      </c>
      <c r="AS59" t="s">
        <v>4428</v>
      </c>
      <c r="AT59" s="3">
        <v>42840</v>
      </c>
      <c r="AU59">
        <v>141120</v>
      </c>
      <c r="AV59">
        <v>0</v>
      </c>
      <c r="AW59">
        <v>2880</v>
      </c>
      <c r="AX59">
        <v>0</v>
      </c>
    </row>
    <row r="60" spans="1:50" x14ac:dyDescent="0.25">
      <c r="A60" t="s">
        <v>4580</v>
      </c>
      <c r="B60" s="3">
        <v>42759</v>
      </c>
      <c r="C60" t="s">
        <v>4423</v>
      </c>
      <c r="D60" t="s">
        <v>4424</v>
      </c>
      <c r="E60" t="s">
        <v>4425</v>
      </c>
      <c r="F60">
        <v>24000</v>
      </c>
      <c r="G60" t="s">
        <v>4581</v>
      </c>
      <c r="H60" s="3">
        <v>42759</v>
      </c>
      <c r="I60" t="s">
        <v>214</v>
      </c>
      <c r="J60">
        <v>20000</v>
      </c>
      <c r="K60" s="1"/>
      <c r="M60" s="3">
        <v>42760</v>
      </c>
      <c r="N60" t="s">
        <v>54</v>
      </c>
      <c r="P60" t="s">
        <v>56</v>
      </c>
      <c r="Q60">
        <v>16700</v>
      </c>
      <c r="R60" s="3">
        <v>42844</v>
      </c>
      <c r="S60" t="s">
        <v>54</v>
      </c>
      <c r="T60" t="s">
        <v>1546</v>
      </c>
      <c r="U60" t="s">
        <v>60</v>
      </c>
      <c r="V60">
        <v>2950</v>
      </c>
      <c r="AG60" t="s">
        <v>4487</v>
      </c>
      <c r="AH60" s="3">
        <v>42765</v>
      </c>
      <c r="AI60">
        <v>24000</v>
      </c>
      <c r="AJ60">
        <v>0</v>
      </c>
      <c r="AS60" t="s">
        <v>4428</v>
      </c>
      <c r="AT60" s="3">
        <v>42840</v>
      </c>
      <c r="AU60">
        <v>141120</v>
      </c>
      <c r="AV60">
        <v>0</v>
      </c>
      <c r="AW60">
        <v>2880</v>
      </c>
      <c r="AX60">
        <v>0</v>
      </c>
    </row>
    <row r="61" spans="1:50" x14ac:dyDescent="0.25">
      <c r="A61" t="s">
        <v>4582</v>
      </c>
      <c r="B61" s="3">
        <v>42762</v>
      </c>
      <c r="C61" t="s">
        <v>4459</v>
      </c>
      <c r="D61" t="s">
        <v>4437</v>
      </c>
      <c r="E61" t="s">
        <v>4425</v>
      </c>
      <c r="F61">
        <v>24000</v>
      </c>
      <c r="G61" t="s">
        <v>4583</v>
      </c>
      <c r="H61" s="3">
        <v>42762</v>
      </c>
      <c r="I61" t="s">
        <v>214</v>
      </c>
      <c r="J61">
        <v>20000</v>
      </c>
      <c r="K61" s="1"/>
      <c r="M61" s="3">
        <v>42762</v>
      </c>
      <c r="N61" t="s">
        <v>54</v>
      </c>
      <c r="P61" t="s">
        <v>56</v>
      </c>
      <c r="Q61">
        <v>16700</v>
      </c>
      <c r="R61" s="3">
        <v>42844</v>
      </c>
      <c r="S61" t="s">
        <v>54</v>
      </c>
      <c r="T61" t="s">
        <v>1546</v>
      </c>
      <c r="U61" t="s">
        <v>60</v>
      </c>
      <c r="V61">
        <v>2950</v>
      </c>
      <c r="AG61" t="s">
        <v>4510</v>
      </c>
      <c r="AH61" s="3">
        <v>42765</v>
      </c>
      <c r="AI61">
        <v>24000</v>
      </c>
      <c r="AJ61">
        <v>0</v>
      </c>
      <c r="AS61" t="s">
        <v>4447</v>
      </c>
      <c r="AT61" s="3">
        <v>42829</v>
      </c>
      <c r="AU61">
        <v>188160</v>
      </c>
      <c r="AV61">
        <v>0</v>
      </c>
      <c r="AW61">
        <v>3840</v>
      </c>
      <c r="AX61">
        <v>0</v>
      </c>
    </row>
    <row r="62" spans="1:50" x14ac:dyDescent="0.25">
      <c r="A62" t="s">
        <v>4584</v>
      </c>
      <c r="B62" s="3">
        <v>42762</v>
      </c>
      <c r="C62" t="s">
        <v>4459</v>
      </c>
      <c r="D62" t="s">
        <v>4437</v>
      </c>
      <c r="E62" t="s">
        <v>4425</v>
      </c>
      <c r="F62">
        <v>32500</v>
      </c>
      <c r="G62" t="s">
        <v>4585</v>
      </c>
      <c r="H62" s="3">
        <v>42762</v>
      </c>
      <c r="I62" t="s">
        <v>214</v>
      </c>
      <c r="J62">
        <v>28000</v>
      </c>
      <c r="K62" s="1"/>
      <c r="M62" s="3">
        <v>42762</v>
      </c>
      <c r="N62" t="s">
        <v>54</v>
      </c>
      <c r="P62" t="s">
        <v>56</v>
      </c>
      <c r="Q62">
        <v>22700</v>
      </c>
      <c r="R62" s="3">
        <v>42844</v>
      </c>
      <c r="S62" t="s">
        <v>54</v>
      </c>
      <c r="T62" t="s">
        <v>1546</v>
      </c>
      <c r="U62" t="s">
        <v>60</v>
      </c>
      <c r="V62">
        <v>4900</v>
      </c>
      <c r="AG62" t="s">
        <v>4531</v>
      </c>
      <c r="AH62" s="3">
        <v>42765</v>
      </c>
      <c r="AI62">
        <v>32500</v>
      </c>
      <c r="AJ62">
        <v>0</v>
      </c>
      <c r="AS62" t="s">
        <v>4428</v>
      </c>
      <c r="AT62" s="3">
        <v>42840</v>
      </c>
      <c r="AU62">
        <v>63700</v>
      </c>
      <c r="AV62">
        <v>0</v>
      </c>
      <c r="AW62">
        <v>1300</v>
      </c>
      <c r="AX62">
        <v>0</v>
      </c>
    </row>
    <row r="63" spans="1:50" x14ac:dyDescent="0.25">
      <c r="A63" t="s">
        <v>4586</v>
      </c>
      <c r="B63" s="3">
        <v>42762</v>
      </c>
      <c r="C63" t="s">
        <v>4423</v>
      </c>
      <c r="D63" t="s">
        <v>4424</v>
      </c>
      <c r="E63" t="s">
        <v>4425</v>
      </c>
      <c r="F63">
        <v>24000</v>
      </c>
      <c r="G63" t="s">
        <v>4587</v>
      </c>
      <c r="H63" s="3">
        <v>42762</v>
      </c>
      <c r="I63" t="s">
        <v>214</v>
      </c>
      <c r="J63">
        <v>20000</v>
      </c>
      <c r="K63" s="1"/>
      <c r="M63" s="3">
        <v>42765</v>
      </c>
      <c r="N63" t="s">
        <v>54</v>
      </c>
      <c r="P63" t="s">
        <v>56</v>
      </c>
      <c r="Q63">
        <v>16700</v>
      </c>
      <c r="R63" s="3">
        <v>42844</v>
      </c>
      <c r="S63" t="s">
        <v>54</v>
      </c>
      <c r="T63" t="s">
        <v>1546</v>
      </c>
      <c r="U63" t="s">
        <v>60</v>
      </c>
      <c r="V63">
        <v>2950</v>
      </c>
      <c r="AG63" t="s">
        <v>4487</v>
      </c>
      <c r="AH63" s="3">
        <v>42765</v>
      </c>
      <c r="AI63">
        <v>24000</v>
      </c>
      <c r="AJ63">
        <v>0</v>
      </c>
      <c r="AS63" t="s">
        <v>4428</v>
      </c>
      <c r="AT63" s="3">
        <v>42840</v>
      </c>
      <c r="AU63">
        <v>141120</v>
      </c>
      <c r="AV63">
        <v>0</v>
      </c>
      <c r="AW63">
        <v>2880</v>
      </c>
      <c r="AX63">
        <v>0</v>
      </c>
    </row>
    <row r="64" spans="1:50" x14ac:dyDescent="0.25">
      <c r="A64" t="s">
        <v>4588</v>
      </c>
      <c r="B64" s="3">
        <v>42763</v>
      </c>
      <c r="C64" t="s">
        <v>4423</v>
      </c>
      <c r="D64" t="s">
        <v>4424</v>
      </c>
      <c r="E64" t="s">
        <v>4425</v>
      </c>
      <c r="F64">
        <v>32500</v>
      </c>
      <c r="G64" t="s">
        <v>4589</v>
      </c>
      <c r="H64" s="3">
        <v>42763</v>
      </c>
      <c r="I64" t="s">
        <v>214</v>
      </c>
      <c r="J64">
        <v>28000</v>
      </c>
      <c r="K64" s="1"/>
      <c r="M64" s="3">
        <v>42765</v>
      </c>
      <c r="N64" t="s">
        <v>54</v>
      </c>
      <c r="P64" t="s">
        <v>56</v>
      </c>
      <c r="Q64">
        <v>22700</v>
      </c>
      <c r="R64" s="3">
        <v>42844</v>
      </c>
      <c r="S64" t="s">
        <v>54</v>
      </c>
      <c r="T64" t="s">
        <v>1546</v>
      </c>
      <c r="U64" t="s">
        <v>60</v>
      </c>
      <c r="V64">
        <v>4900</v>
      </c>
      <c r="AG64" t="s">
        <v>4590</v>
      </c>
      <c r="AH64" s="3">
        <v>42835</v>
      </c>
      <c r="AI64">
        <v>32500</v>
      </c>
      <c r="AJ64">
        <v>0</v>
      </c>
      <c r="AS64" t="s">
        <v>4537</v>
      </c>
      <c r="AT64" s="3">
        <v>42942</v>
      </c>
      <c r="AU64">
        <v>63700</v>
      </c>
      <c r="AV64">
        <v>0</v>
      </c>
      <c r="AW64">
        <v>1300</v>
      </c>
      <c r="AX64">
        <v>0</v>
      </c>
    </row>
    <row r="65" spans="1:50" x14ac:dyDescent="0.25">
      <c r="A65" t="s">
        <v>4591</v>
      </c>
      <c r="B65" s="3">
        <v>42765</v>
      </c>
      <c r="C65" t="s">
        <v>4459</v>
      </c>
      <c r="D65" t="s">
        <v>4437</v>
      </c>
      <c r="E65" t="s">
        <v>4425</v>
      </c>
      <c r="F65">
        <v>32500</v>
      </c>
      <c r="G65" t="s">
        <v>4592</v>
      </c>
      <c r="H65" s="3">
        <v>42765</v>
      </c>
      <c r="I65" t="s">
        <v>214</v>
      </c>
      <c r="J65">
        <v>28000</v>
      </c>
      <c r="K65" s="1"/>
      <c r="M65" s="3">
        <v>42765</v>
      </c>
      <c r="N65" t="s">
        <v>54</v>
      </c>
      <c r="P65" t="s">
        <v>60</v>
      </c>
      <c r="Q65">
        <v>27700</v>
      </c>
      <c r="AG65" t="s">
        <v>4574</v>
      </c>
      <c r="AH65" s="3">
        <v>42808</v>
      </c>
      <c r="AI65">
        <v>32500</v>
      </c>
      <c r="AJ65">
        <v>0</v>
      </c>
      <c r="AS65" t="s">
        <v>4550</v>
      </c>
      <c r="AT65" s="3">
        <v>42916</v>
      </c>
      <c r="AU65">
        <v>127400</v>
      </c>
      <c r="AV65">
        <v>0</v>
      </c>
      <c r="AW65">
        <v>2600</v>
      </c>
      <c r="AX65">
        <v>0</v>
      </c>
    </row>
    <row r="66" spans="1:50" x14ac:dyDescent="0.25">
      <c r="A66" t="s">
        <v>4593</v>
      </c>
      <c r="B66" s="3">
        <v>42765</v>
      </c>
      <c r="C66" t="s">
        <v>4459</v>
      </c>
      <c r="D66" t="s">
        <v>4437</v>
      </c>
      <c r="E66" t="s">
        <v>4425</v>
      </c>
      <c r="F66">
        <v>24000</v>
      </c>
      <c r="G66" t="s">
        <v>4594</v>
      </c>
      <c r="H66" s="3">
        <v>42765</v>
      </c>
      <c r="I66" t="s">
        <v>214</v>
      </c>
      <c r="J66">
        <v>20000</v>
      </c>
      <c r="K66" s="1"/>
      <c r="M66" s="3">
        <v>42765</v>
      </c>
      <c r="N66" t="s">
        <v>54</v>
      </c>
      <c r="P66" t="s">
        <v>56</v>
      </c>
      <c r="Q66">
        <v>12700</v>
      </c>
      <c r="R66" s="3">
        <v>42765</v>
      </c>
      <c r="S66" t="s">
        <v>57</v>
      </c>
      <c r="U66" t="s">
        <v>56</v>
      </c>
      <c r="V66">
        <v>4000</v>
      </c>
      <c r="W66" s="3">
        <v>42878</v>
      </c>
      <c r="X66" t="s">
        <v>54</v>
      </c>
      <c r="Z66" t="s">
        <v>60</v>
      </c>
      <c r="AA66">
        <v>2950</v>
      </c>
      <c r="AG66" t="s">
        <v>4564</v>
      </c>
      <c r="AH66" s="3">
        <v>42835</v>
      </c>
      <c r="AI66">
        <v>24000</v>
      </c>
      <c r="AJ66">
        <v>0</v>
      </c>
      <c r="AS66" t="s">
        <v>4537</v>
      </c>
      <c r="AT66" s="3">
        <v>42942</v>
      </c>
      <c r="AU66">
        <v>70560</v>
      </c>
      <c r="AV66">
        <v>0</v>
      </c>
      <c r="AW66">
        <v>1440</v>
      </c>
      <c r="AX66">
        <v>0</v>
      </c>
    </row>
    <row r="67" spans="1:50" x14ac:dyDescent="0.25">
      <c r="A67" t="s">
        <v>4595</v>
      </c>
      <c r="B67" s="3">
        <v>42765</v>
      </c>
      <c r="C67" t="s">
        <v>4423</v>
      </c>
      <c r="D67" t="s">
        <v>4441</v>
      </c>
      <c r="E67" t="s">
        <v>4425</v>
      </c>
      <c r="F67">
        <v>25500</v>
      </c>
      <c r="G67" t="s">
        <v>4596</v>
      </c>
      <c r="H67" s="3">
        <v>42765</v>
      </c>
      <c r="I67" t="s">
        <v>214</v>
      </c>
      <c r="J67">
        <v>22000</v>
      </c>
      <c r="K67" s="1"/>
      <c r="M67" s="3">
        <v>42766</v>
      </c>
      <c r="N67" t="s">
        <v>54</v>
      </c>
      <c r="P67" t="s">
        <v>56</v>
      </c>
      <c r="Q67">
        <v>16700</v>
      </c>
      <c r="R67" s="3">
        <v>42766</v>
      </c>
      <c r="S67" t="s">
        <v>54</v>
      </c>
      <c r="U67" t="s">
        <v>56</v>
      </c>
      <c r="V67">
        <v>1000</v>
      </c>
      <c r="W67" s="3">
        <v>42919</v>
      </c>
      <c r="X67" t="s">
        <v>54</v>
      </c>
      <c r="Z67" t="s">
        <v>60</v>
      </c>
      <c r="AA67">
        <v>3900</v>
      </c>
      <c r="AG67" t="s">
        <v>4597</v>
      </c>
      <c r="AH67" s="3">
        <v>42838</v>
      </c>
      <c r="AI67">
        <v>25500</v>
      </c>
      <c r="AJ67">
        <v>0</v>
      </c>
      <c r="AS67" t="s">
        <v>4537</v>
      </c>
      <c r="AT67" s="3">
        <v>42942</v>
      </c>
      <c r="AU67">
        <v>24990</v>
      </c>
      <c r="AV67">
        <v>0</v>
      </c>
      <c r="AW67">
        <v>510</v>
      </c>
      <c r="AX67">
        <v>0</v>
      </c>
    </row>
    <row r="68" spans="1:50" x14ac:dyDescent="0.25">
      <c r="A68" t="s">
        <v>4598</v>
      </c>
      <c r="B68" s="3">
        <v>42766</v>
      </c>
      <c r="C68" t="s">
        <v>4423</v>
      </c>
      <c r="D68" t="s">
        <v>4599</v>
      </c>
      <c r="E68" t="s">
        <v>4425</v>
      </c>
      <c r="F68">
        <v>25500</v>
      </c>
      <c r="G68" t="s">
        <v>4600</v>
      </c>
      <c r="H68" s="3">
        <v>42766</v>
      </c>
      <c r="I68" t="s">
        <v>214</v>
      </c>
      <c r="J68">
        <v>22000</v>
      </c>
      <c r="K68" s="1"/>
      <c r="M68" s="3">
        <v>42766</v>
      </c>
      <c r="N68" t="s">
        <v>54</v>
      </c>
      <c r="P68" t="s">
        <v>56</v>
      </c>
      <c r="Q68">
        <v>17700</v>
      </c>
      <c r="R68" s="3">
        <v>42878</v>
      </c>
      <c r="S68" t="s">
        <v>54</v>
      </c>
      <c r="U68" t="s">
        <v>60</v>
      </c>
      <c r="V68">
        <v>3900</v>
      </c>
      <c r="AG68" t="s">
        <v>4601</v>
      </c>
      <c r="AH68" s="3">
        <v>42835</v>
      </c>
      <c r="AI68">
        <v>25500</v>
      </c>
      <c r="AJ68">
        <v>0</v>
      </c>
      <c r="AS68" t="s">
        <v>4537</v>
      </c>
      <c r="AT68" s="3">
        <v>42942</v>
      </c>
      <c r="AU68">
        <v>49980</v>
      </c>
      <c r="AV68">
        <v>0</v>
      </c>
      <c r="AW68">
        <v>1020</v>
      </c>
      <c r="AX68">
        <v>0</v>
      </c>
    </row>
    <row r="69" spans="1:50" x14ac:dyDescent="0.25">
      <c r="A69" t="s">
        <v>4602</v>
      </c>
      <c r="B69" s="3">
        <v>42766</v>
      </c>
      <c r="C69" t="s">
        <v>4423</v>
      </c>
      <c r="D69" t="s">
        <v>4424</v>
      </c>
      <c r="E69" t="s">
        <v>4425</v>
      </c>
      <c r="F69">
        <v>32500</v>
      </c>
      <c r="G69" t="s">
        <v>4603</v>
      </c>
      <c r="H69" s="3">
        <v>42766</v>
      </c>
      <c r="I69" t="s">
        <v>214</v>
      </c>
      <c r="J69">
        <v>28000</v>
      </c>
      <c r="K69" s="1"/>
      <c r="M69" s="3">
        <v>42766</v>
      </c>
      <c r="N69" t="s">
        <v>54</v>
      </c>
      <c r="P69" t="s">
        <v>56</v>
      </c>
      <c r="Q69">
        <v>22700</v>
      </c>
      <c r="R69" s="3">
        <v>42844</v>
      </c>
      <c r="S69" t="s">
        <v>54</v>
      </c>
      <c r="T69" t="s">
        <v>1546</v>
      </c>
      <c r="U69" t="s">
        <v>60</v>
      </c>
      <c r="V69">
        <v>4900</v>
      </c>
      <c r="AG69" t="s">
        <v>4590</v>
      </c>
      <c r="AH69" s="3">
        <v>42835</v>
      </c>
      <c r="AI69">
        <v>32500</v>
      </c>
      <c r="AJ69">
        <v>0</v>
      </c>
      <c r="AS69" t="s">
        <v>4537</v>
      </c>
      <c r="AT69" s="3">
        <v>42942</v>
      </c>
      <c r="AU69">
        <v>63700</v>
      </c>
      <c r="AV69">
        <v>0</v>
      </c>
      <c r="AW69">
        <v>1300</v>
      </c>
      <c r="AX69">
        <v>0</v>
      </c>
    </row>
    <row r="70" spans="1:50" x14ac:dyDescent="0.25">
      <c r="A70" t="s">
        <v>4604</v>
      </c>
      <c r="B70" s="3">
        <v>42767</v>
      </c>
      <c r="C70" t="s">
        <v>4459</v>
      </c>
      <c r="D70" t="s">
        <v>4437</v>
      </c>
      <c r="E70" t="s">
        <v>4425</v>
      </c>
      <c r="F70">
        <v>24000</v>
      </c>
      <c r="G70" t="s">
        <v>4605</v>
      </c>
      <c r="H70" s="3">
        <v>42767</v>
      </c>
      <c r="I70" t="s">
        <v>214</v>
      </c>
      <c r="J70">
        <v>20000</v>
      </c>
      <c r="K70" s="1"/>
      <c r="M70" s="3">
        <v>42767</v>
      </c>
      <c r="N70" t="s">
        <v>54</v>
      </c>
      <c r="P70" t="s">
        <v>56</v>
      </c>
      <c r="Q70">
        <v>16700</v>
      </c>
      <c r="R70" s="3">
        <v>42878</v>
      </c>
      <c r="S70" t="s">
        <v>54</v>
      </c>
      <c r="T70" t="s">
        <v>2737</v>
      </c>
      <c r="U70" t="s">
        <v>60</v>
      </c>
      <c r="V70">
        <v>2950</v>
      </c>
      <c r="AG70" t="s">
        <v>4606</v>
      </c>
      <c r="AH70" s="3">
        <v>42808</v>
      </c>
      <c r="AI70">
        <v>24000</v>
      </c>
      <c r="AJ70">
        <v>0</v>
      </c>
      <c r="AS70" t="s">
        <v>4537</v>
      </c>
      <c r="AT70" s="3">
        <v>42942</v>
      </c>
      <c r="AU70">
        <v>104860</v>
      </c>
      <c r="AV70">
        <v>0</v>
      </c>
      <c r="AW70">
        <v>2140</v>
      </c>
      <c r="AX70">
        <v>0</v>
      </c>
    </row>
    <row r="71" spans="1:50" x14ac:dyDescent="0.25">
      <c r="A71" t="s">
        <v>4607</v>
      </c>
      <c r="B71" s="3">
        <v>42767</v>
      </c>
      <c r="C71" t="s">
        <v>4459</v>
      </c>
      <c r="D71" t="s">
        <v>4437</v>
      </c>
      <c r="E71" t="s">
        <v>4425</v>
      </c>
      <c r="F71">
        <v>24000</v>
      </c>
      <c r="G71" t="s">
        <v>4608</v>
      </c>
      <c r="H71" s="3">
        <v>42767</v>
      </c>
      <c r="I71" t="s">
        <v>214</v>
      </c>
      <c r="J71">
        <v>20000</v>
      </c>
      <c r="K71" s="1"/>
      <c r="M71" s="3">
        <v>42767</v>
      </c>
      <c r="N71" t="s">
        <v>54</v>
      </c>
      <c r="P71" t="s">
        <v>56</v>
      </c>
      <c r="Q71">
        <v>12700</v>
      </c>
      <c r="R71" s="3">
        <v>42767</v>
      </c>
      <c r="S71" t="s">
        <v>57</v>
      </c>
      <c r="U71" t="s">
        <v>56</v>
      </c>
      <c r="V71">
        <v>4000</v>
      </c>
      <c r="W71" s="3">
        <v>42926</v>
      </c>
      <c r="X71" t="s">
        <v>54</v>
      </c>
      <c r="Z71" t="s">
        <v>60</v>
      </c>
      <c r="AA71">
        <v>2950</v>
      </c>
      <c r="AG71" t="s">
        <v>4606</v>
      </c>
      <c r="AH71" s="3">
        <v>42808</v>
      </c>
      <c r="AI71">
        <v>24000</v>
      </c>
      <c r="AJ71">
        <v>0</v>
      </c>
      <c r="AS71" t="s">
        <v>4537</v>
      </c>
      <c r="AT71" s="3">
        <v>42942</v>
      </c>
      <c r="AU71">
        <v>104860</v>
      </c>
      <c r="AV71">
        <v>0</v>
      </c>
      <c r="AW71">
        <v>2140</v>
      </c>
      <c r="AX71">
        <v>0</v>
      </c>
    </row>
    <row r="72" spans="1:50" x14ac:dyDescent="0.25">
      <c r="A72" t="s">
        <v>4609</v>
      </c>
      <c r="B72" s="3">
        <v>42768</v>
      </c>
      <c r="C72" t="s">
        <v>4423</v>
      </c>
      <c r="D72" t="s">
        <v>4610</v>
      </c>
      <c r="E72" t="s">
        <v>4425</v>
      </c>
      <c r="F72">
        <v>24000</v>
      </c>
      <c r="G72" t="s">
        <v>4611</v>
      </c>
      <c r="H72" s="3">
        <v>42768</v>
      </c>
      <c r="I72" t="s">
        <v>214</v>
      </c>
      <c r="J72">
        <v>20000</v>
      </c>
      <c r="K72" s="1"/>
      <c r="M72" s="3">
        <v>42770</v>
      </c>
      <c r="N72" t="s">
        <v>54</v>
      </c>
      <c r="P72" t="s">
        <v>56</v>
      </c>
      <c r="Q72">
        <v>16700</v>
      </c>
      <c r="R72" s="3">
        <v>42926</v>
      </c>
      <c r="S72" t="s">
        <v>54</v>
      </c>
      <c r="U72" t="s">
        <v>60</v>
      </c>
      <c r="V72">
        <v>2950</v>
      </c>
      <c r="AG72" t="s">
        <v>4612</v>
      </c>
      <c r="AH72" s="3">
        <v>42808</v>
      </c>
      <c r="AI72">
        <v>24000</v>
      </c>
      <c r="AJ72">
        <v>0</v>
      </c>
      <c r="AS72" t="s">
        <v>4550</v>
      </c>
      <c r="AT72" s="3">
        <v>42916</v>
      </c>
      <c r="AU72">
        <v>141120</v>
      </c>
      <c r="AV72">
        <v>0</v>
      </c>
      <c r="AW72">
        <v>2880</v>
      </c>
      <c r="AX72">
        <v>0</v>
      </c>
    </row>
    <row r="73" spans="1:50" x14ac:dyDescent="0.25">
      <c r="A73" t="s">
        <v>4613</v>
      </c>
      <c r="B73" s="3">
        <v>42768</v>
      </c>
      <c r="C73" t="s">
        <v>4459</v>
      </c>
      <c r="D73" t="s">
        <v>4437</v>
      </c>
      <c r="E73" t="s">
        <v>4425</v>
      </c>
      <c r="F73">
        <v>32500</v>
      </c>
      <c r="G73" t="s">
        <v>4614</v>
      </c>
      <c r="H73" s="3">
        <v>42768</v>
      </c>
      <c r="I73" t="s">
        <v>214</v>
      </c>
      <c r="J73">
        <v>28000</v>
      </c>
      <c r="K73" s="1"/>
      <c r="M73" s="3">
        <v>42770</v>
      </c>
      <c r="N73" t="s">
        <v>54</v>
      </c>
      <c r="P73" t="s">
        <v>56</v>
      </c>
      <c r="Q73">
        <v>22700</v>
      </c>
      <c r="R73" s="3">
        <v>42926</v>
      </c>
      <c r="S73" t="s">
        <v>54</v>
      </c>
      <c r="U73" t="s">
        <v>60</v>
      </c>
      <c r="V73">
        <v>4900</v>
      </c>
      <c r="AG73" t="s">
        <v>4574</v>
      </c>
      <c r="AH73" s="3">
        <v>42808</v>
      </c>
      <c r="AI73">
        <v>32500</v>
      </c>
      <c r="AJ73">
        <v>0</v>
      </c>
      <c r="AS73" t="s">
        <v>4550</v>
      </c>
      <c r="AT73" s="3">
        <v>42916</v>
      </c>
      <c r="AU73">
        <v>127400</v>
      </c>
      <c r="AV73">
        <v>0</v>
      </c>
      <c r="AW73">
        <v>2600</v>
      </c>
      <c r="AX73">
        <v>0</v>
      </c>
    </row>
    <row r="74" spans="1:50" x14ac:dyDescent="0.25">
      <c r="A74" t="s">
        <v>4615</v>
      </c>
      <c r="B74" s="3">
        <v>42772</v>
      </c>
      <c r="C74" t="s">
        <v>4459</v>
      </c>
      <c r="D74" t="s">
        <v>4437</v>
      </c>
      <c r="E74" t="s">
        <v>4425</v>
      </c>
      <c r="F74">
        <v>32500</v>
      </c>
      <c r="G74" t="s">
        <v>4616</v>
      </c>
      <c r="H74" s="3">
        <v>42772</v>
      </c>
      <c r="I74" t="s">
        <v>214</v>
      </c>
      <c r="J74">
        <v>28000</v>
      </c>
      <c r="K74" s="1"/>
      <c r="M74" s="3">
        <v>42773</v>
      </c>
      <c r="N74" t="s">
        <v>54</v>
      </c>
      <c r="P74" t="s">
        <v>56</v>
      </c>
      <c r="Q74">
        <v>22700</v>
      </c>
      <c r="R74" s="3">
        <v>42919</v>
      </c>
      <c r="S74" t="s">
        <v>54</v>
      </c>
      <c r="U74" t="s">
        <v>60</v>
      </c>
      <c r="V74">
        <v>4900</v>
      </c>
      <c r="AG74" t="s">
        <v>4617</v>
      </c>
      <c r="AH74" s="3">
        <v>42847</v>
      </c>
      <c r="AI74">
        <v>32500</v>
      </c>
      <c r="AJ74">
        <v>65000</v>
      </c>
    </row>
    <row r="75" spans="1:50" x14ac:dyDescent="0.25">
      <c r="A75" t="s">
        <v>4618</v>
      </c>
      <c r="B75" s="3">
        <v>42772</v>
      </c>
      <c r="C75" t="s">
        <v>4423</v>
      </c>
      <c r="D75" t="s">
        <v>4430</v>
      </c>
      <c r="E75" t="s">
        <v>4425</v>
      </c>
      <c r="F75">
        <v>24000</v>
      </c>
      <c r="G75" t="s">
        <v>4619</v>
      </c>
      <c r="H75" s="3">
        <v>42772</v>
      </c>
      <c r="I75" t="s">
        <v>214</v>
      </c>
      <c r="J75">
        <v>20000</v>
      </c>
      <c r="K75" s="1"/>
      <c r="M75" s="3">
        <v>42773</v>
      </c>
      <c r="N75" t="s">
        <v>54</v>
      </c>
      <c r="P75" t="s">
        <v>56</v>
      </c>
      <c r="Q75">
        <v>16700</v>
      </c>
      <c r="R75" s="3">
        <v>42926</v>
      </c>
      <c r="S75" t="s">
        <v>54</v>
      </c>
      <c r="U75" t="s">
        <v>60</v>
      </c>
      <c r="V75">
        <v>2950</v>
      </c>
      <c r="AG75" t="s">
        <v>4612</v>
      </c>
      <c r="AH75" s="3">
        <v>42808</v>
      </c>
      <c r="AI75">
        <v>24000</v>
      </c>
      <c r="AJ75">
        <v>0</v>
      </c>
      <c r="AS75" t="s">
        <v>4550</v>
      </c>
      <c r="AT75" s="3">
        <v>42916</v>
      </c>
      <c r="AU75">
        <v>141120</v>
      </c>
      <c r="AV75">
        <v>0</v>
      </c>
      <c r="AW75">
        <v>2880</v>
      </c>
      <c r="AX75">
        <v>0</v>
      </c>
    </row>
    <row r="76" spans="1:50" x14ac:dyDescent="0.25">
      <c r="A76" t="s">
        <v>4620</v>
      </c>
      <c r="B76" s="3">
        <v>42773</v>
      </c>
      <c r="C76" t="s">
        <v>4423</v>
      </c>
      <c r="D76" t="s">
        <v>4441</v>
      </c>
      <c r="E76" t="s">
        <v>4425</v>
      </c>
      <c r="F76">
        <v>24000</v>
      </c>
      <c r="G76" t="s">
        <v>4621</v>
      </c>
      <c r="H76" s="3">
        <v>42773</v>
      </c>
      <c r="I76" t="s">
        <v>214</v>
      </c>
      <c r="J76">
        <v>23000</v>
      </c>
      <c r="K76" s="1"/>
      <c r="M76" s="3">
        <v>42773</v>
      </c>
      <c r="N76" t="s">
        <v>54</v>
      </c>
      <c r="P76" t="s">
        <v>56</v>
      </c>
      <c r="Q76">
        <v>15700</v>
      </c>
      <c r="R76" s="3">
        <v>42774</v>
      </c>
      <c r="S76" t="s">
        <v>57</v>
      </c>
      <c r="U76" t="s">
        <v>56</v>
      </c>
      <c r="V76">
        <v>3000</v>
      </c>
      <c r="W76" s="3">
        <v>42926</v>
      </c>
      <c r="X76" t="s">
        <v>54</v>
      </c>
      <c r="Z76" t="s">
        <v>60</v>
      </c>
      <c r="AA76">
        <v>3900</v>
      </c>
      <c r="AG76" t="s">
        <v>4622</v>
      </c>
      <c r="AH76" s="3">
        <v>42808</v>
      </c>
      <c r="AI76">
        <v>24000</v>
      </c>
      <c r="AJ76">
        <v>0</v>
      </c>
      <c r="AS76" t="s">
        <v>4550</v>
      </c>
      <c r="AT76" s="3">
        <v>42916</v>
      </c>
      <c r="AU76">
        <v>98490</v>
      </c>
      <c r="AV76">
        <v>0</v>
      </c>
      <c r="AW76">
        <v>2010</v>
      </c>
      <c r="AX76">
        <v>0</v>
      </c>
    </row>
    <row r="77" spans="1:50" x14ac:dyDescent="0.25">
      <c r="A77" t="s">
        <v>4623</v>
      </c>
      <c r="B77" s="3">
        <v>42774</v>
      </c>
      <c r="C77" t="s">
        <v>4423</v>
      </c>
      <c r="D77" t="s">
        <v>4441</v>
      </c>
      <c r="E77" t="s">
        <v>4425</v>
      </c>
      <c r="F77">
        <v>25500</v>
      </c>
      <c r="G77" t="s">
        <v>4624</v>
      </c>
      <c r="H77" s="3">
        <v>42774</v>
      </c>
      <c r="I77" t="s">
        <v>214</v>
      </c>
      <c r="J77">
        <v>22000</v>
      </c>
      <c r="K77" s="1"/>
      <c r="M77" s="3">
        <v>42774</v>
      </c>
      <c r="N77" t="s">
        <v>54</v>
      </c>
      <c r="P77" t="s">
        <v>56</v>
      </c>
      <c r="Q77">
        <v>17700</v>
      </c>
      <c r="R77" s="3">
        <v>42933</v>
      </c>
      <c r="S77" t="s">
        <v>54</v>
      </c>
      <c r="U77" t="s">
        <v>60</v>
      </c>
      <c r="V77">
        <v>3900</v>
      </c>
      <c r="AG77" t="s">
        <v>4601</v>
      </c>
      <c r="AH77" s="3">
        <v>42835</v>
      </c>
      <c r="AI77">
        <v>25500</v>
      </c>
      <c r="AJ77">
        <v>0</v>
      </c>
      <c r="AS77" t="s">
        <v>4537</v>
      </c>
      <c r="AT77" s="3">
        <v>42942</v>
      </c>
      <c r="AU77">
        <v>49980</v>
      </c>
      <c r="AV77">
        <v>0</v>
      </c>
      <c r="AW77">
        <v>1020</v>
      </c>
      <c r="AX77">
        <v>0</v>
      </c>
    </row>
    <row r="78" spans="1:50" x14ac:dyDescent="0.25">
      <c r="A78" t="s">
        <v>4625</v>
      </c>
      <c r="B78" s="3">
        <v>42774</v>
      </c>
      <c r="C78" t="s">
        <v>4626</v>
      </c>
      <c r="D78" t="s">
        <v>4424</v>
      </c>
      <c r="E78" t="s">
        <v>4425</v>
      </c>
      <c r="F78">
        <v>24000</v>
      </c>
      <c r="G78" t="s">
        <v>4627</v>
      </c>
      <c r="H78" s="3">
        <v>42774</v>
      </c>
      <c r="I78" t="s">
        <v>214</v>
      </c>
      <c r="J78">
        <v>20000</v>
      </c>
      <c r="K78" s="1"/>
      <c r="M78" s="3">
        <v>42775</v>
      </c>
      <c r="N78" t="s">
        <v>57</v>
      </c>
      <c r="P78" t="s">
        <v>56</v>
      </c>
      <c r="Q78">
        <v>4000</v>
      </c>
      <c r="R78" s="3">
        <v>42775</v>
      </c>
      <c r="S78" t="s">
        <v>54</v>
      </c>
      <c r="U78" t="s">
        <v>56</v>
      </c>
      <c r="V78">
        <v>12700</v>
      </c>
      <c r="W78" s="3">
        <v>42926</v>
      </c>
      <c r="X78" t="s">
        <v>54</v>
      </c>
      <c r="Z78" t="s">
        <v>60</v>
      </c>
      <c r="AA78">
        <v>2950</v>
      </c>
      <c r="AG78" t="s">
        <v>4628</v>
      </c>
      <c r="AH78" s="3">
        <v>42808</v>
      </c>
      <c r="AI78">
        <v>24000</v>
      </c>
      <c r="AJ78">
        <v>13000</v>
      </c>
      <c r="AK78" t="s">
        <v>4629</v>
      </c>
      <c r="AL78" s="3">
        <v>42925</v>
      </c>
      <c r="AM78">
        <v>0</v>
      </c>
      <c r="AN78">
        <v>13000</v>
      </c>
      <c r="AS78" t="s">
        <v>4550</v>
      </c>
      <c r="AT78" s="3">
        <v>42916</v>
      </c>
      <c r="AU78">
        <v>34300</v>
      </c>
      <c r="AV78">
        <v>0</v>
      </c>
      <c r="AW78">
        <v>700</v>
      </c>
      <c r="AX78">
        <v>13000</v>
      </c>
    </row>
    <row r="79" spans="1:50" x14ac:dyDescent="0.25">
      <c r="A79" t="s">
        <v>4630</v>
      </c>
      <c r="B79" s="3">
        <v>42774</v>
      </c>
      <c r="C79" t="s">
        <v>4626</v>
      </c>
      <c r="D79" t="s">
        <v>4437</v>
      </c>
      <c r="E79" t="s">
        <v>4425</v>
      </c>
      <c r="F79">
        <v>24000</v>
      </c>
      <c r="G79" t="s">
        <v>4631</v>
      </c>
      <c r="H79" s="3">
        <v>42774</v>
      </c>
      <c r="I79" t="s">
        <v>214</v>
      </c>
      <c r="J79">
        <v>20000</v>
      </c>
      <c r="K79" s="1"/>
      <c r="M79" s="3">
        <v>42775</v>
      </c>
      <c r="N79" t="s">
        <v>54</v>
      </c>
      <c r="P79" t="s">
        <v>56</v>
      </c>
      <c r="Q79">
        <v>16700</v>
      </c>
      <c r="R79" s="3">
        <v>42878</v>
      </c>
      <c r="S79" t="s">
        <v>54</v>
      </c>
      <c r="T79" t="s">
        <v>2737</v>
      </c>
      <c r="U79" t="s">
        <v>60</v>
      </c>
      <c r="V79">
        <v>2950</v>
      </c>
      <c r="AG79" t="s">
        <v>4628</v>
      </c>
      <c r="AH79" s="3">
        <v>42808</v>
      </c>
      <c r="AI79">
        <v>24000</v>
      </c>
      <c r="AJ79">
        <v>13000</v>
      </c>
      <c r="AK79" t="s">
        <v>4629</v>
      </c>
      <c r="AL79" s="3">
        <v>42925</v>
      </c>
      <c r="AM79">
        <v>13000</v>
      </c>
      <c r="AN79">
        <v>13000</v>
      </c>
      <c r="AS79" t="s">
        <v>4550</v>
      </c>
      <c r="AT79" s="3">
        <v>42916</v>
      </c>
      <c r="AU79">
        <v>34300</v>
      </c>
      <c r="AV79">
        <v>0</v>
      </c>
      <c r="AW79">
        <v>700</v>
      </c>
      <c r="AX79">
        <v>13000</v>
      </c>
    </row>
    <row r="80" spans="1:50" x14ac:dyDescent="0.25">
      <c r="A80" t="s">
        <v>4632</v>
      </c>
      <c r="B80" s="3">
        <v>42774</v>
      </c>
      <c r="C80" t="s">
        <v>4423</v>
      </c>
      <c r="D80" t="s">
        <v>4424</v>
      </c>
      <c r="E80" t="s">
        <v>4425</v>
      </c>
      <c r="F80">
        <v>32500</v>
      </c>
      <c r="G80" t="s">
        <v>4633</v>
      </c>
      <c r="H80" s="3">
        <v>42774</v>
      </c>
      <c r="I80" t="s">
        <v>214</v>
      </c>
      <c r="J80">
        <v>28000</v>
      </c>
      <c r="K80" s="1"/>
      <c r="M80" s="3">
        <v>42775</v>
      </c>
      <c r="N80" t="s">
        <v>54</v>
      </c>
      <c r="P80" t="s">
        <v>56</v>
      </c>
      <c r="Q80">
        <v>22700</v>
      </c>
      <c r="R80" s="3">
        <v>42926</v>
      </c>
      <c r="S80" t="s">
        <v>54</v>
      </c>
      <c r="U80" t="s">
        <v>60</v>
      </c>
      <c r="V80">
        <v>4900</v>
      </c>
      <c r="AG80" t="s">
        <v>4634</v>
      </c>
      <c r="AH80" s="3">
        <v>42808</v>
      </c>
      <c r="AI80">
        <v>32500</v>
      </c>
      <c r="AJ80">
        <v>0</v>
      </c>
      <c r="AS80" t="s">
        <v>4550</v>
      </c>
      <c r="AT80" s="3">
        <v>42916</v>
      </c>
      <c r="AU80">
        <v>31850</v>
      </c>
      <c r="AV80">
        <v>0</v>
      </c>
      <c r="AW80">
        <v>650</v>
      </c>
      <c r="AX80">
        <v>0</v>
      </c>
    </row>
    <row r="81" spans="1:50" x14ac:dyDescent="0.25">
      <c r="A81" t="s">
        <v>4635</v>
      </c>
      <c r="B81" s="3">
        <v>42774</v>
      </c>
      <c r="C81" t="s">
        <v>4459</v>
      </c>
      <c r="D81" t="s">
        <v>4437</v>
      </c>
      <c r="E81" t="s">
        <v>4425</v>
      </c>
      <c r="F81">
        <v>32500</v>
      </c>
      <c r="G81" t="s">
        <v>4636</v>
      </c>
      <c r="H81" s="3">
        <v>42774</v>
      </c>
      <c r="I81" t="s">
        <v>214</v>
      </c>
      <c r="J81">
        <v>28000</v>
      </c>
      <c r="K81" s="1"/>
      <c r="M81" s="3">
        <v>42775</v>
      </c>
      <c r="N81" t="s">
        <v>54</v>
      </c>
      <c r="P81" t="s">
        <v>56</v>
      </c>
      <c r="Q81">
        <v>22700</v>
      </c>
      <c r="R81" s="3">
        <v>42919</v>
      </c>
      <c r="S81" t="s">
        <v>54</v>
      </c>
      <c r="U81" t="s">
        <v>60</v>
      </c>
      <c r="V81">
        <v>4900</v>
      </c>
      <c r="AG81" t="s">
        <v>4617</v>
      </c>
      <c r="AH81" s="3">
        <v>42847</v>
      </c>
      <c r="AI81">
        <v>32500</v>
      </c>
      <c r="AJ81">
        <v>65000</v>
      </c>
    </row>
    <row r="82" spans="1:50" x14ac:dyDescent="0.25">
      <c r="A82" t="s">
        <v>4637</v>
      </c>
      <c r="B82" s="3">
        <v>42776</v>
      </c>
      <c r="C82" t="s">
        <v>4459</v>
      </c>
      <c r="D82" t="s">
        <v>4430</v>
      </c>
      <c r="E82" t="s">
        <v>4425</v>
      </c>
      <c r="F82">
        <v>11000</v>
      </c>
      <c r="G82" t="s">
        <v>4638</v>
      </c>
      <c r="H82" s="3">
        <v>42776</v>
      </c>
      <c r="I82" t="s">
        <v>214</v>
      </c>
      <c r="J82">
        <v>10000</v>
      </c>
      <c r="K82" s="1"/>
      <c r="M82" s="3">
        <v>42780</v>
      </c>
      <c r="N82" t="s">
        <v>54</v>
      </c>
      <c r="P82" t="s">
        <v>60</v>
      </c>
      <c r="Q82">
        <v>9800</v>
      </c>
      <c r="AG82" t="s">
        <v>4606</v>
      </c>
      <c r="AH82" s="3">
        <v>42808</v>
      </c>
      <c r="AI82">
        <v>11000</v>
      </c>
      <c r="AJ82">
        <v>0</v>
      </c>
      <c r="AS82" t="s">
        <v>4537</v>
      </c>
      <c r="AT82" s="3">
        <v>42942</v>
      </c>
      <c r="AU82">
        <v>104860</v>
      </c>
      <c r="AV82">
        <v>0</v>
      </c>
      <c r="AW82">
        <v>2140</v>
      </c>
      <c r="AX82">
        <v>0</v>
      </c>
    </row>
    <row r="83" spans="1:50" x14ac:dyDescent="0.25">
      <c r="A83" t="s">
        <v>4639</v>
      </c>
      <c r="B83" s="3">
        <v>42776</v>
      </c>
      <c r="C83" t="s">
        <v>4459</v>
      </c>
      <c r="D83" t="s">
        <v>4437</v>
      </c>
      <c r="E83" t="s">
        <v>4425</v>
      </c>
      <c r="F83">
        <v>32500</v>
      </c>
      <c r="G83" t="s">
        <v>4640</v>
      </c>
      <c r="H83" s="3">
        <v>42776</v>
      </c>
      <c r="I83" t="s">
        <v>214</v>
      </c>
      <c r="J83">
        <v>28000</v>
      </c>
      <c r="K83" s="1"/>
      <c r="M83" s="3">
        <v>42779</v>
      </c>
      <c r="N83" t="s">
        <v>54</v>
      </c>
      <c r="P83" t="s">
        <v>56</v>
      </c>
      <c r="Q83">
        <v>22700</v>
      </c>
      <c r="R83" s="3">
        <v>42919</v>
      </c>
      <c r="S83" t="s">
        <v>54</v>
      </c>
      <c r="U83" t="s">
        <v>60</v>
      </c>
      <c r="V83">
        <v>4900</v>
      </c>
      <c r="AG83" t="s">
        <v>4641</v>
      </c>
      <c r="AH83" s="3">
        <v>42840</v>
      </c>
      <c r="AI83">
        <v>32500</v>
      </c>
      <c r="AJ83">
        <v>0</v>
      </c>
      <c r="AS83" t="s">
        <v>4537</v>
      </c>
      <c r="AT83" s="3">
        <v>42942</v>
      </c>
      <c r="AU83">
        <v>63700</v>
      </c>
      <c r="AV83">
        <v>0</v>
      </c>
      <c r="AW83">
        <v>1300</v>
      </c>
      <c r="AX83">
        <v>0</v>
      </c>
    </row>
    <row r="84" spans="1:50" x14ac:dyDescent="0.25">
      <c r="A84" t="s">
        <v>4642</v>
      </c>
      <c r="B84" s="3">
        <v>42777</v>
      </c>
      <c r="C84" t="s">
        <v>4423</v>
      </c>
      <c r="D84" t="s">
        <v>4599</v>
      </c>
      <c r="E84" t="s">
        <v>4425</v>
      </c>
      <c r="F84">
        <v>25500</v>
      </c>
      <c r="G84" t="s">
        <v>4643</v>
      </c>
      <c r="H84" s="3">
        <v>42777</v>
      </c>
      <c r="I84" t="s">
        <v>214</v>
      </c>
      <c r="J84">
        <v>22000</v>
      </c>
      <c r="K84" s="1"/>
      <c r="M84" s="3">
        <v>42779</v>
      </c>
      <c r="N84" t="s">
        <v>54</v>
      </c>
      <c r="P84" t="s">
        <v>56</v>
      </c>
      <c r="Q84">
        <v>17700</v>
      </c>
      <c r="R84" s="3">
        <v>42919</v>
      </c>
      <c r="S84" t="s">
        <v>54</v>
      </c>
      <c r="U84" t="s">
        <v>60</v>
      </c>
      <c r="V84">
        <v>3900</v>
      </c>
      <c r="AG84" t="s">
        <v>4644</v>
      </c>
      <c r="AH84" s="3">
        <v>42840</v>
      </c>
      <c r="AI84">
        <v>25500</v>
      </c>
      <c r="AJ84">
        <v>0</v>
      </c>
      <c r="AS84" t="s">
        <v>4537</v>
      </c>
      <c r="AT84" s="3">
        <v>42942</v>
      </c>
      <c r="AU84">
        <v>124950</v>
      </c>
      <c r="AV84">
        <v>0</v>
      </c>
      <c r="AW84">
        <v>2550</v>
      </c>
      <c r="AX84">
        <v>0</v>
      </c>
    </row>
    <row r="85" spans="1:50" x14ac:dyDescent="0.25">
      <c r="A85" t="s">
        <v>4645</v>
      </c>
      <c r="B85" s="3">
        <v>42777</v>
      </c>
      <c r="C85" t="s">
        <v>4423</v>
      </c>
      <c r="D85" t="s">
        <v>4424</v>
      </c>
      <c r="E85" t="s">
        <v>4425</v>
      </c>
      <c r="F85">
        <v>24000</v>
      </c>
      <c r="G85" t="s">
        <v>4646</v>
      </c>
      <c r="H85" s="3">
        <v>42777</v>
      </c>
      <c r="I85" t="s">
        <v>214</v>
      </c>
      <c r="J85">
        <v>20000</v>
      </c>
      <c r="K85" s="1"/>
      <c r="M85" s="3">
        <v>42779</v>
      </c>
      <c r="N85" t="s">
        <v>54</v>
      </c>
      <c r="P85" t="s">
        <v>56</v>
      </c>
      <c r="Q85">
        <v>14700</v>
      </c>
      <c r="R85" s="3">
        <v>42780</v>
      </c>
      <c r="S85" t="s">
        <v>57</v>
      </c>
      <c r="U85" t="s">
        <v>56</v>
      </c>
      <c r="V85">
        <v>2000</v>
      </c>
      <c r="W85" s="3">
        <v>42926</v>
      </c>
      <c r="X85" t="s">
        <v>54</v>
      </c>
      <c r="Z85" t="s">
        <v>60</v>
      </c>
      <c r="AA85">
        <v>2950</v>
      </c>
      <c r="AG85" t="s">
        <v>4612</v>
      </c>
      <c r="AH85" s="3">
        <v>42808</v>
      </c>
      <c r="AI85">
        <v>24000</v>
      </c>
      <c r="AJ85">
        <v>0</v>
      </c>
      <c r="AS85" t="s">
        <v>4550</v>
      </c>
      <c r="AT85" s="3">
        <v>42916</v>
      </c>
      <c r="AU85">
        <v>141120</v>
      </c>
      <c r="AV85">
        <v>0</v>
      </c>
      <c r="AW85">
        <v>2880</v>
      </c>
      <c r="AX85">
        <v>0</v>
      </c>
    </row>
    <row r="86" spans="1:50" x14ac:dyDescent="0.25">
      <c r="A86" t="s">
        <v>4647</v>
      </c>
      <c r="B86" s="3">
        <v>42779</v>
      </c>
      <c r="C86" t="s">
        <v>4459</v>
      </c>
      <c r="D86" t="s">
        <v>4437</v>
      </c>
      <c r="E86" t="s">
        <v>4425</v>
      </c>
      <c r="F86">
        <v>32500</v>
      </c>
      <c r="G86" t="s">
        <v>4648</v>
      </c>
      <c r="H86" s="3">
        <v>42779</v>
      </c>
      <c r="I86" t="s">
        <v>107</v>
      </c>
      <c r="J86">
        <v>28000</v>
      </c>
      <c r="K86" s="1"/>
      <c r="M86" s="3">
        <v>42783</v>
      </c>
      <c r="N86" t="s">
        <v>54</v>
      </c>
      <c r="P86" t="s">
        <v>56</v>
      </c>
      <c r="Q86">
        <v>22700</v>
      </c>
      <c r="R86" s="3">
        <v>42878</v>
      </c>
      <c r="S86" t="s">
        <v>54</v>
      </c>
      <c r="T86" t="s">
        <v>2737</v>
      </c>
      <c r="U86" t="s">
        <v>60</v>
      </c>
      <c r="V86">
        <v>4900</v>
      </c>
      <c r="AG86" t="s">
        <v>4574</v>
      </c>
      <c r="AH86" s="3">
        <v>42808</v>
      </c>
      <c r="AI86">
        <v>32500</v>
      </c>
      <c r="AJ86">
        <v>0</v>
      </c>
      <c r="AS86" t="s">
        <v>4550</v>
      </c>
      <c r="AT86" s="3">
        <v>42916</v>
      </c>
      <c r="AU86">
        <v>127400</v>
      </c>
      <c r="AV86">
        <v>0</v>
      </c>
      <c r="AW86">
        <v>2600</v>
      </c>
      <c r="AX86">
        <v>0</v>
      </c>
    </row>
    <row r="87" spans="1:50" x14ac:dyDescent="0.25">
      <c r="A87" t="s">
        <v>4649</v>
      </c>
      <c r="B87" s="3">
        <v>42780</v>
      </c>
      <c r="C87" t="s">
        <v>4459</v>
      </c>
      <c r="D87" t="s">
        <v>4437</v>
      </c>
      <c r="E87" t="s">
        <v>4425</v>
      </c>
      <c r="F87">
        <v>24000</v>
      </c>
      <c r="G87" t="s">
        <v>4650</v>
      </c>
      <c r="H87" s="3">
        <v>42780</v>
      </c>
      <c r="I87" t="s">
        <v>214</v>
      </c>
      <c r="J87">
        <v>20000</v>
      </c>
      <c r="K87" s="1"/>
      <c r="M87" s="3">
        <v>42783</v>
      </c>
      <c r="N87" t="s">
        <v>54</v>
      </c>
      <c r="P87" t="s">
        <v>56</v>
      </c>
      <c r="Q87">
        <v>16700</v>
      </c>
      <c r="R87" s="3">
        <v>42933</v>
      </c>
      <c r="S87" t="s">
        <v>54</v>
      </c>
      <c r="U87" t="s">
        <v>60</v>
      </c>
      <c r="V87">
        <v>2950</v>
      </c>
      <c r="AG87" t="s">
        <v>4606</v>
      </c>
      <c r="AH87" s="3">
        <v>42808</v>
      </c>
      <c r="AI87">
        <v>24000</v>
      </c>
      <c r="AJ87">
        <v>0</v>
      </c>
      <c r="AS87" t="s">
        <v>4537</v>
      </c>
      <c r="AT87" s="3">
        <v>42942</v>
      </c>
      <c r="AU87">
        <v>104860</v>
      </c>
      <c r="AV87">
        <v>0</v>
      </c>
      <c r="AW87">
        <v>2140</v>
      </c>
      <c r="AX87">
        <v>0</v>
      </c>
    </row>
    <row r="88" spans="1:50" x14ac:dyDescent="0.25">
      <c r="A88" t="s">
        <v>4651</v>
      </c>
      <c r="B88" s="3">
        <v>42782</v>
      </c>
      <c r="C88" t="s">
        <v>4626</v>
      </c>
      <c r="D88" t="s">
        <v>4437</v>
      </c>
      <c r="E88" t="s">
        <v>4425</v>
      </c>
      <c r="F88">
        <v>24000</v>
      </c>
      <c r="G88" t="s">
        <v>4652</v>
      </c>
      <c r="H88" s="3">
        <v>42782</v>
      </c>
      <c r="I88" t="s">
        <v>214</v>
      </c>
      <c r="J88">
        <v>20000</v>
      </c>
      <c r="K88" s="1"/>
      <c r="M88" s="3">
        <v>42783</v>
      </c>
      <c r="N88" t="s">
        <v>54</v>
      </c>
      <c r="P88" t="s">
        <v>56</v>
      </c>
      <c r="Q88">
        <v>16700</v>
      </c>
      <c r="R88" s="3">
        <v>42919</v>
      </c>
      <c r="S88" t="s">
        <v>54</v>
      </c>
      <c r="U88" t="s">
        <v>60</v>
      </c>
      <c r="V88">
        <v>2950</v>
      </c>
      <c r="AG88" t="s">
        <v>4653</v>
      </c>
      <c r="AH88" s="3">
        <v>42840</v>
      </c>
      <c r="AI88">
        <v>24000</v>
      </c>
      <c r="AJ88">
        <v>0</v>
      </c>
      <c r="AS88" t="s">
        <v>4537</v>
      </c>
      <c r="AT88" s="3">
        <v>42942</v>
      </c>
      <c r="AU88">
        <v>70560</v>
      </c>
      <c r="AV88">
        <v>0</v>
      </c>
      <c r="AW88">
        <v>1440</v>
      </c>
      <c r="AX88">
        <v>0</v>
      </c>
    </row>
    <row r="89" spans="1:50" x14ac:dyDescent="0.25">
      <c r="A89" t="s">
        <v>4654</v>
      </c>
      <c r="B89" s="3">
        <v>42782</v>
      </c>
      <c r="C89" t="s">
        <v>4459</v>
      </c>
      <c r="D89" t="s">
        <v>4437</v>
      </c>
      <c r="E89" t="s">
        <v>4425</v>
      </c>
      <c r="F89">
        <v>24000</v>
      </c>
      <c r="G89" t="s">
        <v>4655</v>
      </c>
      <c r="H89" s="3">
        <v>42782</v>
      </c>
      <c r="I89" t="s">
        <v>214</v>
      </c>
      <c r="J89">
        <v>20000</v>
      </c>
      <c r="K89" s="1"/>
      <c r="M89" s="3">
        <v>42783</v>
      </c>
      <c r="N89" t="s">
        <v>57</v>
      </c>
      <c r="P89" t="s">
        <v>56</v>
      </c>
      <c r="Q89">
        <v>6000</v>
      </c>
      <c r="R89" s="3">
        <v>42783</v>
      </c>
      <c r="S89" t="s">
        <v>54</v>
      </c>
      <c r="U89" t="s">
        <v>56</v>
      </c>
      <c r="V89">
        <v>10700</v>
      </c>
      <c r="W89" s="3">
        <v>42919</v>
      </c>
      <c r="X89" t="s">
        <v>54</v>
      </c>
      <c r="Z89" t="s">
        <v>60</v>
      </c>
      <c r="AA89">
        <v>2950</v>
      </c>
      <c r="AG89" t="s">
        <v>4606</v>
      </c>
      <c r="AH89" s="3">
        <v>42808</v>
      </c>
      <c r="AI89">
        <v>24000</v>
      </c>
      <c r="AJ89">
        <v>0</v>
      </c>
      <c r="AS89" t="s">
        <v>4537</v>
      </c>
      <c r="AT89" s="3">
        <v>42942</v>
      </c>
      <c r="AU89">
        <v>104860</v>
      </c>
      <c r="AV89">
        <v>0</v>
      </c>
      <c r="AW89">
        <v>2140</v>
      </c>
      <c r="AX89">
        <v>0</v>
      </c>
    </row>
    <row r="90" spans="1:50" x14ac:dyDescent="0.25">
      <c r="A90" t="s">
        <v>4656</v>
      </c>
      <c r="B90" s="3">
        <v>42784</v>
      </c>
      <c r="C90" t="s">
        <v>4423</v>
      </c>
      <c r="D90" t="s">
        <v>4599</v>
      </c>
      <c r="E90" t="s">
        <v>4425</v>
      </c>
      <c r="F90">
        <v>25500</v>
      </c>
      <c r="G90" t="s">
        <v>4657</v>
      </c>
      <c r="H90" s="3">
        <v>42784</v>
      </c>
      <c r="I90" t="s">
        <v>214</v>
      </c>
      <c r="J90">
        <v>22000</v>
      </c>
      <c r="K90" s="1"/>
      <c r="M90" s="3">
        <v>42788</v>
      </c>
      <c r="N90" t="s">
        <v>54</v>
      </c>
      <c r="P90" t="s">
        <v>56</v>
      </c>
      <c r="Q90">
        <v>17700</v>
      </c>
      <c r="R90" s="3">
        <v>42926</v>
      </c>
      <c r="S90" t="s">
        <v>54</v>
      </c>
      <c r="U90" t="s">
        <v>60</v>
      </c>
      <c r="V90">
        <v>3900</v>
      </c>
      <c r="AG90" t="s">
        <v>4622</v>
      </c>
      <c r="AH90" s="3">
        <v>42808</v>
      </c>
      <c r="AI90">
        <v>25500</v>
      </c>
      <c r="AJ90">
        <v>0</v>
      </c>
      <c r="AS90" t="s">
        <v>4550</v>
      </c>
      <c r="AT90" s="3">
        <v>42916</v>
      </c>
      <c r="AU90">
        <v>98490</v>
      </c>
      <c r="AV90">
        <v>0</v>
      </c>
      <c r="AW90">
        <v>2010</v>
      </c>
      <c r="AX90">
        <v>0</v>
      </c>
    </row>
    <row r="91" spans="1:50" x14ac:dyDescent="0.25">
      <c r="A91" t="s">
        <v>4658</v>
      </c>
      <c r="B91" s="3">
        <v>42786</v>
      </c>
      <c r="C91" t="s">
        <v>4423</v>
      </c>
      <c r="D91" t="s">
        <v>4424</v>
      </c>
      <c r="E91" t="s">
        <v>4425</v>
      </c>
      <c r="F91">
        <v>24000</v>
      </c>
      <c r="G91" t="s">
        <v>4659</v>
      </c>
      <c r="H91" s="3">
        <v>42786</v>
      </c>
      <c r="I91" t="s">
        <v>214</v>
      </c>
      <c r="J91">
        <v>20000</v>
      </c>
      <c r="K91" s="1"/>
      <c r="M91" s="3">
        <v>42788</v>
      </c>
      <c r="N91" t="s">
        <v>54</v>
      </c>
      <c r="P91" t="s">
        <v>56</v>
      </c>
      <c r="Q91">
        <v>16700</v>
      </c>
      <c r="R91" s="3">
        <v>42926</v>
      </c>
      <c r="S91" t="s">
        <v>54</v>
      </c>
      <c r="U91" t="s">
        <v>60</v>
      </c>
      <c r="V91">
        <v>2900</v>
      </c>
      <c r="AG91" t="s">
        <v>4612</v>
      </c>
      <c r="AH91" s="3">
        <v>42808</v>
      </c>
      <c r="AI91">
        <v>24000</v>
      </c>
      <c r="AJ91">
        <v>0</v>
      </c>
      <c r="AS91" t="s">
        <v>4550</v>
      </c>
      <c r="AT91" s="3">
        <v>42916</v>
      </c>
      <c r="AU91">
        <v>141120</v>
      </c>
      <c r="AV91">
        <v>0</v>
      </c>
      <c r="AW91">
        <v>2880</v>
      </c>
      <c r="AX91">
        <v>0</v>
      </c>
    </row>
    <row r="92" spans="1:50" x14ac:dyDescent="0.25">
      <c r="A92" t="s">
        <v>4660</v>
      </c>
      <c r="B92" s="3">
        <v>42787</v>
      </c>
      <c r="C92" t="s">
        <v>4423</v>
      </c>
      <c r="D92" t="s">
        <v>4599</v>
      </c>
      <c r="E92" t="s">
        <v>4425</v>
      </c>
      <c r="F92">
        <v>25500</v>
      </c>
      <c r="G92" t="s">
        <v>4661</v>
      </c>
      <c r="H92" s="3">
        <v>42787</v>
      </c>
      <c r="I92" t="s">
        <v>214</v>
      </c>
      <c r="J92">
        <v>22000</v>
      </c>
      <c r="K92" s="1"/>
      <c r="M92" s="3">
        <v>42790</v>
      </c>
      <c r="N92" t="s">
        <v>54</v>
      </c>
      <c r="P92" t="s">
        <v>56</v>
      </c>
      <c r="Q92">
        <v>17700</v>
      </c>
      <c r="R92" s="3">
        <v>42919</v>
      </c>
      <c r="S92" t="s">
        <v>54</v>
      </c>
      <c r="U92" t="s">
        <v>60</v>
      </c>
      <c r="V92">
        <v>3900</v>
      </c>
      <c r="AG92" t="s">
        <v>4644</v>
      </c>
      <c r="AH92" s="3">
        <v>42840</v>
      </c>
      <c r="AI92">
        <v>25500</v>
      </c>
      <c r="AJ92">
        <v>0</v>
      </c>
      <c r="AS92" t="s">
        <v>4537</v>
      </c>
      <c r="AT92" s="3">
        <v>42942</v>
      </c>
      <c r="AU92">
        <v>124950</v>
      </c>
      <c r="AV92">
        <v>0</v>
      </c>
      <c r="AW92">
        <v>2550</v>
      </c>
      <c r="AX92">
        <v>0</v>
      </c>
    </row>
    <row r="93" spans="1:50" x14ac:dyDescent="0.25">
      <c r="A93" t="s">
        <v>4662</v>
      </c>
      <c r="B93" s="3">
        <v>42788</v>
      </c>
      <c r="C93" t="s">
        <v>4423</v>
      </c>
      <c r="D93" t="s">
        <v>4610</v>
      </c>
      <c r="E93" t="s">
        <v>4425</v>
      </c>
      <c r="F93">
        <v>8000</v>
      </c>
      <c r="G93" t="s">
        <v>4663</v>
      </c>
      <c r="H93" s="3">
        <v>42788</v>
      </c>
      <c r="I93" t="s">
        <v>290</v>
      </c>
      <c r="J93">
        <v>7000</v>
      </c>
      <c r="K93" s="1"/>
      <c r="M93" s="3">
        <v>42790</v>
      </c>
      <c r="N93" t="s">
        <v>57</v>
      </c>
      <c r="P93" t="s">
        <v>56</v>
      </c>
      <c r="Q93">
        <v>4800</v>
      </c>
      <c r="R93" s="3">
        <v>42809</v>
      </c>
      <c r="S93" t="s">
        <v>54</v>
      </c>
      <c r="U93" t="s">
        <v>60</v>
      </c>
      <c r="V93">
        <v>1950</v>
      </c>
      <c r="AG93" t="s">
        <v>4664</v>
      </c>
      <c r="AH93" s="3">
        <v>42840</v>
      </c>
      <c r="AI93">
        <v>8000</v>
      </c>
      <c r="AJ93">
        <v>0</v>
      </c>
      <c r="AS93" t="s">
        <v>4537</v>
      </c>
      <c r="AT93" s="3">
        <v>42942</v>
      </c>
      <c r="AU93">
        <v>86730</v>
      </c>
      <c r="AV93">
        <v>0</v>
      </c>
      <c r="AW93">
        <v>1770</v>
      </c>
      <c r="AX93">
        <v>0</v>
      </c>
    </row>
    <row r="94" spans="1:50" x14ac:dyDescent="0.25">
      <c r="A94" t="s">
        <v>4665</v>
      </c>
      <c r="B94" s="3">
        <v>42788</v>
      </c>
      <c r="C94" t="s">
        <v>4423</v>
      </c>
      <c r="D94" t="s">
        <v>4424</v>
      </c>
      <c r="E94" t="s">
        <v>4425</v>
      </c>
      <c r="F94">
        <v>24000</v>
      </c>
      <c r="G94" t="s">
        <v>4666</v>
      </c>
      <c r="H94" s="3">
        <v>42788</v>
      </c>
      <c r="I94" t="s">
        <v>214</v>
      </c>
      <c r="J94">
        <v>20000</v>
      </c>
      <c r="K94" s="1"/>
      <c r="M94" s="3">
        <v>42790</v>
      </c>
      <c r="N94" t="s">
        <v>54</v>
      </c>
      <c r="P94" t="s">
        <v>56</v>
      </c>
      <c r="Q94">
        <v>14700</v>
      </c>
      <c r="R94" s="3">
        <v>42793</v>
      </c>
      <c r="S94" t="s">
        <v>54</v>
      </c>
      <c r="U94" t="s">
        <v>56</v>
      </c>
      <c r="V94">
        <v>2000</v>
      </c>
      <c r="W94" s="3">
        <v>42926</v>
      </c>
      <c r="X94" t="s">
        <v>54</v>
      </c>
      <c r="Z94" t="s">
        <v>60</v>
      </c>
      <c r="AA94">
        <v>2950</v>
      </c>
      <c r="AG94" t="s">
        <v>4612</v>
      </c>
      <c r="AH94" s="3">
        <v>42808</v>
      </c>
      <c r="AI94">
        <v>24000</v>
      </c>
      <c r="AJ94">
        <v>0</v>
      </c>
      <c r="AS94" t="s">
        <v>4550</v>
      </c>
      <c r="AT94" s="3">
        <v>42916</v>
      </c>
      <c r="AU94">
        <v>141120</v>
      </c>
      <c r="AV94">
        <v>0</v>
      </c>
      <c r="AW94">
        <v>2880</v>
      </c>
      <c r="AX94">
        <v>0</v>
      </c>
    </row>
    <row r="95" spans="1:50" x14ac:dyDescent="0.25">
      <c r="A95" t="s">
        <v>4667</v>
      </c>
      <c r="B95" s="3">
        <v>42789</v>
      </c>
      <c r="C95" t="s">
        <v>4423</v>
      </c>
      <c r="D95" t="s">
        <v>4424</v>
      </c>
      <c r="E95" t="s">
        <v>4425</v>
      </c>
      <c r="F95">
        <v>32500</v>
      </c>
      <c r="G95" t="s">
        <v>4668</v>
      </c>
      <c r="H95" s="3">
        <v>42789</v>
      </c>
      <c r="I95" t="s">
        <v>214</v>
      </c>
      <c r="J95">
        <v>28000</v>
      </c>
      <c r="K95" s="1"/>
      <c r="M95" s="3">
        <v>42793</v>
      </c>
      <c r="N95" t="s">
        <v>54</v>
      </c>
      <c r="P95" t="s">
        <v>56</v>
      </c>
      <c r="Q95">
        <v>22700</v>
      </c>
      <c r="R95" s="3">
        <v>42933</v>
      </c>
      <c r="S95" t="s">
        <v>54</v>
      </c>
      <c r="U95" t="s">
        <v>60</v>
      </c>
      <c r="V95">
        <v>4900</v>
      </c>
      <c r="AG95" t="s">
        <v>4664</v>
      </c>
      <c r="AH95" s="3">
        <v>42840</v>
      </c>
      <c r="AI95">
        <v>32500</v>
      </c>
      <c r="AJ95">
        <v>0</v>
      </c>
      <c r="AS95" t="s">
        <v>4537</v>
      </c>
      <c r="AT95" s="3">
        <v>42942</v>
      </c>
      <c r="AU95">
        <v>86730</v>
      </c>
      <c r="AV95">
        <v>0</v>
      </c>
      <c r="AW95">
        <v>1770</v>
      </c>
      <c r="AX95">
        <v>0</v>
      </c>
    </row>
    <row r="96" spans="1:50" x14ac:dyDescent="0.25">
      <c r="A96" t="s">
        <v>4669</v>
      </c>
      <c r="B96" s="3">
        <v>42790</v>
      </c>
      <c r="C96" t="s">
        <v>4459</v>
      </c>
      <c r="D96" t="s">
        <v>4437</v>
      </c>
      <c r="E96" t="s">
        <v>4425</v>
      </c>
      <c r="F96">
        <v>24000</v>
      </c>
      <c r="G96" t="s">
        <v>4670</v>
      </c>
      <c r="H96" s="3">
        <v>42790</v>
      </c>
      <c r="I96" t="s">
        <v>214</v>
      </c>
      <c r="J96">
        <v>20000</v>
      </c>
      <c r="K96" s="1"/>
      <c r="M96" s="3">
        <v>42793</v>
      </c>
      <c r="N96" t="s">
        <v>54</v>
      </c>
      <c r="P96" t="s">
        <v>56</v>
      </c>
      <c r="Q96">
        <v>16700</v>
      </c>
      <c r="R96" s="3">
        <v>42896</v>
      </c>
      <c r="S96" t="s">
        <v>54</v>
      </c>
      <c r="T96" t="s">
        <v>4671</v>
      </c>
      <c r="U96" t="s">
        <v>60</v>
      </c>
      <c r="V96">
        <v>2950</v>
      </c>
      <c r="AG96" t="s">
        <v>4653</v>
      </c>
      <c r="AH96" s="3">
        <v>42840</v>
      </c>
      <c r="AI96">
        <v>24000</v>
      </c>
      <c r="AJ96">
        <v>0</v>
      </c>
      <c r="AS96" t="s">
        <v>4537</v>
      </c>
      <c r="AT96" s="3">
        <v>42942</v>
      </c>
      <c r="AU96">
        <v>70560</v>
      </c>
      <c r="AV96">
        <v>0</v>
      </c>
      <c r="AW96">
        <v>1440</v>
      </c>
      <c r="AX96">
        <v>0</v>
      </c>
    </row>
    <row r="97" spans="1:50" x14ac:dyDescent="0.25">
      <c r="A97" t="s">
        <v>4672</v>
      </c>
      <c r="B97" s="3">
        <v>42791</v>
      </c>
      <c r="C97" t="s">
        <v>4423</v>
      </c>
      <c r="D97" t="s">
        <v>4599</v>
      </c>
      <c r="E97" t="s">
        <v>4425</v>
      </c>
      <c r="F97">
        <v>25500</v>
      </c>
      <c r="G97" t="s">
        <v>4673</v>
      </c>
      <c r="H97" s="3">
        <v>42791</v>
      </c>
      <c r="I97" t="s">
        <v>1375</v>
      </c>
      <c r="J97">
        <v>22000</v>
      </c>
      <c r="K97" s="1"/>
      <c r="M97" s="3">
        <v>42793</v>
      </c>
      <c r="N97" t="s">
        <v>54</v>
      </c>
      <c r="P97" t="s">
        <v>56</v>
      </c>
      <c r="Q97">
        <v>17700</v>
      </c>
      <c r="R97" s="3">
        <v>42926</v>
      </c>
      <c r="S97" t="s">
        <v>54</v>
      </c>
      <c r="U97" t="s">
        <v>60</v>
      </c>
      <c r="V97">
        <v>3900</v>
      </c>
      <c r="AG97" t="s">
        <v>4622</v>
      </c>
      <c r="AH97" s="3">
        <v>42808</v>
      </c>
      <c r="AI97">
        <v>25500</v>
      </c>
      <c r="AJ97">
        <v>0</v>
      </c>
      <c r="AS97" t="s">
        <v>4550</v>
      </c>
      <c r="AT97" s="3">
        <v>42916</v>
      </c>
      <c r="AU97">
        <v>98490</v>
      </c>
      <c r="AV97">
        <v>0</v>
      </c>
      <c r="AW97">
        <v>2010</v>
      </c>
      <c r="AX97">
        <v>0</v>
      </c>
    </row>
    <row r="98" spans="1:50" x14ac:dyDescent="0.25">
      <c r="A98" t="s">
        <v>4674</v>
      </c>
      <c r="B98" s="3">
        <v>42791</v>
      </c>
      <c r="C98" t="s">
        <v>4423</v>
      </c>
      <c r="D98" t="s">
        <v>4599</v>
      </c>
      <c r="E98" t="s">
        <v>4425</v>
      </c>
      <c r="F98">
        <v>25500</v>
      </c>
      <c r="G98" t="s">
        <v>4675</v>
      </c>
      <c r="H98" s="3">
        <v>42791</v>
      </c>
      <c r="I98" t="s">
        <v>214</v>
      </c>
      <c r="J98">
        <v>22000</v>
      </c>
      <c r="K98" s="1"/>
      <c r="M98" s="3">
        <v>42793</v>
      </c>
      <c r="N98" t="s">
        <v>54</v>
      </c>
      <c r="P98" t="s">
        <v>56</v>
      </c>
      <c r="Q98">
        <v>17700</v>
      </c>
      <c r="R98" s="3">
        <v>42919</v>
      </c>
      <c r="S98" t="s">
        <v>54</v>
      </c>
      <c r="U98" t="s">
        <v>60</v>
      </c>
      <c r="V98">
        <v>3900</v>
      </c>
      <c r="AG98" t="s">
        <v>4644</v>
      </c>
      <c r="AH98" s="3">
        <v>42840</v>
      </c>
      <c r="AI98">
        <v>25500</v>
      </c>
      <c r="AJ98">
        <v>0</v>
      </c>
      <c r="AS98" t="s">
        <v>4537</v>
      </c>
      <c r="AT98" s="3">
        <v>42942</v>
      </c>
      <c r="AU98">
        <v>124950</v>
      </c>
      <c r="AV98">
        <v>0</v>
      </c>
      <c r="AW98">
        <v>2550</v>
      </c>
      <c r="AX98">
        <v>0</v>
      </c>
    </row>
    <row r="99" spans="1:50" x14ac:dyDescent="0.25">
      <c r="A99" t="s">
        <v>4676</v>
      </c>
      <c r="B99" s="3">
        <v>42791</v>
      </c>
      <c r="C99" t="s">
        <v>4423</v>
      </c>
      <c r="D99" t="s">
        <v>4424</v>
      </c>
      <c r="E99" t="s">
        <v>4425</v>
      </c>
      <c r="F99">
        <v>24000</v>
      </c>
      <c r="G99" t="s">
        <v>4677</v>
      </c>
      <c r="H99" s="3">
        <v>42791</v>
      </c>
      <c r="I99" t="s">
        <v>214</v>
      </c>
      <c r="J99">
        <v>20000</v>
      </c>
      <c r="K99" s="1"/>
      <c r="M99" s="3">
        <v>42793</v>
      </c>
      <c r="N99" t="s">
        <v>57</v>
      </c>
      <c r="P99" t="s">
        <v>56</v>
      </c>
      <c r="Q99">
        <v>4000</v>
      </c>
      <c r="R99" s="3">
        <v>42793</v>
      </c>
      <c r="S99" t="s">
        <v>54</v>
      </c>
      <c r="U99" t="s">
        <v>56</v>
      </c>
      <c r="V99">
        <v>12700</v>
      </c>
      <c r="W99" s="3">
        <v>42926</v>
      </c>
      <c r="X99" t="s">
        <v>54</v>
      </c>
      <c r="Z99" t="s">
        <v>60</v>
      </c>
      <c r="AA99">
        <v>2950</v>
      </c>
      <c r="AG99" t="s">
        <v>4612</v>
      </c>
      <c r="AH99" s="3">
        <v>42808</v>
      </c>
      <c r="AI99">
        <v>24000</v>
      </c>
      <c r="AJ99">
        <v>0</v>
      </c>
      <c r="AS99" t="s">
        <v>4550</v>
      </c>
      <c r="AT99" s="3">
        <v>42916</v>
      </c>
      <c r="AU99">
        <v>141120</v>
      </c>
      <c r="AV99">
        <v>0</v>
      </c>
      <c r="AW99">
        <v>2880</v>
      </c>
      <c r="AX99">
        <v>0</v>
      </c>
    </row>
    <row r="100" spans="1:50" x14ac:dyDescent="0.25">
      <c r="A100" t="s">
        <v>4678</v>
      </c>
      <c r="B100" s="3">
        <v>42793</v>
      </c>
      <c r="C100" t="s">
        <v>4423</v>
      </c>
      <c r="D100" t="s">
        <v>4424</v>
      </c>
      <c r="E100" t="s">
        <v>4425</v>
      </c>
      <c r="F100">
        <v>24000</v>
      </c>
      <c r="G100" t="s">
        <v>4679</v>
      </c>
      <c r="H100" s="3">
        <v>42793</v>
      </c>
      <c r="I100" t="s">
        <v>214</v>
      </c>
      <c r="J100">
        <v>20000</v>
      </c>
      <c r="K100" s="1"/>
      <c r="M100" s="3">
        <v>42796</v>
      </c>
      <c r="N100" t="s">
        <v>54</v>
      </c>
      <c r="P100" t="s">
        <v>56</v>
      </c>
      <c r="Q100">
        <v>16700</v>
      </c>
      <c r="R100" s="3">
        <v>42896</v>
      </c>
      <c r="S100" t="s">
        <v>54</v>
      </c>
      <c r="T100" t="s">
        <v>4671</v>
      </c>
      <c r="U100" t="s">
        <v>60</v>
      </c>
      <c r="V100">
        <v>2950</v>
      </c>
      <c r="AG100" t="s">
        <v>4664</v>
      </c>
      <c r="AH100" s="3">
        <v>42840</v>
      </c>
      <c r="AI100">
        <v>24000</v>
      </c>
      <c r="AJ100">
        <v>0</v>
      </c>
      <c r="AS100" t="s">
        <v>4537</v>
      </c>
      <c r="AT100" s="3">
        <v>42942</v>
      </c>
      <c r="AU100">
        <v>86730</v>
      </c>
      <c r="AV100">
        <v>0</v>
      </c>
      <c r="AW100">
        <v>1770</v>
      </c>
      <c r="AX100">
        <v>0</v>
      </c>
    </row>
    <row r="101" spans="1:50" x14ac:dyDescent="0.25">
      <c r="A101" t="s">
        <v>4680</v>
      </c>
      <c r="B101" s="3">
        <v>42793</v>
      </c>
      <c r="C101" t="s">
        <v>4423</v>
      </c>
      <c r="D101" t="s">
        <v>4599</v>
      </c>
      <c r="E101" t="s">
        <v>4425</v>
      </c>
      <c r="F101">
        <v>25500</v>
      </c>
      <c r="G101" t="s">
        <v>4681</v>
      </c>
      <c r="H101" s="3">
        <v>42793</v>
      </c>
      <c r="I101" t="s">
        <v>214</v>
      </c>
      <c r="J101">
        <v>22000</v>
      </c>
      <c r="K101" s="1"/>
      <c r="M101" s="3">
        <v>42796</v>
      </c>
      <c r="N101" t="s">
        <v>54</v>
      </c>
      <c r="P101" t="s">
        <v>56</v>
      </c>
      <c r="Q101">
        <v>17700</v>
      </c>
      <c r="R101" s="3">
        <v>42919</v>
      </c>
      <c r="S101" t="s">
        <v>54</v>
      </c>
      <c r="U101" t="s">
        <v>60</v>
      </c>
      <c r="V101">
        <v>3900</v>
      </c>
      <c r="AG101" t="s">
        <v>4644</v>
      </c>
      <c r="AH101" s="3">
        <v>42840</v>
      </c>
      <c r="AI101">
        <v>25500</v>
      </c>
      <c r="AJ101">
        <v>0</v>
      </c>
      <c r="AS101" t="s">
        <v>4537</v>
      </c>
      <c r="AT101" s="3">
        <v>42942</v>
      </c>
      <c r="AU101">
        <v>124950</v>
      </c>
      <c r="AV101">
        <v>0</v>
      </c>
      <c r="AW101">
        <v>2550</v>
      </c>
      <c r="AX101">
        <v>0</v>
      </c>
    </row>
    <row r="102" spans="1:50" x14ac:dyDescent="0.25">
      <c r="A102" t="s">
        <v>4682</v>
      </c>
      <c r="B102" s="3">
        <v>42794</v>
      </c>
      <c r="C102" t="s">
        <v>4459</v>
      </c>
      <c r="D102" t="s">
        <v>4437</v>
      </c>
      <c r="E102" t="s">
        <v>4425</v>
      </c>
      <c r="F102">
        <v>24000</v>
      </c>
      <c r="G102" t="s">
        <v>4683</v>
      </c>
      <c r="H102" s="3">
        <v>42794</v>
      </c>
      <c r="I102" t="s">
        <v>214</v>
      </c>
      <c r="J102">
        <v>20000</v>
      </c>
      <c r="K102" s="1"/>
      <c r="M102" s="3">
        <v>42794</v>
      </c>
      <c r="N102" t="s">
        <v>57</v>
      </c>
      <c r="P102" t="s">
        <v>56</v>
      </c>
      <c r="Q102">
        <v>6000</v>
      </c>
      <c r="R102" s="3">
        <v>42796</v>
      </c>
      <c r="S102" t="s">
        <v>54</v>
      </c>
      <c r="U102" t="s">
        <v>56</v>
      </c>
      <c r="V102">
        <v>10700</v>
      </c>
      <c r="W102" s="3">
        <v>42896</v>
      </c>
      <c r="X102" t="s">
        <v>54</v>
      </c>
      <c r="Y102" t="s">
        <v>4671</v>
      </c>
      <c r="Z102" t="s">
        <v>60</v>
      </c>
      <c r="AA102">
        <v>2950</v>
      </c>
      <c r="AG102" t="s">
        <v>4653</v>
      </c>
      <c r="AH102" s="3">
        <v>42840</v>
      </c>
      <c r="AI102">
        <v>24000</v>
      </c>
      <c r="AJ102">
        <v>0</v>
      </c>
      <c r="AS102" t="s">
        <v>4537</v>
      </c>
      <c r="AT102" s="3">
        <v>42942</v>
      </c>
      <c r="AU102">
        <v>70560</v>
      </c>
      <c r="AV102">
        <v>0</v>
      </c>
      <c r="AW102">
        <v>1440</v>
      </c>
      <c r="AX102">
        <v>0</v>
      </c>
    </row>
    <row r="103" spans="1:50" x14ac:dyDescent="0.25">
      <c r="A103" t="s">
        <v>4684</v>
      </c>
      <c r="B103" s="3">
        <v>42794</v>
      </c>
      <c r="C103" t="s">
        <v>4423</v>
      </c>
      <c r="D103" t="s">
        <v>4424</v>
      </c>
      <c r="E103" t="s">
        <v>4425</v>
      </c>
      <c r="F103">
        <v>24000</v>
      </c>
      <c r="G103" t="s">
        <v>4685</v>
      </c>
      <c r="H103" s="3">
        <v>42794</v>
      </c>
      <c r="I103" t="s">
        <v>214</v>
      </c>
      <c r="J103">
        <v>20000</v>
      </c>
      <c r="K103" s="1"/>
      <c r="M103" s="3">
        <v>42796</v>
      </c>
      <c r="N103" t="s">
        <v>54</v>
      </c>
      <c r="P103" t="s">
        <v>56</v>
      </c>
      <c r="Q103">
        <v>16700</v>
      </c>
      <c r="R103" s="3">
        <v>42896</v>
      </c>
      <c r="S103" t="s">
        <v>54</v>
      </c>
      <c r="T103" t="s">
        <v>4671</v>
      </c>
      <c r="U103" t="s">
        <v>60</v>
      </c>
      <c r="V103">
        <v>2950</v>
      </c>
      <c r="AG103" t="s">
        <v>4664</v>
      </c>
      <c r="AH103" s="3">
        <v>42840</v>
      </c>
      <c r="AI103">
        <v>24000</v>
      </c>
      <c r="AJ103">
        <v>0</v>
      </c>
      <c r="AS103" t="s">
        <v>4537</v>
      </c>
      <c r="AT103" s="3">
        <v>42942</v>
      </c>
      <c r="AU103">
        <v>86730</v>
      </c>
      <c r="AV103">
        <v>0</v>
      </c>
      <c r="AW103">
        <v>1770</v>
      </c>
      <c r="AX103">
        <v>0</v>
      </c>
    </row>
    <row r="104" spans="1:50" x14ac:dyDescent="0.25">
      <c r="A104" t="s">
        <v>4686</v>
      </c>
      <c r="B104" s="3">
        <v>42794</v>
      </c>
      <c r="C104" t="s">
        <v>4423</v>
      </c>
      <c r="D104" t="s">
        <v>4599</v>
      </c>
      <c r="E104" t="s">
        <v>4425</v>
      </c>
      <c r="F104">
        <v>25500</v>
      </c>
      <c r="G104" t="s">
        <v>4687</v>
      </c>
      <c r="H104" s="3">
        <v>42794</v>
      </c>
      <c r="I104" t="s">
        <v>214</v>
      </c>
      <c r="J104">
        <v>22000</v>
      </c>
      <c r="K104" s="1"/>
      <c r="M104" s="3">
        <v>42796</v>
      </c>
      <c r="N104" t="s">
        <v>54</v>
      </c>
      <c r="P104" t="s">
        <v>56</v>
      </c>
      <c r="Q104">
        <v>17700</v>
      </c>
      <c r="R104" s="3">
        <v>42896</v>
      </c>
      <c r="S104" t="s">
        <v>54</v>
      </c>
      <c r="T104" t="s">
        <v>4671</v>
      </c>
      <c r="U104" t="s">
        <v>60</v>
      </c>
      <c r="V104">
        <v>3900</v>
      </c>
      <c r="AG104" t="s">
        <v>4644</v>
      </c>
      <c r="AH104" s="3">
        <v>42840</v>
      </c>
      <c r="AI104">
        <v>25500</v>
      </c>
      <c r="AJ104">
        <v>0</v>
      </c>
      <c r="AS104" t="s">
        <v>4537</v>
      </c>
      <c r="AT104" s="3">
        <v>42942</v>
      </c>
      <c r="AU104">
        <v>124950</v>
      </c>
      <c r="AV104">
        <v>0</v>
      </c>
      <c r="AW104">
        <v>2550</v>
      </c>
      <c r="AX104">
        <v>0</v>
      </c>
    </row>
    <row r="105" spans="1:50" x14ac:dyDescent="0.25">
      <c r="A105" t="s">
        <v>4688</v>
      </c>
      <c r="B105" s="3">
        <v>42793</v>
      </c>
      <c r="C105" t="s">
        <v>4459</v>
      </c>
      <c r="D105" t="s">
        <v>4437</v>
      </c>
      <c r="E105" t="s">
        <v>4425</v>
      </c>
      <c r="F105">
        <v>32500</v>
      </c>
      <c r="G105" t="s">
        <v>4689</v>
      </c>
      <c r="H105" s="3">
        <v>42794</v>
      </c>
      <c r="I105" t="s">
        <v>214</v>
      </c>
      <c r="J105">
        <v>28000</v>
      </c>
      <c r="K105" s="1"/>
      <c r="M105" s="3">
        <v>42796</v>
      </c>
      <c r="N105" t="s">
        <v>54</v>
      </c>
      <c r="P105" t="s">
        <v>56</v>
      </c>
      <c r="Q105">
        <v>22700</v>
      </c>
      <c r="R105" s="3">
        <v>42896</v>
      </c>
      <c r="S105" t="s">
        <v>54</v>
      </c>
      <c r="T105" t="s">
        <v>4671</v>
      </c>
      <c r="U105" t="s">
        <v>60</v>
      </c>
      <c r="V105">
        <v>4900</v>
      </c>
      <c r="AG105" t="s">
        <v>4641</v>
      </c>
      <c r="AH105" s="3">
        <v>42840</v>
      </c>
      <c r="AI105">
        <v>32500</v>
      </c>
      <c r="AJ105">
        <v>0</v>
      </c>
      <c r="AS105" t="s">
        <v>4537</v>
      </c>
      <c r="AT105" s="3">
        <v>42942</v>
      </c>
      <c r="AU105">
        <v>63700</v>
      </c>
      <c r="AV105">
        <v>0</v>
      </c>
      <c r="AW105">
        <v>1300</v>
      </c>
      <c r="AX105">
        <v>0</v>
      </c>
    </row>
    <row r="106" spans="1:50" x14ac:dyDescent="0.25">
      <c r="A106" t="s">
        <v>4690</v>
      </c>
      <c r="B106" s="3">
        <v>42795</v>
      </c>
      <c r="C106" t="s">
        <v>4423</v>
      </c>
      <c r="D106" t="s">
        <v>4424</v>
      </c>
      <c r="E106" t="s">
        <v>4425</v>
      </c>
      <c r="F106">
        <v>24000</v>
      </c>
      <c r="G106" t="s">
        <v>4691</v>
      </c>
      <c r="H106" s="3">
        <v>42795</v>
      </c>
      <c r="I106" t="s">
        <v>214</v>
      </c>
      <c r="J106">
        <v>20000</v>
      </c>
      <c r="K106" s="1"/>
      <c r="M106" s="3">
        <v>42800</v>
      </c>
      <c r="N106" t="s">
        <v>54</v>
      </c>
      <c r="P106" t="s">
        <v>56</v>
      </c>
      <c r="Q106">
        <v>16700</v>
      </c>
      <c r="R106" s="3">
        <v>42896</v>
      </c>
      <c r="S106" t="s">
        <v>54</v>
      </c>
      <c r="T106" t="s">
        <v>4671</v>
      </c>
      <c r="U106" t="s">
        <v>60</v>
      </c>
      <c r="V106">
        <v>2950</v>
      </c>
      <c r="AG106" t="s">
        <v>4692</v>
      </c>
      <c r="AH106" s="3">
        <v>42857</v>
      </c>
      <c r="AI106">
        <v>24000</v>
      </c>
      <c r="AJ106">
        <v>0</v>
      </c>
      <c r="AS106" t="s">
        <v>4693</v>
      </c>
      <c r="AT106" s="3">
        <v>42963</v>
      </c>
      <c r="AU106">
        <v>117600</v>
      </c>
      <c r="AV106">
        <v>0</v>
      </c>
      <c r="AW106">
        <v>2400</v>
      </c>
      <c r="AX106">
        <v>0</v>
      </c>
    </row>
    <row r="107" spans="1:50" x14ac:dyDescent="0.25">
      <c r="A107" t="s">
        <v>4694</v>
      </c>
      <c r="B107" s="3">
        <v>42796</v>
      </c>
      <c r="C107" t="s">
        <v>4423</v>
      </c>
      <c r="D107" t="s">
        <v>4599</v>
      </c>
      <c r="E107" t="s">
        <v>4425</v>
      </c>
      <c r="F107">
        <v>25500</v>
      </c>
      <c r="G107" t="s">
        <v>4695</v>
      </c>
      <c r="H107" s="3">
        <v>42796</v>
      </c>
      <c r="I107" t="s">
        <v>214</v>
      </c>
      <c r="J107">
        <v>22000</v>
      </c>
      <c r="K107" s="1"/>
      <c r="M107" s="3">
        <v>42802</v>
      </c>
      <c r="N107" t="s">
        <v>54</v>
      </c>
      <c r="P107" t="s">
        <v>56</v>
      </c>
      <c r="Q107">
        <v>17700</v>
      </c>
      <c r="R107" s="3">
        <v>42896</v>
      </c>
      <c r="S107" t="s">
        <v>54</v>
      </c>
      <c r="T107" t="s">
        <v>4671</v>
      </c>
      <c r="U107" t="s">
        <v>60</v>
      </c>
      <c r="V107">
        <v>3900</v>
      </c>
      <c r="AG107" t="s">
        <v>4622</v>
      </c>
      <c r="AH107" s="3">
        <v>42808</v>
      </c>
      <c r="AI107">
        <v>25500</v>
      </c>
      <c r="AJ107">
        <v>0</v>
      </c>
      <c r="AS107" t="s">
        <v>4550</v>
      </c>
      <c r="AT107" s="3">
        <v>42916</v>
      </c>
      <c r="AU107">
        <v>98490</v>
      </c>
      <c r="AV107">
        <v>0</v>
      </c>
      <c r="AW107">
        <v>2010</v>
      </c>
      <c r="AX107">
        <v>0</v>
      </c>
    </row>
    <row r="108" spans="1:50" x14ac:dyDescent="0.25">
      <c r="A108" t="s">
        <v>4696</v>
      </c>
      <c r="B108" s="3">
        <v>42796</v>
      </c>
      <c r="C108" t="s">
        <v>4459</v>
      </c>
      <c r="D108" t="s">
        <v>4437</v>
      </c>
      <c r="E108" t="s">
        <v>4425</v>
      </c>
      <c r="F108">
        <v>24000</v>
      </c>
      <c r="G108" t="s">
        <v>4697</v>
      </c>
      <c r="H108" s="3">
        <v>42796</v>
      </c>
      <c r="I108" t="s">
        <v>214</v>
      </c>
      <c r="J108">
        <v>20000</v>
      </c>
      <c r="K108" s="1"/>
      <c r="M108" s="3">
        <v>42800</v>
      </c>
      <c r="N108" t="s">
        <v>54</v>
      </c>
      <c r="P108" t="s">
        <v>56</v>
      </c>
      <c r="Q108">
        <v>16700</v>
      </c>
      <c r="R108" s="3">
        <v>42933</v>
      </c>
      <c r="S108" t="s">
        <v>54</v>
      </c>
      <c r="U108" t="s">
        <v>60</v>
      </c>
      <c r="V108">
        <v>2950</v>
      </c>
      <c r="AG108" t="s">
        <v>4698</v>
      </c>
      <c r="AH108" s="3">
        <v>42857</v>
      </c>
      <c r="AI108">
        <v>24000</v>
      </c>
      <c r="AJ108">
        <v>0</v>
      </c>
      <c r="AS108" t="s">
        <v>4699</v>
      </c>
      <c r="AT108" s="3">
        <v>43069</v>
      </c>
      <c r="AU108">
        <v>141120</v>
      </c>
      <c r="AV108">
        <v>0</v>
      </c>
      <c r="AW108">
        <v>2880</v>
      </c>
      <c r="AX108">
        <v>0</v>
      </c>
    </row>
    <row r="109" spans="1:50" x14ac:dyDescent="0.25">
      <c r="A109" t="s">
        <v>4700</v>
      </c>
      <c r="B109" s="3">
        <v>42797</v>
      </c>
      <c r="C109" t="s">
        <v>4423</v>
      </c>
      <c r="D109" t="s">
        <v>4424</v>
      </c>
      <c r="E109" t="s">
        <v>4425</v>
      </c>
      <c r="F109">
        <v>32500</v>
      </c>
      <c r="G109" t="s">
        <v>4701</v>
      </c>
      <c r="H109" s="3">
        <v>42797</v>
      </c>
      <c r="I109" t="s">
        <v>214</v>
      </c>
      <c r="J109">
        <v>28000</v>
      </c>
      <c r="K109" s="1"/>
      <c r="M109" s="3">
        <v>42800</v>
      </c>
      <c r="N109" t="s">
        <v>54</v>
      </c>
      <c r="P109" t="s">
        <v>56</v>
      </c>
      <c r="Q109">
        <v>22700</v>
      </c>
      <c r="R109" s="3">
        <v>42933</v>
      </c>
      <c r="S109" t="s">
        <v>54</v>
      </c>
      <c r="U109" t="s">
        <v>60</v>
      </c>
      <c r="V109">
        <v>4900</v>
      </c>
      <c r="AG109" t="s">
        <v>4702</v>
      </c>
      <c r="AH109" s="3">
        <v>42857</v>
      </c>
      <c r="AI109">
        <v>32500</v>
      </c>
      <c r="AJ109">
        <v>0</v>
      </c>
      <c r="AS109" t="s">
        <v>4693</v>
      </c>
      <c r="AT109" s="3">
        <v>42963</v>
      </c>
      <c r="AU109">
        <v>95550</v>
      </c>
      <c r="AV109">
        <v>0</v>
      </c>
      <c r="AW109">
        <v>1950</v>
      </c>
      <c r="AX109">
        <v>0</v>
      </c>
    </row>
    <row r="110" spans="1:50" x14ac:dyDescent="0.25">
      <c r="A110" t="s">
        <v>4703</v>
      </c>
      <c r="B110" s="3">
        <v>42797</v>
      </c>
      <c r="C110" t="s">
        <v>4423</v>
      </c>
      <c r="D110" t="s">
        <v>4599</v>
      </c>
      <c r="E110" t="s">
        <v>4425</v>
      </c>
      <c r="F110">
        <v>25500</v>
      </c>
      <c r="G110" t="s">
        <v>4704</v>
      </c>
      <c r="H110" s="3">
        <v>42797</v>
      </c>
      <c r="I110" t="s">
        <v>214</v>
      </c>
      <c r="J110">
        <v>22000</v>
      </c>
      <c r="K110" s="1"/>
      <c r="M110" s="3">
        <v>42800</v>
      </c>
      <c r="N110" t="s">
        <v>54</v>
      </c>
      <c r="P110" t="s">
        <v>56</v>
      </c>
      <c r="Q110">
        <v>17700</v>
      </c>
      <c r="R110" s="3">
        <v>42933</v>
      </c>
      <c r="S110" t="s">
        <v>54</v>
      </c>
      <c r="U110" t="s">
        <v>60</v>
      </c>
      <c r="V110">
        <v>3900</v>
      </c>
      <c r="AG110" t="s">
        <v>4705</v>
      </c>
      <c r="AH110" s="3">
        <v>42857</v>
      </c>
      <c r="AI110">
        <v>25500</v>
      </c>
      <c r="AJ110">
        <v>0</v>
      </c>
      <c r="AS110" t="s">
        <v>4693</v>
      </c>
      <c r="AT110" s="3">
        <v>42963</v>
      </c>
      <c r="AU110">
        <v>99960</v>
      </c>
      <c r="AV110">
        <v>0</v>
      </c>
      <c r="AW110">
        <v>2040</v>
      </c>
      <c r="AX110">
        <v>0</v>
      </c>
    </row>
    <row r="111" spans="1:50" x14ac:dyDescent="0.25">
      <c r="A111" t="s">
        <v>4706</v>
      </c>
      <c r="B111" s="3">
        <v>42798</v>
      </c>
      <c r="C111" t="s">
        <v>4423</v>
      </c>
      <c r="D111" t="s">
        <v>4424</v>
      </c>
      <c r="E111" t="s">
        <v>4425</v>
      </c>
      <c r="F111">
        <v>32500</v>
      </c>
      <c r="G111" t="s">
        <v>4707</v>
      </c>
      <c r="H111" s="3">
        <v>42798</v>
      </c>
      <c r="I111" t="s">
        <v>214</v>
      </c>
      <c r="J111">
        <v>28000</v>
      </c>
      <c r="K111" s="1"/>
      <c r="M111" s="3">
        <v>42800</v>
      </c>
      <c r="N111" t="s">
        <v>54</v>
      </c>
      <c r="P111" t="s">
        <v>56</v>
      </c>
      <c r="Q111">
        <v>22700</v>
      </c>
      <c r="R111" s="3">
        <v>42933</v>
      </c>
      <c r="S111" t="s">
        <v>54</v>
      </c>
      <c r="U111" t="s">
        <v>60</v>
      </c>
      <c r="V111">
        <v>4900</v>
      </c>
      <c r="AG111" t="s">
        <v>4708</v>
      </c>
      <c r="AH111" s="3">
        <v>42857</v>
      </c>
      <c r="AI111">
        <v>32500</v>
      </c>
      <c r="AJ111">
        <v>0</v>
      </c>
      <c r="AS111" t="s">
        <v>4693</v>
      </c>
      <c r="AT111" s="3">
        <v>42963</v>
      </c>
      <c r="AU111">
        <v>95550</v>
      </c>
      <c r="AV111">
        <v>0</v>
      </c>
      <c r="AW111">
        <v>1950</v>
      </c>
      <c r="AX111">
        <v>0</v>
      </c>
    </row>
    <row r="112" spans="1:50" x14ac:dyDescent="0.25">
      <c r="A112" t="s">
        <v>4709</v>
      </c>
      <c r="B112" s="3">
        <v>42798</v>
      </c>
      <c r="C112" t="s">
        <v>4459</v>
      </c>
      <c r="D112" t="s">
        <v>4437</v>
      </c>
      <c r="E112" t="s">
        <v>4425</v>
      </c>
      <c r="F112">
        <v>24000</v>
      </c>
      <c r="G112" t="s">
        <v>4710</v>
      </c>
      <c r="H112" s="3">
        <v>42798</v>
      </c>
      <c r="I112" t="s">
        <v>214</v>
      </c>
      <c r="J112">
        <v>20000</v>
      </c>
      <c r="K112" s="1"/>
      <c r="M112" s="3">
        <v>42798</v>
      </c>
      <c r="N112" t="s">
        <v>57</v>
      </c>
      <c r="P112" t="s">
        <v>56</v>
      </c>
      <c r="Q112">
        <v>6000</v>
      </c>
      <c r="R112" s="3">
        <v>42800</v>
      </c>
      <c r="S112" t="s">
        <v>54</v>
      </c>
      <c r="U112" t="s">
        <v>56</v>
      </c>
      <c r="V112">
        <v>10700</v>
      </c>
      <c r="W112" s="3">
        <v>42933</v>
      </c>
      <c r="X112" t="s">
        <v>54</v>
      </c>
      <c r="Z112" t="s">
        <v>60</v>
      </c>
      <c r="AA112">
        <v>2950</v>
      </c>
      <c r="AG112" t="s">
        <v>4698</v>
      </c>
      <c r="AH112" s="3">
        <v>42857</v>
      </c>
      <c r="AI112">
        <v>24000</v>
      </c>
      <c r="AJ112">
        <v>0</v>
      </c>
      <c r="AS112" t="s">
        <v>4699</v>
      </c>
      <c r="AT112" s="3">
        <v>43069</v>
      </c>
      <c r="AU112">
        <v>141120</v>
      </c>
      <c r="AV112">
        <v>0</v>
      </c>
      <c r="AW112">
        <v>2880</v>
      </c>
      <c r="AX112">
        <v>0</v>
      </c>
    </row>
    <row r="113" spans="1:50" x14ac:dyDescent="0.25">
      <c r="A113" t="s">
        <v>4711</v>
      </c>
      <c r="B113" s="3">
        <v>42800</v>
      </c>
      <c r="C113" t="s">
        <v>4459</v>
      </c>
      <c r="D113" t="s">
        <v>4437</v>
      </c>
      <c r="E113" t="s">
        <v>4425</v>
      </c>
      <c r="F113">
        <v>32500</v>
      </c>
      <c r="G113" t="s">
        <v>4712</v>
      </c>
      <c r="H113" s="3">
        <v>42800</v>
      </c>
      <c r="I113" t="s">
        <v>214</v>
      </c>
      <c r="J113">
        <v>28000</v>
      </c>
      <c r="K113" s="1"/>
      <c r="M113" s="3">
        <v>42802</v>
      </c>
      <c r="N113" t="s">
        <v>54</v>
      </c>
      <c r="P113" t="s">
        <v>56</v>
      </c>
      <c r="Q113">
        <v>22700</v>
      </c>
      <c r="R113" s="3">
        <v>42933</v>
      </c>
      <c r="S113" t="s">
        <v>54</v>
      </c>
      <c r="U113" t="s">
        <v>60</v>
      </c>
      <c r="V113">
        <v>4900</v>
      </c>
      <c r="AG113" t="s">
        <v>4713</v>
      </c>
      <c r="AH113" s="3">
        <v>42874</v>
      </c>
      <c r="AI113">
        <v>32500</v>
      </c>
      <c r="AJ113">
        <v>0</v>
      </c>
      <c r="AS113" t="s">
        <v>4693</v>
      </c>
      <c r="AT113" s="3">
        <v>42963</v>
      </c>
      <c r="AU113">
        <v>95550</v>
      </c>
      <c r="AV113">
        <v>0</v>
      </c>
      <c r="AW113">
        <v>1950</v>
      </c>
      <c r="AX113">
        <v>0</v>
      </c>
    </row>
    <row r="114" spans="1:50" x14ac:dyDescent="0.25">
      <c r="A114" t="s">
        <v>4714</v>
      </c>
      <c r="B114" s="3">
        <v>42801</v>
      </c>
      <c r="C114" t="s">
        <v>4423</v>
      </c>
      <c r="D114" t="s">
        <v>4424</v>
      </c>
      <c r="E114" t="s">
        <v>4425</v>
      </c>
      <c r="F114">
        <v>32500</v>
      </c>
      <c r="G114" t="s">
        <v>4715</v>
      </c>
      <c r="H114" s="3">
        <v>42801</v>
      </c>
      <c r="I114" t="s">
        <v>214</v>
      </c>
      <c r="J114">
        <v>28000</v>
      </c>
      <c r="K114" s="1"/>
      <c r="M114" s="3">
        <v>42802</v>
      </c>
      <c r="N114" t="s">
        <v>54</v>
      </c>
      <c r="P114" t="s">
        <v>56</v>
      </c>
      <c r="Q114">
        <v>22700</v>
      </c>
      <c r="R114" s="3">
        <v>42919</v>
      </c>
      <c r="S114" t="s">
        <v>54</v>
      </c>
      <c r="T114" t="s">
        <v>214</v>
      </c>
      <c r="U114" t="s">
        <v>60</v>
      </c>
      <c r="V114">
        <v>4900</v>
      </c>
      <c r="AG114" t="s">
        <v>4708</v>
      </c>
      <c r="AH114" s="3">
        <v>42857</v>
      </c>
      <c r="AI114">
        <v>32500</v>
      </c>
      <c r="AJ114">
        <v>0</v>
      </c>
      <c r="AS114" t="s">
        <v>4693</v>
      </c>
      <c r="AT114" s="3">
        <v>42963</v>
      </c>
      <c r="AU114">
        <v>95550</v>
      </c>
      <c r="AV114">
        <v>0</v>
      </c>
      <c r="AW114">
        <v>1950</v>
      </c>
      <c r="AX114">
        <v>0</v>
      </c>
    </row>
    <row r="115" spans="1:50" x14ac:dyDescent="0.25">
      <c r="A115" t="s">
        <v>4716</v>
      </c>
      <c r="B115" s="3">
        <v>42797</v>
      </c>
      <c r="C115" t="s">
        <v>4423</v>
      </c>
      <c r="D115" t="s">
        <v>4599</v>
      </c>
      <c r="E115" t="s">
        <v>4425</v>
      </c>
      <c r="F115">
        <v>25500</v>
      </c>
      <c r="G115" t="s">
        <v>4717</v>
      </c>
      <c r="H115" s="3">
        <v>42802</v>
      </c>
      <c r="I115" t="s">
        <v>4718</v>
      </c>
      <c r="J115">
        <v>20000</v>
      </c>
      <c r="K115" s="1"/>
      <c r="M115" s="3">
        <v>42804</v>
      </c>
      <c r="N115" t="s">
        <v>54</v>
      </c>
      <c r="P115" t="s">
        <v>56</v>
      </c>
      <c r="Q115">
        <v>15500</v>
      </c>
      <c r="R115" s="3">
        <v>42919</v>
      </c>
      <c r="S115" t="s">
        <v>54</v>
      </c>
      <c r="T115" t="s">
        <v>214</v>
      </c>
      <c r="U115" t="s">
        <v>60</v>
      </c>
      <c r="V115">
        <v>3900</v>
      </c>
      <c r="AG115" t="s">
        <v>4705</v>
      </c>
      <c r="AH115" s="3">
        <v>42857</v>
      </c>
      <c r="AI115">
        <v>25500</v>
      </c>
      <c r="AJ115">
        <v>0</v>
      </c>
      <c r="AS115" t="s">
        <v>4693</v>
      </c>
      <c r="AT115" s="3">
        <v>42963</v>
      </c>
      <c r="AU115">
        <v>99960</v>
      </c>
      <c r="AV115">
        <v>0</v>
      </c>
      <c r="AW115">
        <v>2040</v>
      </c>
      <c r="AX115">
        <v>0</v>
      </c>
    </row>
    <row r="116" spans="1:50" x14ac:dyDescent="0.25">
      <c r="A116" t="s">
        <v>4719</v>
      </c>
      <c r="B116" s="3">
        <v>42803</v>
      </c>
      <c r="C116" t="s">
        <v>4459</v>
      </c>
      <c r="D116" t="s">
        <v>4437</v>
      </c>
      <c r="E116" t="s">
        <v>4425</v>
      </c>
      <c r="F116">
        <v>24000</v>
      </c>
      <c r="G116" t="s">
        <v>4720</v>
      </c>
      <c r="H116" s="3">
        <v>42803</v>
      </c>
      <c r="I116" t="s">
        <v>214</v>
      </c>
      <c r="J116">
        <v>20000</v>
      </c>
      <c r="K116" s="1"/>
      <c r="M116" s="3">
        <v>42804</v>
      </c>
      <c r="N116" t="s">
        <v>54</v>
      </c>
      <c r="P116" t="s">
        <v>56</v>
      </c>
      <c r="Q116">
        <v>16700</v>
      </c>
      <c r="R116" s="3">
        <v>42919</v>
      </c>
      <c r="S116" t="s">
        <v>54</v>
      </c>
      <c r="T116" t="s">
        <v>214</v>
      </c>
      <c r="U116" t="s">
        <v>60</v>
      </c>
      <c r="V116">
        <v>2950</v>
      </c>
      <c r="AG116" t="s">
        <v>4698</v>
      </c>
      <c r="AH116" s="3">
        <v>42857</v>
      </c>
      <c r="AI116">
        <v>24000</v>
      </c>
      <c r="AJ116">
        <v>0</v>
      </c>
      <c r="AS116" t="s">
        <v>4699</v>
      </c>
      <c r="AT116" s="3">
        <v>43069</v>
      </c>
      <c r="AU116">
        <v>141120</v>
      </c>
      <c r="AV116">
        <v>0</v>
      </c>
      <c r="AW116">
        <v>2880</v>
      </c>
      <c r="AX116">
        <v>0</v>
      </c>
    </row>
    <row r="117" spans="1:50" x14ac:dyDescent="0.25">
      <c r="A117" t="s">
        <v>4721</v>
      </c>
      <c r="B117" s="3">
        <v>42804</v>
      </c>
      <c r="C117" t="s">
        <v>4423</v>
      </c>
      <c r="D117" t="s">
        <v>4424</v>
      </c>
      <c r="E117" t="s">
        <v>4425</v>
      </c>
      <c r="F117">
        <v>24000</v>
      </c>
      <c r="G117" t="s">
        <v>4722</v>
      </c>
      <c r="H117" s="3">
        <v>42804</v>
      </c>
      <c r="I117" t="s">
        <v>214</v>
      </c>
      <c r="J117">
        <v>20000</v>
      </c>
      <c r="K117" s="1"/>
      <c r="M117" s="3">
        <v>42804</v>
      </c>
      <c r="N117" t="s">
        <v>54</v>
      </c>
      <c r="P117" t="s">
        <v>56</v>
      </c>
      <c r="Q117">
        <v>12700</v>
      </c>
      <c r="R117" s="3">
        <v>42804</v>
      </c>
      <c r="S117" t="s">
        <v>57</v>
      </c>
      <c r="U117" t="s">
        <v>56</v>
      </c>
      <c r="V117">
        <v>4000</v>
      </c>
      <c r="W117" s="3">
        <v>42919</v>
      </c>
      <c r="X117" t="s">
        <v>54</v>
      </c>
      <c r="Y117" t="s">
        <v>214</v>
      </c>
      <c r="Z117" t="s">
        <v>60</v>
      </c>
      <c r="AA117">
        <v>2950</v>
      </c>
      <c r="AG117" t="s">
        <v>4692</v>
      </c>
      <c r="AH117" s="3">
        <v>42857</v>
      </c>
      <c r="AI117">
        <v>24000</v>
      </c>
      <c r="AJ117">
        <v>0</v>
      </c>
      <c r="AS117" t="s">
        <v>4693</v>
      </c>
      <c r="AT117" s="3">
        <v>42963</v>
      </c>
      <c r="AU117">
        <v>117600</v>
      </c>
      <c r="AV117">
        <v>0</v>
      </c>
      <c r="AW117">
        <v>2400</v>
      </c>
      <c r="AX117">
        <v>0</v>
      </c>
    </row>
    <row r="118" spans="1:50" x14ac:dyDescent="0.25">
      <c r="A118" t="s">
        <v>4723</v>
      </c>
      <c r="B118" s="3">
        <v>42804</v>
      </c>
      <c r="C118" t="s">
        <v>4423</v>
      </c>
      <c r="D118" t="s">
        <v>4599</v>
      </c>
      <c r="E118" t="s">
        <v>4425</v>
      </c>
      <c r="F118">
        <v>25500</v>
      </c>
      <c r="G118" t="s">
        <v>4724</v>
      </c>
      <c r="H118" s="3">
        <v>42804</v>
      </c>
      <c r="I118" t="s">
        <v>214</v>
      </c>
      <c r="J118">
        <v>22000</v>
      </c>
      <c r="K118" s="1"/>
      <c r="M118" s="3">
        <v>42804</v>
      </c>
      <c r="N118" t="s">
        <v>54</v>
      </c>
      <c r="P118" t="s">
        <v>56</v>
      </c>
      <c r="Q118">
        <v>17700</v>
      </c>
      <c r="R118" s="3">
        <v>42919</v>
      </c>
      <c r="S118" t="s">
        <v>54</v>
      </c>
      <c r="T118" t="s">
        <v>214</v>
      </c>
      <c r="U118" t="s">
        <v>60</v>
      </c>
      <c r="V118">
        <v>3900</v>
      </c>
      <c r="AG118" t="s">
        <v>4705</v>
      </c>
      <c r="AH118" s="3">
        <v>42857</v>
      </c>
      <c r="AI118">
        <v>25500</v>
      </c>
      <c r="AJ118">
        <v>0</v>
      </c>
      <c r="AS118" t="s">
        <v>4693</v>
      </c>
      <c r="AT118" s="3">
        <v>42963</v>
      </c>
      <c r="AU118">
        <v>99960</v>
      </c>
      <c r="AV118">
        <v>0</v>
      </c>
      <c r="AW118">
        <v>2040</v>
      </c>
      <c r="AX118">
        <v>0</v>
      </c>
    </row>
    <row r="119" spans="1:50" x14ac:dyDescent="0.25">
      <c r="A119" t="s">
        <v>4725</v>
      </c>
      <c r="B119" s="3">
        <v>42805</v>
      </c>
      <c r="C119" t="s">
        <v>4423</v>
      </c>
      <c r="D119" t="s">
        <v>4430</v>
      </c>
      <c r="E119" t="s">
        <v>4425</v>
      </c>
      <c r="F119">
        <v>24000</v>
      </c>
      <c r="G119" t="s">
        <v>4726</v>
      </c>
      <c r="H119" s="3">
        <v>42805</v>
      </c>
      <c r="I119" t="s">
        <v>214</v>
      </c>
      <c r="J119">
        <v>20000</v>
      </c>
      <c r="K119" s="1"/>
      <c r="M119" s="3">
        <v>42810</v>
      </c>
      <c r="N119" t="s">
        <v>54</v>
      </c>
      <c r="P119" t="s">
        <v>56</v>
      </c>
      <c r="Q119">
        <v>10700</v>
      </c>
      <c r="R119" s="3">
        <v>42810</v>
      </c>
      <c r="S119" t="s">
        <v>57</v>
      </c>
      <c r="U119" t="s">
        <v>56</v>
      </c>
      <c r="V119">
        <v>6000</v>
      </c>
      <c r="W119" s="3">
        <v>42933</v>
      </c>
      <c r="X119" t="s">
        <v>54</v>
      </c>
      <c r="Z119" t="s">
        <v>60</v>
      </c>
      <c r="AA119">
        <v>2950</v>
      </c>
      <c r="AG119" t="s">
        <v>4692</v>
      </c>
      <c r="AH119" s="3">
        <v>42857</v>
      </c>
      <c r="AI119">
        <v>24000</v>
      </c>
      <c r="AJ119">
        <v>0</v>
      </c>
      <c r="AS119" t="s">
        <v>4693</v>
      </c>
      <c r="AT119" s="3">
        <v>42963</v>
      </c>
      <c r="AU119">
        <v>117600</v>
      </c>
      <c r="AV119">
        <v>0</v>
      </c>
      <c r="AW119">
        <v>2400</v>
      </c>
      <c r="AX119">
        <v>0</v>
      </c>
    </row>
    <row r="120" spans="1:50" x14ac:dyDescent="0.25">
      <c r="A120" t="s">
        <v>4727</v>
      </c>
      <c r="B120" s="3">
        <v>42805</v>
      </c>
      <c r="C120" t="s">
        <v>4423</v>
      </c>
      <c r="D120" t="s">
        <v>4599</v>
      </c>
      <c r="E120" t="s">
        <v>4425</v>
      </c>
      <c r="F120">
        <v>25500</v>
      </c>
      <c r="G120" t="s">
        <v>4728</v>
      </c>
      <c r="H120" s="3">
        <v>42807</v>
      </c>
      <c r="I120" t="s">
        <v>214</v>
      </c>
      <c r="J120">
        <v>22000</v>
      </c>
      <c r="K120" s="1"/>
      <c r="M120" s="3">
        <v>42808</v>
      </c>
      <c r="N120" t="s">
        <v>54</v>
      </c>
      <c r="P120" t="s">
        <v>56</v>
      </c>
      <c r="Q120">
        <v>17700</v>
      </c>
      <c r="R120" s="3">
        <v>42919</v>
      </c>
      <c r="S120" t="s">
        <v>54</v>
      </c>
      <c r="T120" t="s">
        <v>214</v>
      </c>
      <c r="U120" t="s">
        <v>60</v>
      </c>
      <c r="V120">
        <v>3900</v>
      </c>
      <c r="AG120" t="s">
        <v>4705</v>
      </c>
      <c r="AH120" s="3">
        <v>42857</v>
      </c>
      <c r="AI120">
        <v>25500</v>
      </c>
      <c r="AJ120">
        <v>0</v>
      </c>
      <c r="AS120" t="s">
        <v>4693</v>
      </c>
      <c r="AT120" s="3">
        <v>42963</v>
      </c>
      <c r="AU120">
        <v>99960</v>
      </c>
      <c r="AV120">
        <v>0</v>
      </c>
      <c r="AW120">
        <v>2040</v>
      </c>
      <c r="AX120">
        <v>0</v>
      </c>
    </row>
    <row r="121" spans="1:50" x14ac:dyDescent="0.25">
      <c r="A121" t="s">
        <v>4729</v>
      </c>
      <c r="B121" s="3">
        <v>42807</v>
      </c>
      <c r="C121" t="s">
        <v>4459</v>
      </c>
      <c r="D121" t="s">
        <v>4437</v>
      </c>
      <c r="E121" t="s">
        <v>4425</v>
      </c>
      <c r="F121">
        <v>32500</v>
      </c>
      <c r="G121" t="s">
        <v>4730</v>
      </c>
      <c r="H121" s="3">
        <v>42807</v>
      </c>
      <c r="I121" t="s">
        <v>214</v>
      </c>
      <c r="J121">
        <v>28000</v>
      </c>
      <c r="K121" s="1"/>
      <c r="M121" s="3">
        <v>42808</v>
      </c>
      <c r="N121" t="s">
        <v>54</v>
      </c>
      <c r="P121" t="s">
        <v>56</v>
      </c>
      <c r="Q121">
        <v>22700</v>
      </c>
      <c r="R121" s="3">
        <v>42919</v>
      </c>
      <c r="S121" t="s">
        <v>54</v>
      </c>
      <c r="T121" t="s">
        <v>214</v>
      </c>
      <c r="U121" t="s">
        <v>60</v>
      </c>
      <c r="V121">
        <v>4900</v>
      </c>
      <c r="AG121" t="s">
        <v>4731</v>
      </c>
      <c r="AH121" s="3">
        <v>42857</v>
      </c>
      <c r="AI121">
        <v>32500</v>
      </c>
      <c r="AJ121">
        <v>6690</v>
      </c>
      <c r="AS121" t="s">
        <v>4732</v>
      </c>
      <c r="AT121" s="3">
        <v>43190</v>
      </c>
      <c r="AU121">
        <v>58310</v>
      </c>
      <c r="AV121">
        <v>0</v>
      </c>
      <c r="AW121">
        <v>0</v>
      </c>
      <c r="AX121">
        <v>0</v>
      </c>
    </row>
    <row r="122" spans="1:50" x14ac:dyDescent="0.25">
      <c r="A122" t="s">
        <v>4733</v>
      </c>
      <c r="B122" s="3">
        <v>42807</v>
      </c>
      <c r="C122" t="s">
        <v>4423</v>
      </c>
      <c r="D122" t="s">
        <v>4424</v>
      </c>
      <c r="E122" t="s">
        <v>4425</v>
      </c>
      <c r="F122">
        <v>32500</v>
      </c>
      <c r="G122" t="s">
        <v>4734</v>
      </c>
      <c r="H122" s="3">
        <v>42807</v>
      </c>
      <c r="I122" t="s">
        <v>214</v>
      </c>
      <c r="J122">
        <v>28000</v>
      </c>
      <c r="K122" s="1"/>
      <c r="M122" s="3">
        <v>42808</v>
      </c>
      <c r="N122" t="s">
        <v>54</v>
      </c>
      <c r="P122" t="s">
        <v>56</v>
      </c>
      <c r="Q122">
        <v>22700</v>
      </c>
      <c r="R122" s="3">
        <v>42919</v>
      </c>
      <c r="S122" t="s">
        <v>54</v>
      </c>
      <c r="T122" t="s">
        <v>214</v>
      </c>
      <c r="U122" t="s">
        <v>60</v>
      </c>
      <c r="V122">
        <v>4900</v>
      </c>
      <c r="AG122" t="s">
        <v>4702</v>
      </c>
      <c r="AH122" s="3">
        <v>42857</v>
      </c>
      <c r="AI122">
        <v>32500</v>
      </c>
      <c r="AJ122">
        <v>0</v>
      </c>
      <c r="AS122" t="s">
        <v>4693</v>
      </c>
      <c r="AT122" s="3">
        <v>42963</v>
      </c>
      <c r="AU122">
        <v>95550</v>
      </c>
      <c r="AV122">
        <v>0</v>
      </c>
      <c r="AW122">
        <v>1950</v>
      </c>
      <c r="AX122">
        <v>0</v>
      </c>
    </row>
    <row r="123" spans="1:50" x14ac:dyDescent="0.25">
      <c r="A123" t="s">
        <v>4735</v>
      </c>
      <c r="B123" s="3">
        <v>42808</v>
      </c>
      <c r="C123" t="s">
        <v>4459</v>
      </c>
      <c r="D123" t="s">
        <v>4437</v>
      </c>
      <c r="E123" t="s">
        <v>4425</v>
      </c>
      <c r="F123">
        <v>32500</v>
      </c>
      <c r="G123" t="s">
        <v>4736</v>
      </c>
      <c r="H123" s="3">
        <v>42808</v>
      </c>
      <c r="I123" t="s">
        <v>214</v>
      </c>
      <c r="J123">
        <v>28000</v>
      </c>
      <c r="K123" s="1"/>
      <c r="M123" s="3">
        <v>42810</v>
      </c>
      <c r="N123" t="s">
        <v>54</v>
      </c>
      <c r="P123" t="s">
        <v>56</v>
      </c>
      <c r="Q123">
        <v>22700</v>
      </c>
      <c r="R123" s="3">
        <v>42896</v>
      </c>
      <c r="S123" t="s">
        <v>54</v>
      </c>
      <c r="T123" t="s">
        <v>4671</v>
      </c>
      <c r="U123" t="s">
        <v>60</v>
      </c>
      <c r="V123">
        <v>4900</v>
      </c>
      <c r="AG123" t="s">
        <v>4731</v>
      </c>
      <c r="AH123" s="3">
        <v>42857</v>
      </c>
      <c r="AI123">
        <v>32500</v>
      </c>
      <c r="AJ123">
        <v>6690</v>
      </c>
      <c r="AS123" t="s">
        <v>4732</v>
      </c>
      <c r="AT123" s="3">
        <v>43190</v>
      </c>
      <c r="AU123">
        <v>58310</v>
      </c>
      <c r="AV123">
        <v>0</v>
      </c>
      <c r="AW123">
        <v>0</v>
      </c>
      <c r="AX123">
        <v>0</v>
      </c>
    </row>
    <row r="124" spans="1:50" x14ac:dyDescent="0.25">
      <c r="A124" t="s">
        <v>4737</v>
      </c>
      <c r="B124" s="3">
        <v>42809</v>
      </c>
      <c r="C124" t="s">
        <v>4423</v>
      </c>
      <c r="D124" t="s">
        <v>4424</v>
      </c>
      <c r="E124" t="s">
        <v>4425</v>
      </c>
      <c r="F124">
        <v>24000</v>
      </c>
      <c r="G124" t="s">
        <v>4738</v>
      </c>
      <c r="H124" s="3">
        <v>42809</v>
      </c>
      <c r="I124" t="s">
        <v>214</v>
      </c>
      <c r="J124">
        <v>20000</v>
      </c>
      <c r="K124" s="1"/>
      <c r="M124" s="3">
        <v>42810</v>
      </c>
      <c r="N124" t="s">
        <v>54</v>
      </c>
      <c r="P124" t="s">
        <v>56</v>
      </c>
      <c r="Q124">
        <v>16700</v>
      </c>
      <c r="R124" s="3">
        <v>42919</v>
      </c>
      <c r="S124" t="s">
        <v>54</v>
      </c>
      <c r="T124" t="s">
        <v>214</v>
      </c>
      <c r="U124" t="s">
        <v>60</v>
      </c>
      <c r="V124">
        <v>2950</v>
      </c>
      <c r="AG124" t="s">
        <v>4692</v>
      </c>
      <c r="AH124" s="3">
        <v>42857</v>
      </c>
      <c r="AI124">
        <v>24000</v>
      </c>
      <c r="AJ124">
        <v>0</v>
      </c>
      <c r="AS124" t="s">
        <v>4693</v>
      </c>
      <c r="AT124" s="3">
        <v>42963</v>
      </c>
      <c r="AU124">
        <v>117600</v>
      </c>
      <c r="AV124">
        <v>0</v>
      </c>
      <c r="AW124">
        <v>2400</v>
      </c>
      <c r="AX124">
        <v>0</v>
      </c>
    </row>
    <row r="125" spans="1:50" x14ac:dyDescent="0.25">
      <c r="A125" t="s">
        <v>4739</v>
      </c>
      <c r="B125" s="3">
        <v>42809</v>
      </c>
      <c r="C125" t="s">
        <v>4423</v>
      </c>
      <c r="D125" t="s">
        <v>4424</v>
      </c>
      <c r="E125" t="s">
        <v>4425</v>
      </c>
      <c r="F125">
        <v>24000</v>
      </c>
      <c r="G125" t="s">
        <v>4740</v>
      </c>
      <c r="H125" s="3">
        <v>42809</v>
      </c>
      <c r="I125" t="s">
        <v>214</v>
      </c>
      <c r="J125">
        <v>20000</v>
      </c>
      <c r="K125" s="1"/>
      <c r="M125" s="3">
        <v>42810</v>
      </c>
      <c r="N125" t="s">
        <v>54</v>
      </c>
      <c r="P125" t="s">
        <v>56</v>
      </c>
      <c r="Q125">
        <v>16700</v>
      </c>
      <c r="R125" s="3">
        <v>42919</v>
      </c>
      <c r="S125" t="s">
        <v>54</v>
      </c>
      <c r="T125" t="s">
        <v>214</v>
      </c>
      <c r="U125" t="s">
        <v>60</v>
      </c>
      <c r="V125">
        <v>2950</v>
      </c>
      <c r="AG125" t="s">
        <v>4692</v>
      </c>
      <c r="AH125" s="3">
        <v>42857</v>
      </c>
      <c r="AI125">
        <v>24000</v>
      </c>
      <c r="AJ125">
        <v>0</v>
      </c>
      <c r="AS125" t="s">
        <v>4693</v>
      </c>
      <c r="AT125" s="3">
        <v>42963</v>
      </c>
      <c r="AU125">
        <v>117600</v>
      </c>
      <c r="AV125">
        <v>0</v>
      </c>
      <c r="AW125">
        <v>2400</v>
      </c>
      <c r="AX125">
        <v>0</v>
      </c>
    </row>
    <row r="126" spans="1:50" x14ac:dyDescent="0.25">
      <c r="A126" t="s">
        <v>4741</v>
      </c>
      <c r="B126" s="3">
        <v>42810</v>
      </c>
      <c r="C126" t="s">
        <v>4423</v>
      </c>
      <c r="D126" t="s">
        <v>4424</v>
      </c>
      <c r="E126" t="s">
        <v>4425</v>
      </c>
      <c r="F126">
        <v>24000</v>
      </c>
      <c r="G126" t="s">
        <v>4742</v>
      </c>
      <c r="H126" s="3">
        <v>42810</v>
      </c>
      <c r="I126" t="s">
        <v>214</v>
      </c>
      <c r="J126">
        <v>20000</v>
      </c>
      <c r="K126" s="1"/>
      <c r="M126" s="3">
        <v>42812</v>
      </c>
      <c r="N126" t="s">
        <v>54</v>
      </c>
      <c r="P126" t="s">
        <v>56</v>
      </c>
      <c r="Q126">
        <v>12700</v>
      </c>
      <c r="R126" s="3">
        <v>42812</v>
      </c>
      <c r="S126" t="s">
        <v>57</v>
      </c>
      <c r="U126" t="s">
        <v>56</v>
      </c>
      <c r="V126">
        <v>4000</v>
      </c>
      <c r="W126" s="3">
        <v>42919</v>
      </c>
      <c r="X126" t="s">
        <v>54</v>
      </c>
      <c r="Y126" t="s">
        <v>214</v>
      </c>
      <c r="Z126" t="s">
        <v>60</v>
      </c>
      <c r="AA126">
        <v>2900</v>
      </c>
      <c r="AG126" t="s">
        <v>4743</v>
      </c>
      <c r="AH126" s="3">
        <v>42874</v>
      </c>
      <c r="AI126">
        <v>24000</v>
      </c>
      <c r="AJ126">
        <v>0</v>
      </c>
      <c r="AS126" t="s">
        <v>4693</v>
      </c>
      <c r="AT126" s="3">
        <v>42963</v>
      </c>
      <c r="AU126">
        <v>94080</v>
      </c>
      <c r="AV126">
        <v>0</v>
      </c>
      <c r="AW126">
        <v>1920</v>
      </c>
      <c r="AX126">
        <v>0</v>
      </c>
    </row>
    <row r="127" spans="1:50" x14ac:dyDescent="0.25">
      <c r="A127" t="s">
        <v>4744</v>
      </c>
      <c r="B127" s="3">
        <v>42811</v>
      </c>
      <c r="C127" t="s">
        <v>4626</v>
      </c>
      <c r="D127" t="s">
        <v>4437</v>
      </c>
      <c r="E127" t="s">
        <v>4425</v>
      </c>
      <c r="F127">
        <v>24000</v>
      </c>
      <c r="G127" t="s">
        <v>4745</v>
      </c>
      <c r="H127" s="3">
        <v>42811</v>
      </c>
      <c r="I127" t="s">
        <v>214</v>
      </c>
      <c r="J127">
        <v>20000</v>
      </c>
      <c r="K127" s="1"/>
      <c r="M127" s="3">
        <v>42812</v>
      </c>
      <c r="N127" t="s">
        <v>54</v>
      </c>
      <c r="P127" t="s">
        <v>56</v>
      </c>
      <c r="Q127">
        <v>16700</v>
      </c>
      <c r="R127" s="3">
        <v>42919</v>
      </c>
      <c r="S127" t="s">
        <v>54</v>
      </c>
      <c r="T127" t="s">
        <v>214</v>
      </c>
      <c r="U127" t="s">
        <v>60</v>
      </c>
      <c r="V127">
        <v>2950</v>
      </c>
      <c r="AG127" t="s">
        <v>4698</v>
      </c>
      <c r="AH127" s="3">
        <v>42857</v>
      </c>
      <c r="AI127">
        <v>24000</v>
      </c>
      <c r="AJ127">
        <v>0</v>
      </c>
      <c r="AS127" t="s">
        <v>4699</v>
      </c>
      <c r="AT127" s="3">
        <v>43069</v>
      </c>
      <c r="AU127">
        <v>141120</v>
      </c>
      <c r="AV127">
        <v>0</v>
      </c>
      <c r="AW127">
        <v>2880</v>
      </c>
      <c r="AX127">
        <v>0</v>
      </c>
    </row>
    <row r="128" spans="1:50" x14ac:dyDescent="0.25">
      <c r="A128" t="s">
        <v>4746</v>
      </c>
      <c r="B128" s="3">
        <v>42812</v>
      </c>
      <c r="C128" t="s">
        <v>4423</v>
      </c>
      <c r="D128" t="s">
        <v>4424</v>
      </c>
      <c r="E128" t="s">
        <v>4425</v>
      </c>
      <c r="F128">
        <v>32500</v>
      </c>
      <c r="G128" t="s">
        <v>4747</v>
      </c>
      <c r="H128" s="3">
        <v>42812</v>
      </c>
      <c r="I128" t="s">
        <v>214</v>
      </c>
      <c r="J128">
        <v>28000</v>
      </c>
      <c r="K128" s="1"/>
      <c r="M128" s="3">
        <v>42814</v>
      </c>
      <c r="N128" t="s">
        <v>54</v>
      </c>
      <c r="P128" t="s">
        <v>56</v>
      </c>
      <c r="Q128">
        <v>22700</v>
      </c>
      <c r="R128" s="3">
        <v>42919</v>
      </c>
      <c r="S128" t="s">
        <v>54</v>
      </c>
      <c r="T128" t="s">
        <v>214</v>
      </c>
      <c r="U128" t="s">
        <v>60</v>
      </c>
      <c r="V128">
        <v>4900</v>
      </c>
      <c r="AG128" t="s">
        <v>4702</v>
      </c>
      <c r="AH128" s="3">
        <v>42857</v>
      </c>
      <c r="AI128">
        <v>32500</v>
      </c>
      <c r="AJ128">
        <v>0</v>
      </c>
      <c r="AS128" t="s">
        <v>4693</v>
      </c>
      <c r="AT128" s="3">
        <v>42963</v>
      </c>
      <c r="AU128">
        <v>95550</v>
      </c>
      <c r="AV128">
        <v>0</v>
      </c>
      <c r="AW128">
        <v>1950</v>
      </c>
      <c r="AX128">
        <v>0</v>
      </c>
    </row>
    <row r="129" spans="1:50" x14ac:dyDescent="0.25">
      <c r="A129" t="s">
        <v>4748</v>
      </c>
      <c r="B129" s="3">
        <v>42814</v>
      </c>
      <c r="C129" t="s">
        <v>4459</v>
      </c>
      <c r="D129" t="s">
        <v>4437</v>
      </c>
      <c r="E129" t="s">
        <v>4425</v>
      </c>
      <c r="F129">
        <v>32500</v>
      </c>
      <c r="G129" t="s">
        <v>4749</v>
      </c>
      <c r="H129" s="3">
        <v>42814</v>
      </c>
      <c r="I129" t="s">
        <v>214</v>
      </c>
      <c r="J129">
        <v>28000</v>
      </c>
      <c r="K129" s="1"/>
      <c r="M129" s="3">
        <v>42814</v>
      </c>
      <c r="N129" t="s">
        <v>54</v>
      </c>
      <c r="P129" t="s">
        <v>56</v>
      </c>
      <c r="Q129">
        <v>22700</v>
      </c>
      <c r="R129" s="3">
        <v>42919</v>
      </c>
      <c r="S129" t="s">
        <v>54</v>
      </c>
      <c r="T129" t="s">
        <v>214</v>
      </c>
      <c r="U129" t="s">
        <v>60</v>
      </c>
      <c r="V129">
        <v>4900</v>
      </c>
      <c r="AG129" t="s">
        <v>4750</v>
      </c>
      <c r="AH129" s="3">
        <v>42857</v>
      </c>
      <c r="AI129">
        <v>32500</v>
      </c>
      <c r="AJ129">
        <v>0</v>
      </c>
      <c r="AS129" t="s">
        <v>4693</v>
      </c>
      <c r="AT129" s="3">
        <v>42963</v>
      </c>
      <c r="AU129">
        <v>31850</v>
      </c>
      <c r="AV129">
        <v>0</v>
      </c>
      <c r="AW129">
        <v>650</v>
      </c>
      <c r="AX129">
        <v>0</v>
      </c>
    </row>
    <row r="130" spans="1:50" x14ac:dyDescent="0.25">
      <c r="A130" t="s">
        <v>4751</v>
      </c>
      <c r="B130" s="3">
        <v>42814</v>
      </c>
      <c r="C130" t="s">
        <v>4459</v>
      </c>
      <c r="D130" t="s">
        <v>4437</v>
      </c>
      <c r="E130" t="s">
        <v>4425</v>
      </c>
      <c r="F130">
        <v>24000</v>
      </c>
      <c r="G130" t="s">
        <v>4752</v>
      </c>
      <c r="H130" s="3">
        <v>42814</v>
      </c>
      <c r="I130" t="s">
        <v>214</v>
      </c>
      <c r="J130">
        <v>20000</v>
      </c>
      <c r="K130" s="1"/>
      <c r="M130" s="3">
        <v>42814</v>
      </c>
      <c r="N130" t="s">
        <v>54</v>
      </c>
      <c r="P130" t="s">
        <v>56</v>
      </c>
      <c r="Q130">
        <v>12700</v>
      </c>
      <c r="R130" s="3">
        <v>42814</v>
      </c>
      <c r="S130" t="s">
        <v>57</v>
      </c>
      <c r="U130" t="s">
        <v>56</v>
      </c>
      <c r="V130">
        <v>4000</v>
      </c>
      <c r="W130" s="3">
        <v>42919</v>
      </c>
      <c r="X130" t="s">
        <v>54</v>
      </c>
      <c r="Y130" t="s">
        <v>214</v>
      </c>
      <c r="Z130" t="s">
        <v>60</v>
      </c>
      <c r="AA130">
        <v>2950</v>
      </c>
      <c r="AG130" t="s">
        <v>4698</v>
      </c>
      <c r="AH130" s="3">
        <v>42857</v>
      </c>
      <c r="AI130">
        <v>24000</v>
      </c>
      <c r="AJ130">
        <v>0</v>
      </c>
      <c r="AS130" t="s">
        <v>4699</v>
      </c>
      <c r="AT130" s="3">
        <v>43069</v>
      </c>
      <c r="AU130">
        <v>141120</v>
      </c>
      <c r="AV130">
        <v>0</v>
      </c>
      <c r="AW130">
        <v>2880</v>
      </c>
      <c r="AX130">
        <v>0</v>
      </c>
    </row>
    <row r="131" spans="1:50" x14ac:dyDescent="0.25">
      <c r="A131" t="s">
        <v>4753</v>
      </c>
      <c r="B131" s="3">
        <v>42814</v>
      </c>
      <c r="C131" t="s">
        <v>4459</v>
      </c>
      <c r="D131" t="s">
        <v>4437</v>
      </c>
      <c r="E131" t="s">
        <v>4425</v>
      </c>
      <c r="F131">
        <v>24000</v>
      </c>
      <c r="G131" t="s">
        <v>4754</v>
      </c>
      <c r="H131" s="3">
        <v>42814</v>
      </c>
      <c r="I131" t="s">
        <v>214</v>
      </c>
      <c r="J131">
        <v>20000</v>
      </c>
      <c r="K131" s="1"/>
      <c r="M131" s="3">
        <v>42814</v>
      </c>
      <c r="N131" t="s">
        <v>54</v>
      </c>
      <c r="P131" t="s">
        <v>56</v>
      </c>
      <c r="Q131">
        <v>16700</v>
      </c>
      <c r="R131" s="3">
        <v>42919</v>
      </c>
      <c r="S131" t="s">
        <v>54</v>
      </c>
      <c r="T131" t="s">
        <v>214</v>
      </c>
      <c r="U131" t="s">
        <v>60</v>
      </c>
      <c r="V131">
        <v>2900</v>
      </c>
      <c r="AG131" t="s">
        <v>4698</v>
      </c>
      <c r="AH131" s="3">
        <v>42857</v>
      </c>
      <c r="AI131">
        <v>24000</v>
      </c>
      <c r="AJ131">
        <v>0</v>
      </c>
      <c r="AS131" t="s">
        <v>4699</v>
      </c>
      <c r="AT131" s="3">
        <v>43069</v>
      </c>
      <c r="AU131">
        <v>141120</v>
      </c>
      <c r="AV131">
        <v>0</v>
      </c>
      <c r="AW131">
        <v>2880</v>
      </c>
      <c r="AX131">
        <v>0</v>
      </c>
    </row>
    <row r="132" spans="1:50" x14ac:dyDescent="0.25">
      <c r="A132" t="s">
        <v>4755</v>
      </c>
      <c r="B132" s="3">
        <v>42815</v>
      </c>
      <c r="C132" t="s">
        <v>4423</v>
      </c>
      <c r="D132" t="s">
        <v>4424</v>
      </c>
      <c r="E132" t="s">
        <v>4425</v>
      </c>
      <c r="F132">
        <v>32500</v>
      </c>
      <c r="G132" t="s">
        <v>4756</v>
      </c>
      <c r="H132" s="3">
        <v>42815</v>
      </c>
      <c r="I132" t="s">
        <v>214</v>
      </c>
      <c r="J132">
        <v>28000</v>
      </c>
      <c r="K132" s="1"/>
      <c r="M132" s="3">
        <v>42817</v>
      </c>
      <c r="N132" t="s">
        <v>54</v>
      </c>
      <c r="P132" t="s">
        <v>56</v>
      </c>
      <c r="Q132">
        <v>22700</v>
      </c>
      <c r="R132" s="3">
        <v>42933</v>
      </c>
      <c r="S132" t="s">
        <v>54</v>
      </c>
      <c r="T132" t="s">
        <v>214</v>
      </c>
      <c r="U132" t="s">
        <v>60</v>
      </c>
      <c r="V132">
        <v>4900</v>
      </c>
      <c r="AG132" t="s">
        <v>4757</v>
      </c>
      <c r="AH132" s="3">
        <v>42874</v>
      </c>
      <c r="AI132">
        <v>32500</v>
      </c>
      <c r="AJ132">
        <v>0</v>
      </c>
      <c r="AS132" t="s">
        <v>4693</v>
      </c>
      <c r="AT132" s="3">
        <v>42963</v>
      </c>
      <c r="AU132">
        <v>95550</v>
      </c>
      <c r="AV132">
        <v>0</v>
      </c>
      <c r="AW132">
        <v>1950</v>
      </c>
      <c r="AX132">
        <v>0</v>
      </c>
    </row>
    <row r="133" spans="1:50" x14ac:dyDescent="0.25">
      <c r="A133" t="s">
        <v>4758</v>
      </c>
      <c r="B133" s="3">
        <v>42815</v>
      </c>
      <c r="C133" t="s">
        <v>4459</v>
      </c>
      <c r="D133" t="s">
        <v>4610</v>
      </c>
      <c r="E133" t="s">
        <v>4425</v>
      </c>
      <c r="F133">
        <v>11000</v>
      </c>
      <c r="G133" t="s">
        <v>4759</v>
      </c>
      <c r="H133" s="3">
        <v>42815</v>
      </c>
      <c r="I133" t="s">
        <v>214</v>
      </c>
      <c r="J133">
        <v>10000</v>
      </c>
      <c r="K133" s="1"/>
      <c r="M133" s="3">
        <v>42822</v>
      </c>
      <c r="N133" t="s">
        <v>54</v>
      </c>
      <c r="P133" t="s">
        <v>60</v>
      </c>
      <c r="Q133">
        <v>9800</v>
      </c>
      <c r="AG133" t="s">
        <v>4760</v>
      </c>
      <c r="AH133" s="3">
        <v>42874</v>
      </c>
      <c r="AI133">
        <v>11000</v>
      </c>
      <c r="AJ133">
        <v>0</v>
      </c>
      <c r="AS133" t="s">
        <v>4693</v>
      </c>
      <c r="AT133" s="3">
        <v>42963</v>
      </c>
      <c r="AU133">
        <v>10780</v>
      </c>
      <c r="AV133">
        <v>0</v>
      </c>
      <c r="AW133">
        <v>220</v>
      </c>
      <c r="AX133">
        <v>0</v>
      </c>
    </row>
    <row r="134" spans="1:50" x14ac:dyDescent="0.25">
      <c r="A134" t="s">
        <v>4761</v>
      </c>
      <c r="B134" s="3">
        <v>42816</v>
      </c>
      <c r="C134" t="s">
        <v>4423</v>
      </c>
      <c r="D134" t="s">
        <v>4424</v>
      </c>
      <c r="E134" t="s">
        <v>4425</v>
      </c>
      <c r="F134">
        <v>24000</v>
      </c>
      <c r="G134" t="s">
        <v>4762</v>
      </c>
      <c r="H134" s="3">
        <v>42816</v>
      </c>
      <c r="I134" t="s">
        <v>214</v>
      </c>
      <c r="J134">
        <v>20000</v>
      </c>
      <c r="K134" s="1"/>
      <c r="M134" s="3">
        <v>42817</v>
      </c>
      <c r="N134" t="s">
        <v>54</v>
      </c>
      <c r="P134" t="s">
        <v>56</v>
      </c>
      <c r="Q134">
        <v>16700</v>
      </c>
      <c r="R134" s="3">
        <v>42933</v>
      </c>
      <c r="S134" t="s">
        <v>54</v>
      </c>
      <c r="T134" t="s">
        <v>214</v>
      </c>
      <c r="U134" t="s">
        <v>60</v>
      </c>
      <c r="V134">
        <v>2950</v>
      </c>
      <c r="AG134" t="s">
        <v>4743</v>
      </c>
      <c r="AH134" s="3">
        <v>42874</v>
      </c>
      <c r="AI134">
        <v>24000</v>
      </c>
      <c r="AJ134">
        <v>0</v>
      </c>
      <c r="AS134" t="s">
        <v>4693</v>
      </c>
      <c r="AT134" s="3">
        <v>42963</v>
      </c>
      <c r="AU134">
        <v>94080</v>
      </c>
      <c r="AV134">
        <v>0</v>
      </c>
      <c r="AW134">
        <v>1920</v>
      </c>
      <c r="AX134">
        <v>0</v>
      </c>
    </row>
    <row r="135" spans="1:50" x14ac:dyDescent="0.25">
      <c r="A135" t="s">
        <v>4763</v>
      </c>
      <c r="B135" s="3">
        <v>42816</v>
      </c>
      <c r="C135" t="s">
        <v>4459</v>
      </c>
      <c r="D135" t="s">
        <v>4437</v>
      </c>
      <c r="E135" t="s">
        <v>4425</v>
      </c>
      <c r="F135">
        <v>24000</v>
      </c>
      <c r="G135" t="s">
        <v>4764</v>
      </c>
      <c r="H135" s="3">
        <v>42816</v>
      </c>
      <c r="I135" t="s">
        <v>214</v>
      </c>
      <c r="J135">
        <v>20000</v>
      </c>
      <c r="K135" s="1"/>
      <c r="M135" s="3">
        <v>42817</v>
      </c>
      <c r="N135" t="s">
        <v>54</v>
      </c>
      <c r="P135" t="s">
        <v>56</v>
      </c>
      <c r="Q135">
        <v>12700</v>
      </c>
      <c r="R135" s="3">
        <v>42817</v>
      </c>
      <c r="S135" t="s">
        <v>57</v>
      </c>
      <c r="U135" t="s">
        <v>56</v>
      </c>
      <c r="V135">
        <v>4000</v>
      </c>
      <c r="W135" s="3">
        <v>42933</v>
      </c>
      <c r="X135" t="s">
        <v>54</v>
      </c>
      <c r="Y135" t="s">
        <v>214</v>
      </c>
      <c r="Z135" t="s">
        <v>60</v>
      </c>
      <c r="AA135">
        <v>2950</v>
      </c>
      <c r="AG135" t="s">
        <v>4765</v>
      </c>
      <c r="AH135" s="3">
        <v>42874</v>
      </c>
      <c r="AI135">
        <v>24000</v>
      </c>
      <c r="AJ135">
        <v>0</v>
      </c>
      <c r="AS135" t="s">
        <v>4693</v>
      </c>
      <c r="AT135" s="3">
        <v>42963</v>
      </c>
      <c r="AU135">
        <v>47040</v>
      </c>
      <c r="AV135">
        <v>0</v>
      </c>
      <c r="AW135">
        <v>960</v>
      </c>
      <c r="AX135">
        <v>0</v>
      </c>
    </row>
    <row r="136" spans="1:50" x14ac:dyDescent="0.25">
      <c r="A136" t="s">
        <v>4766</v>
      </c>
      <c r="B136" s="3">
        <v>42817</v>
      </c>
      <c r="C136" t="s">
        <v>4459</v>
      </c>
      <c r="D136" t="s">
        <v>4437</v>
      </c>
      <c r="E136" t="s">
        <v>4425</v>
      </c>
      <c r="F136">
        <v>32500</v>
      </c>
      <c r="G136" t="s">
        <v>4767</v>
      </c>
      <c r="H136" s="3">
        <v>42817</v>
      </c>
      <c r="I136" t="s">
        <v>214</v>
      </c>
      <c r="J136">
        <v>28000</v>
      </c>
      <c r="K136" s="1"/>
      <c r="M136" s="3">
        <v>42822</v>
      </c>
      <c r="N136" t="s">
        <v>54</v>
      </c>
      <c r="P136" t="s">
        <v>56</v>
      </c>
      <c r="Q136">
        <v>22700</v>
      </c>
      <c r="R136" s="3">
        <v>42919</v>
      </c>
      <c r="S136" t="s">
        <v>54</v>
      </c>
      <c r="T136" t="s">
        <v>214</v>
      </c>
      <c r="U136" t="s">
        <v>60</v>
      </c>
      <c r="V136">
        <v>4900</v>
      </c>
      <c r="AG136" t="s">
        <v>4713</v>
      </c>
      <c r="AH136" s="3">
        <v>42874</v>
      </c>
      <c r="AI136">
        <v>32500</v>
      </c>
      <c r="AJ136">
        <v>0</v>
      </c>
      <c r="AS136" t="s">
        <v>4693</v>
      </c>
      <c r="AT136" s="3">
        <v>42963</v>
      </c>
      <c r="AU136">
        <v>95550</v>
      </c>
      <c r="AV136">
        <v>0</v>
      </c>
      <c r="AW136">
        <v>1950</v>
      </c>
      <c r="AX136">
        <v>0</v>
      </c>
    </row>
    <row r="137" spans="1:50" x14ac:dyDescent="0.25">
      <c r="A137" t="s">
        <v>4768</v>
      </c>
      <c r="B137" s="3">
        <v>42819</v>
      </c>
      <c r="C137" t="s">
        <v>4423</v>
      </c>
      <c r="D137" t="s">
        <v>4424</v>
      </c>
      <c r="E137" t="s">
        <v>4425</v>
      </c>
      <c r="F137">
        <v>24000</v>
      </c>
      <c r="G137" t="s">
        <v>4769</v>
      </c>
      <c r="H137" s="3">
        <v>42819</v>
      </c>
      <c r="I137" t="s">
        <v>214</v>
      </c>
      <c r="J137">
        <v>20000</v>
      </c>
      <c r="K137" s="1"/>
      <c r="M137" s="3">
        <v>42822</v>
      </c>
      <c r="N137" t="s">
        <v>54</v>
      </c>
      <c r="P137" t="s">
        <v>56</v>
      </c>
      <c r="Q137">
        <v>16700</v>
      </c>
      <c r="R137" s="3">
        <v>42933</v>
      </c>
      <c r="S137" t="s">
        <v>54</v>
      </c>
      <c r="T137" t="s">
        <v>214</v>
      </c>
      <c r="U137" t="s">
        <v>60</v>
      </c>
      <c r="V137">
        <v>2950</v>
      </c>
      <c r="AG137" t="s">
        <v>4743</v>
      </c>
      <c r="AH137" s="3">
        <v>42874</v>
      </c>
      <c r="AI137">
        <v>24000</v>
      </c>
      <c r="AJ137">
        <v>0</v>
      </c>
      <c r="AS137" t="s">
        <v>4693</v>
      </c>
      <c r="AT137" s="3">
        <v>42963</v>
      </c>
      <c r="AU137">
        <v>94080</v>
      </c>
      <c r="AV137">
        <v>0</v>
      </c>
      <c r="AW137">
        <v>1920</v>
      </c>
      <c r="AX137">
        <v>0</v>
      </c>
    </row>
    <row r="138" spans="1:50" x14ac:dyDescent="0.25">
      <c r="A138" t="s">
        <v>4770</v>
      </c>
      <c r="B138" s="3">
        <v>42821</v>
      </c>
      <c r="C138" t="s">
        <v>4423</v>
      </c>
      <c r="D138" t="s">
        <v>4424</v>
      </c>
      <c r="E138" t="s">
        <v>4425</v>
      </c>
      <c r="F138">
        <v>32500</v>
      </c>
      <c r="G138" t="s">
        <v>4771</v>
      </c>
      <c r="H138" s="3">
        <v>42821</v>
      </c>
      <c r="I138" t="s">
        <v>214</v>
      </c>
      <c r="J138">
        <v>28000</v>
      </c>
      <c r="K138" s="1"/>
      <c r="M138" s="3">
        <v>42822</v>
      </c>
      <c r="N138" t="s">
        <v>54</v>
      </c>
      <c r="P138" t="s">
        <v>56</v>
      </c>
      <c r="Q138">
        <v>18700</v>
      </c>
      <c r="R138" s="3">
        <v>42822</v>
      </c>
      <c r="S138" t="s">
        <v>57</v>
      </c>
      <c r="U138" t="s">
        <v>56</v>
      </c>
      <c r="V138">
        <v>4000</v>
      </c>
      <c r="W138" s="3">
        <v>42919</v>
      </c>
      <c r="X138" t="s">
        <v>54</v>
      </c>
      <c r="Y138" t="s">
        <v>214</v>
      </c>
      <c r="Z138" t="s">
        <v>60</v>
      </c>
      <c r="AA138">
        <v>4900</v>
      </c>
      <c r="AG138" t="s">
        <v>4757</v>
      </c>
      <c r="AH138" s="3">
        <v>42874</v>
      </c>
      <c r="AI138">
        <v>32500</v>
      </c>
      <c r="AJ138">
        <v>0</v>
      </c>
      <c r="AS138" t="s">
        <v>4693</v>
      </c>
      <c r="AT138" s="3">
        <v>42963</v>
      </c>
      <c r="AU138">
        <v>95550</v>
      </c>
      <c r="AV138">
        <v>0</v>
      </c>
      <c r="AW138">
        <v>1950</v>
      </c>
      <c r="AX138">
        <v>0</v>
      </c>
    </row>
    <row r="139" spans="1:50" x14ac:dyDescent="0.25">
      <c r="A139" t="s">
        <v>4772</v>
      </c>
      <c r="B139" s="3">
        <v>42821</v>
      </c>
      <c r="C139" t="s">
        <v>4459</v>
      </c>
      <c r="D139" t="s">
        <v>4437</v>
      </c>
      <c r="E139" t="s">
        <v>4425</v>
      </c>
      <c r="F139">
        <v>12000</v>
      </c>
      <c r="G139" t="s">
        <v>4773</v>
      </c>
      <c r="H139" s="3">
        <v>42821</v>
      </c>
      <c r="I139" t="s">
        <v>214</v>
      </c>
      <c r="J139">
        <v>20000</v>
      </c>
      <c r="K139" s="1"/>
      <c r="M139" s="3">
        <v>42822</v>
      </c>
      <c r="N139" t="s">
        <v>54</v>
      </c>
      <c r="P139" t="s">
        <v>56</v>
      </c>
      <c r="Q139">
        <v>16700</v>
      </c>
      <c r="R139" s="3">
        <v>42933</v>
      </c>
      <c r="S139" t="s">
        <v>54</v>
      </c>
      <c r="T139" t="s">
        <v>214</v>
      </c>
      <c r="U139" t="s">
        <v>60</v>
      </c>
      <c r="V139">
        <v>2950</v>
      </c>
      <c r="AG139" t="s">
        <v>4765</v>
      </c>
      <c r="AH139" s="3">
        <v>42874</v>
      </c>
      <c r="AI139">
        <v>12000</v>
      </c>
      <c r="AJ139">
        <v>0</v>
      </c>
      <c r="AS139" t="s">
        <v>4693</v>
      </c>
      <c r="AT139" s="3">
        <v>42963</v>
      </c>
      <c r="AU139">
        <v>47040</v>
      </c>
      <c r="AV139">
        <v>0</v>
      </c>
      <c r="AW139">
        <v>960</v>
      </c>
      <c r="AX139">
        <v>0</v>
      </c>
    </row>
    <row r="140" spans="1:50" x14ac:dyDescent="0.25">
      <c r="A140" t="s">
        <v>4774</v>
      </c>
      <c r="B140" s="3">
        <v>42821</v>
      </c>
      <c r="C140" t="s">
        <v>4626</v>
      </c>
      <c r="D140" t="s">
        <v>4437</v>
      </c>
      <c r="E140" t="s">
        <v>4425</v>
      </c>
      <c r="F140">
        <v>12000</v>
      </c>
      <c r="K140" s="1"/>
      <c r="AG140" t="s">
        <v>4765</v>
      </c>
      <c r="AH140" s="3">
        <v>42874</v>
      </c>
      <c r="AI140">
        <v>12000</v>
      </c>
      <c r="AJ140">
        <v>0</v>
      </c>
      <c r="AS140" t="s">
        <v>4693</v>
      </c>
      <c r="AT140" s="3">
        <v>42963</v>
      </c>
      <c r="AU140">
        <v>47040</v>
      </c>
      <c r="AV140">
        <v>0</v>
      </c>
      <c r="AW140">
        <v>960</v>
      </c>
      <c r="AX140">
        <v>0</v>
      </c>
    </row>
    <row r="141" spans="1:50" x14ac:dyDescent="0.25">
      <c r="A141" t="s">
        <v>4775</v>
      </c>
      <c r="B141" s="3">
        <v>42822</v>
      </c>
      <c r="C141" t="s">
        <v>4423</v>
      </c>
      <c r="D141" t="s">
        <v>4424</v>
      </c>
      <c r="E141" t="s">
        <v>4425</v>
      </c>
      <c r="F141">
        <v>32500</v>
      </c>
      <c r="G141" t="s">
        <v>4776</v>
      </c>
      <c r="H141" s="3">
        <v>42822</v>
      </c>
      <c r="I141" t="s">
        <v>214</v>
      </c>
      <c r="J141">
        <v>28000</v>
      </c>
      <c r="K141" s="1"/>
      <c r="M141" s="3">
        <v>42825</v>
      </c>
      <c r="N141" t="s">
        <v>54</v>
      </c>
      <c r="P141" t="s">
        <v>56</v>
      </c>
      <c r="Q141">
        <v>22700</v>
      </c>
      <c r="R141" s="3">
        <v>42919</v>
      </c>
      <c r="S141" t="s">
        <v>54</v>
      </c>
      <c r="T141" t="s">
        <v>214</v>
      </c>
      <c r="U141" t="s">
        <v>60</v>
      </c>
      <c r="V141">
        <v>4900</v>
      </c>
      <c r="AG141" t="s">
        <v>4757</v>
      </c>
      <c r="AH141" s="3">
        <v>42874</v>
      </c>
      <c r="AI141">
        <v>32500</v>
      </c>
      <c r="AJ141">
        <v>0</v>
      </c>
      <c r="AS141" t="s">
        <v>4693</v>
      </c>
      <c r="AT141" s="3">
        <v>42963</v>
      </c>
      <c r="AU141">
        <v>95550</v>
      </c>
      <c r="AV141">
        <v>0</v>
      </c>
      <c r="AW141">
        <v>1950</v>
      </c>
      <c r="AX141">
        <v>0</v>
      </c>
    </row>
    <row r="142" spans="1:50" x14ac:dyDescent="0.25">
      <c r="A142" t="s">
        <v>4777</v>
      </c>
      <c r="B142" s="3">
        <v>42822</v>
      </c>
      <c r="C142" t="s">
        <v>4459</v>
      </c>
      <c r="D142" t="s">
        <v>4437</v>
      </c>
      <c r="E142" t="s">
        <v>4425</v>
      </c>
      <c r="F142">
        <v>32500</v>
      </c>
      <c r="G142" t="s">
        <v>4778</v>
      </c>
      <c r="H142" s="3">
        <v>42822</v>
      </c>
      <c r="I142" t="s">
        <v>214</v>
      </c>
      <c r="J142">
        <v>28000</v>
      </c>
      <c r="K142" s="1"/>
      <c r="M142" s="3">
        <v>42825</v>
      </c>
      <c r="N142" t="s">
        <v>54</v>
      </c>
      <c r="P142" t="s">
        <v>56</v>
      </c>
      <c r="Q142">
        <v>22700</v>
      </c>
      <c r="R142" s="3">
        <v>42933</v>
      </c>
      <c r="S142" t="s">
        <v>54</v>
      </c>
      <c r="T142" t="s">
        <v>214</v>
      </c>
      <c r="U142" t="s">
        <v>60</v>
      </c>
      <c r="V142">
        <v>4900</v>
      </c>
      <c r="AG142" t="s">
        <v>4713</v>
      </c>
      <c r="AH142" s="3">
        <v>42874</v>
      </c>
      <c r="AI142">
        <v>32500</v>
      </c>
      <c r="AJ142">
        <v>0</v>
      </c>
      <c r="AS142" t="s">
        <v>4693</v>
      </c>
      <c r="AT142" s="3">
        <v>42963</v>
      </c>
      <c r="AU142">
        <v>95550</v>
      </c>
      <c r="AV142">
        <v>0</v>
      </c>
      <c r="AW142">
        <v>1950</v>
      </c>
      <c r="AX142">
        <v>0</v>
      </c>
    </row>
    <row r="143" spans="1:50" x14ac:dyDescent="0.25">
      <c r="A143" t="s">
        <v>4779</v>
      </c>
      <c r="B143" s="3">
        <v>42823</v>
      </c>
      <c r="C143" t="s">
        <v>4423</v>
      </c>
      <c r="D143" t="s">
        <v>4424</v>
      </c>
      <c r="E143" t="s">
        <v>4425</v>
      </c>
      <c r="F143">
        <v>24000</v>
      </c>
      <c r="G143" t="s">
        <v>4780</v>
      </c>
      <c r="H143" s="3">
        <v>42823</v>
      </c>
      <c r="I143" t="s">
        <v>214</v>
      </c>
      <c r="J143">
        <v>20000</v>
      </c>
      <c r="K143" s="1"/>
      <c r="M143" s="3">
        <v>42825</v>
      </c>
      <c r="N143" t="s">
        <v>54</v>
      </c>
      <c r="P143" t="s">
        <v>56</v>
      </c>
      <c r="Q143">
        <v>14700</v>
      </c>
      <c r="R143" s="3">
        <v>42825</v>
      </c>
      <c r="S143" t="s">
        <v>57</v>
      </c>
      <c r="U143" t="s">
        <v>56</v>
      </c>
      <c r="V143">
        <v>2000</v>
      </c>
      <c r="W143" s="3">
        <v>42933</v>
      </c>
      <c r="X143" t="s">
        <v>54</v>
      </c>
      <c r="Y143" t="s">
        <v>214</v>
      </c>
      <c r="Z143" t="s">
        <v>60</v>
      </c>
      <c r="AA143">
        <v>2950</v>
      </c>
      <c r="AG143" t="s">
        <v>4743</v>
      </c>
      <c r="AH143" s="3">
        <v>42874</v>
      </c>
      <c r="AI143">
        <v>24000</v>
      </c>
      <c r="AJ143">
        <v>0</v>
      </c>
      <c r="AS143" t="s">
        <v>4693</v>
      </c>
      <c r="AT143" s="3">
        <v>42963</v>
      </c>
      <c r="AU143">
        <v>94080</v>
      </c>
      <c r="AV143">
        <v>0</v>
      </c>
      <c r="AW143">
        <v>1920</v>
      </c>
      <c r="AX143">
        <v>0</v>
      </c>
    </row>
    <row r="144" spans="1:50" x14ac:dyDescent="0.25">
      <c r="A144" t="s">
        <v>4781</v>
      </c>
      <c r="B144" s="3">
        <v>42826</v>
      </c>
      <c r="C144" t="s">
        <v>4423</v>
      </c>
      <c r="D144" t="s">
        <v>4610</v>
      </c>
      <c r="E144" t="s">
        <v>4425</v>
      </c>
      <c r="F144">
        <v>24000</v>
      </c>
      <c r="G144" t="s">
        <v>4782</v>
      </c>
      <c r="H144" s="3">
        <v>42826</v>
      </c>
      <c r="I144" t="s">
        <v>214</v>
      </c>
      <c r="J144">
        <v>20000</v>
      </c>
      <c r="K144" s="1"/>
      <c r="M144" s="3">
        <v>42829</v>
      </c>
      <c r="N144" t="s">
        <v>54</v>
      </c>
      <c r="O144" t="s">
        <v>1546</v>
      </c>
      <c r="P144" t="s">
        <v>56</v>
      </c>
      <c r="Q144">
        <v>16700</v>
      </c>
      <c r="R144" s="3">
        <v>42944</v>
      </c>
      <c r="S144" t="s">
        <v>54</v>
      </c>
      <c r="T144" t="s">
        <v>4783</v>
      </c>
      <c r="U144" t="s">
        <v>60</v>
      </c>
      <c r="V144">
        <v>2950</v>
      </c>
      <c r="AG144" t="s">
        <v>4784</v>
      </c>
      <c r="AH144" s="3">
        <v>42894</v>
      </c>
      <c r="AI144">
        <v>24000</v>
      </c>
      <c r="AJ144">
        <v>0</v>
      </c>
      <c r="AS144" t="s">
        <v>4699</v>
      </c>
      <c r="AT144" s="3">
        <v>43069</v>
      </c>
      <c r="AU144">
        <v>337610</v>
      </c>
      <c r="AV144">
        <v>0</v>
      </c>
      <c r="AW144">
        <v>6890</v>
      </c>
      <c r="AX144">
        <v>0</v>
      </c>
    </row>
    <row r="145" spans="1:50" x14ac:dyDescent="0.25">
      <c r="A145" t="s">
        <v>4785</v>
      </c>
      <c r="B145" s="3">
        <v>42828</v>
      </c>
      <c r="C145" t="s">
        <v>4423</v>
      </c>
      <c r="D145" t="s">
        <v>4786</v>
      </c>
      <c r="E145" t="s">
        <v>4425</v>
      </c>
      <c r="F145">
        <v>25500</v>
      </c>
      <c r="G145" t="s">
        <v>4787</v>
      </c>
      <c r="H145" s="3">
        <v>42828</v>
      </c>
      <c r="I145" t="s">
        <v>214</v>
      </c>
      <c r="J145">
        <v>20000</v>
      </c>
      <c r="K145" s="1"/>
      <c r="M145" s="3">
        <v>42829</v>
      </c>
      <c r="N145" t="s">
        <v>54</v>
      </c>
      <c r="O145" t="s">
        <v>1546</v>
      </c>
      <c r="P145" t="s">
        <v>56</v>
      </c>
      <c r="Q145">
        <v>16700</v>
      </c>
      <c r="R145" s="3">
        <v>42944</v>
      </c>
      <c r="S145" t="s">
        <v>54</v>
      </c>
      <c r="T145" t="s">
        <v>4783</v>
      </c>
      <c r="U145" t="s">
        <v>60</v>
      </c>
      <c r="V145">
        <v>2950</v>
      </c>
      <c r="AG145" t="s">
        <v>4788</v>
      </c>
      <c r="AH145" s="3">
        <v>42885</v>
      </c>
      <c r="AI145">
        <v>25500</v>
      </c>
      <c r="AJ145">
        <v>0</v>
      </c>
      <c r="AS145" t="s">
        <v>4789</v>
      </c>
      <c r="AT145" s="3">
        <v>43501</v>
      </c>
      <c r="AU145">
        <v>157000</v>
      </c>
      <c r="AV145">
        <v>0</v>
      </c>
      <c r="AW145">
        <v>0</v>
      </c>
      <c r="AX145">
        <v>0</v>
      </c>
    </row>
    <row r="146" spans="1:50" x14ac:dyDescent="0.25">
      <c r="A146" t="s">
        <v>4790</v>
      </c>
      <c r="B146" s="3">
        <v>42828</v>
      </c>
      <c r="C146" t="s">
        <v>4423</v>
      </c>
      <c r="D146" t="s">
        <v>4791</v>
      </c>
      <c r="E146" t="s">
        <v>4425</v>
      </c>
      <c r="F146">
        <v>7000</v>
      </c>
      <c r="G146" t="s">
        <v>4792</v>
      </c>
      <c r="H146" s="3">
        <v>42828</v>
      </c>
      <c r="I146" t="s">
        <v>4793</v>
      </c>
      <c r="J146">
        <v>5200</v>
      </c>
      <c r="K146" s="1"/>
      <c r="M146" s="3">
        <v>42835</v>
      </c>
      <c r="N146" t="s">
        <v>54</v>
      </c>
      <c r="O146" t="s">
        <v>1580</v>
      </c>
      <c r="P146" t="s">
        <v>60</v>
      </c>
      <c r="Q146">
        <v>5000</v>
      </c>
      <c r="AG146" t="s">
        <v>4794</v>
      </c>
      <c r="AH146" s="3">
        <v>42885</v>
      </c>
      <c r="AI146">
        <v>7000</v>
      </c>
      <c r="AJ146">
        <v>20500</v>
      </c>
    </row>
    <row r="147" spans="1:50" x14ac:dyDescent="0.25">
      <c r="A147" t="s">
        <v>4795</v>
      </c>
      <c r="B147" s="3">
        <v>42829</v>
      </c>
      <c r="C147" t="s">
        <v>4459</v>
      </c>
      <c r="D147" t="s">
        <v>4437</v>
      </c>
      <c r="E147" t="s">
        <v>4425</v>
      </c>
      <c r="F147">
        <v>24000</v>
      </c>
      <c r="G147" t="s">
        <v>4796</v>
      </c>
      <c r="H147" s="3">
        <v>42829</v>
      </c>
      <c r="I147" t="s">
        <v>214</v>
      </c>
      <c r="J147">
        <v>20000</v>
      </c>
      <c r="K147" s="1"/>
      <c r="M147" s="3">
        <v>42831</v>
      </c>
      <c r="N147" t="s">
        <v>54</v>
      </c>
      <c r="O147" t="s">
        <v>1546</v>
      </c>
      <c r="P147" t="s">
        <v>56</v>
      </c>
      <c r="Q147">
        <v>16700</v>
      </c>
      <c r="R147" s="3">
        <v>42944</v>
      </c>
      <c r="S147" t="s">
        <v>54</v>
      </c>
      <c r="T147" t="s">
        <v>4783</v>
      </c>
      <c r="U147" t="s">
        <v>60</v>
      </c>
      <c r="V147">
        <v>2950</v>
      </c>
      <c r="AG147" t="s">
        <v>4784</v>
      </c>
      <c r="AH147" s="3">
        <v>42894</v>
      </c>
      <c r="AI147">
        <v>24000</v>
      </c>
      <c r="AJ147">
        <v>0</v>
      </c>
      <c r="AS147" t="s">
        <v>4699</v>
      </c>
      <c r="AT147" s="3">
        <v>43069</v>
      </c>
      <c r="AU147">
        <v>337610</v>
      </c>
      <c r="AV147">
        <v>0</v>
      </c>
      <c r="AW147">
        <v>6890</v>
      </c>
      <c r="AX147">
        <v>0</v>
      </c>
    </row>
    <row r="148" spans="1:50" x14ac:dyDescent="0.25">
      <c r="A148" t="s">
        <v>4797</v>
      </c>
      <c r="B148" s="3">
        <v>42829</v>
      </c>
      <c r="C148" t="s">
        <v>4459</v>
      </c>
      <c r="D148" t="s">
        <v>4437</v>
      </c>
      <c r="E148" t="s">
        <v>4425</v>
      </c>
      <c r="F148">
        <v>32500</v>
      </c>
      <c r="G148" t="s">
        <v>4798</v>
      </c>
      <c r="H148" s="3">
        <v>42829</v>
      </c>
      <c r="I148" t="s">
        <v>214</v>
      </c>
      <c r="J148">
        <v>28000</v>
      </c>
      <c r="K148" s="1"/>
      <c r="M148" s="3">
        <v>42831</v>
      </c>
      <c r="N148" t="s">
        <v>54</v>
      </c>
      <c r="O148" t="s">
        <v>1546</v>
      </c>
      <c r="P148" t="s">
        <v>56</v>
      </c>
      <c r="Q148">
        <v>22700</v>
      </c>
      <c r="R148" s="3">
        <v>42944</v>
      </c>
      <c r="S148" t="s">
        <v>54</v>
      </c>
      <c r="T148" t="s">
        <v>4783</v>
      </c>
      <c r="U148" t="s">
        <v>60</v>
      </c>
      <c r="V148">
        <v>4900</v>
      </c>
      <c r="AG148" t="s">
        <v>4799</v>
      </c>
      <c r="AH148" s="3">
        <v>42894</v>
      </c>
      <c r="AI148">
        <v>32500</v>
      </c>
      <c r="AJ148">
        <v>0</v>
      </c>
      <c r="AS148" t="s">
        <v>4693</v>
      </c>
      <c r="AT148" s="3">
        <v>42963</v>
      </c>
      <c r="AU148">
        <v>477750</v>
      </c>
      <c r="AV148">
        <v>0</v>
      </c>
      <c r="AW148">
        <v>9750</v>
      </c>
      <c r="AX148">
        <v>0</v>
      </c>
    </row>
    <row r="149" spans="1:50" x14ac:dyDescent="0.25">
      <c r="A149" t="s">
        <v>4800</v>
      </c>
      <c r="B149" s="3">
        <v>42830</v>
      </c>
      <c r="C149" t="s">
        <v>4423</v>
      </c>
      <c r="D149" t="s">
        <v>4424</v>
      </c>
      <c r="E149" t="s">
        <v>4425</v>
      </c>
      <c r="F149">
        <v>32500</v>
      </c>
      <c r="G149" t="s">
        <v>4801</v>
      </c>
      <c r="H149" s="3">
        <v>42830</v>
      </c>
      <c r="I149" t="s">
        <v>214</v>
      </c>
      <c r="J149">
        <v>28000</v>
      </c>
      <c r="K149" s="1"/>
      <c r="M149" s="3">
        <v>42831</v>
      </c>
      <c r="N149" t="s">
        <v>54</v>
      </c>
      <c r="O149" t="s">
        <v>1546</v>
      </c>
      <c r="P149" t="s">
        <v>56</v>
      </c>
      <c r="Q149">
        <v>22700</v>
      </c>
      <c r="R149" s="3">
        <v>42944</v>
      </c>
      <c r="S149" t="s">
        <v>54</v>
      </c>
      <c r="T149" t="s">
        <v>4783</v>
      </c>
      <c r="U149" t="s">
        <v>60</v>
      </c>
      <c r="V149">
        <v>4900</v>
      </c>
      <c r="AG149" t="s">
        <v>4802</v>
      </c>
      <c r="AH149" s="3">
        <v>42885</v>
      </c>
      <c r="AI149">
        <v>32500</v>
      </c>
      <c r="AJ149">
        <v>0</v>
      </c>
      <c r="AS149" t="s">
        <v>4699</v>
      </c>
      <c r="AT149" s="3">
        <v>43069</v>
      </c>
      <c r="AU149">
        <v>127400</v>
      </c>
      <c r="AV149">
        <v>0</v>
      </c>
      <c r="AW149">
        <v>2600</v>
      </c>
      <c r="AX149">
        <v>0</v>
      </c>
    </row>
    <row r="150" spans="1:50" x14ac:dyDescent="0.25">
      <c r="A150" t="s">
        <v>4803</v>
      </c>
      <c r="B150" s="3">
        <v>42830</v>
      </c>
      <c r="C150" t="s">
        <v>4423</v>
      </c>
      <c r="D150" t="s">
        <v>4424</v>
      </c>
      <c r="E150" t="s">
        <v>4425</v>
      </c>
      <c r="F150">
        <v>24000</v>
      </c>
      <c r="G150" t="s">
        <v>4804</v>
      </c>
      <c r="H150" s="3">
        <v>42830</v>
      </c>
      <c r="I150" t="s">
        <v>214</v>
      </c>
      <c r="J150">
        <v>20000</v>
      </c>
      <c r="K150" s="1"/>
      <c r="M150" s="3">
        <v>42831</v>
      </c>
      <c r="N150" t="s">
        <v>54</v>
      </c>
      <c r="O150" t="s">
        <v>1546</v>
      </c>
      <c r="P150" t="s">
        <v>56</v>
      </c>
      <c r="Q150">
        <v>16700</v>
      </c>
      <c r="R150" s="3">
        <v>42944</v>
      </c>
      <c r="S150" t="s">
        <v>54</v>
      </c>
      <c r="T150" t="s">
        <v>4783</v>
      </c>
      <c r="U150" t="s">
        <v>60</v>
      </c>
      <c r="V150">
        <v>2950</v>
      </c>
      <c r="AG150" t="s">
        <v>4784</v>
      </c>
      <c r="AH150" s="3">
        <v>42894</v>
      </c>
      <c r="AI150">
        <v>24000</v>
      </c>
      <c r="AJ150">
        <v>0</v>
      </c>
      <c r="AS150" t="s">
        <v>4699</v>
      </c>
      <c r="AT150" s="3">
        <v>43069</v>
      </c>
      <c r="AU150">
        <v>337610</v>
      </c>
      <c r="AV150">
        <v>0</v>
      </c>
      <c r="AW150">
        <v>6890</v>
      </c>
      <c r="AX150">
        <v>0</v>
      </c>
    </row>
    <row r="151" spans="1:50" x14ac:dyDescent="0.25">
      <c r="A151" t="s">
        <v>4805</v>
      </c>
      <c r="B151" s="3">
        <v>42831</v>
      </c>
      <c r="C151" t="s">
        <v>4459</v>
      </c>
      <c r="D151" t="s">
        <v>4437</v>
      </c>
      <c r="E151" t="s">
        <v>4425</v>
      </c>
      <c r="F151">
        <v>24000</v>
      </c>
      <c r="G151" t="s">
        <v>4806</v>
      </c>
      <c r="H151" s="3">
        <v>42831</v>
      </c>
      <c r="I151" t="s">
        <v>214</v>
      </c>
      <c r="J151">
        <v>20000</v>
      </c>
      <c r="K151" s="1"/>
      <c r="M151" s="3">
        <v>42835</v>
      </c>
      <c r="N151" t="s">
        <v>54</v>
      </c>
      <c r="O151" t="s">
        <v>1546</v>
      </c>
      <c r="P151" t="s">
        <v>56</v>
      </c>
      <c r="Q151">
        <v>16700</v>
      </c>
      <c r="R151" s="3">
        <v>42966</v>
      </c>
      <c r="S151" t="s">
        <v>54</v>
      </c>
      <c r="U151" t="s">
        <v>60</v>
      </c>
      <c r="V151">
        <v>2950</v>
      </c>
      <c r="AG151" t="s">
        <v>4784</v>
      </c>
      <c r="AH151" s="3">
        <v>42894</v>
      </c>
      <c r="AI151">
        <v>24000</v>
      </c>
      <c r="AJ151">
        <v>0</v>
      </c>
      <c r="AS151" t="s">
        <v>4699</v>
      </c>
      <c r="AT151" s="3">
        <v>43069</v>
      </c>
      <c r="AU151">
        <v>337610</v>
      </c>
      <c r="AV151">
        <v>0</v>
      </c>
      <c r="AW151">
        <v>6890</v>
      </c>
      <c r="AX151">
        <v>0</v>
      </c>
    </row>
    <row r="152" spans="1:50" x14ac:dyDescent="0.25">
      <c r="A152" t="s">
        <v>4807</v>
      </c>
      <c r="B152" s="3">
        <v>42832</v>
      </c>
      <c r="C152" t="s">
        <v>4459</v>
      </c>
      <c r="D152" t="s">
        <v>4437</v>
      </c>
      <c r="E152" t="s">
        <v>4425</v>
      </c>
      <c r="F152">
        <v>32500</v>
      </c>
      <c r="G152" t="s">
        <v>4808</v>
      </c>
      <c r="H152" s="3">
        <v>42832</v>
      </c>
      <c r="I152" t="s">
        <v>214</v>
      </c>
      <c r="J152">
        <v>28000</v>
      </c>
      <c r="K152" s="1"/>
      <c r="M152" s="3">
        <v>42838</v>
      </c>
      <c r="N152" t="s">
        <v>54</v>
      </c>
      <c r="O152" t="s">
        <v>1546</v>
      </c>
      <c r="P152" t="s">
        <v>56</v>
      </c>
      <c r="Q152">
        <v>22700</v>
      </c>
      <c r="R152" s="3">
        <v>42947</v>
      </c>
      <c r="S152" t="s">
        <v>54</v>
      </c>
      <c r="T152" t="s">
        <v>4809</v>
      </c>
      <c r="U152" t="s">
        <v>60</v>
      </c>
      <c r="V152">
        <v>4900</v>
      </c>
      <c r="AG152" t="s">
        <v>4799</v>
      </c>
      <c r="AH152" s="3">
        <v>42894</v>
      </c>
      <c r="AI152">
        <v>32500</v>
      </c>
      <c r="AJ152">
        <v>0</v>
      </c>
      <c r="AS152" t="s">
        <v>4693</v>
      </c>
      <c r="AT152" s="3">
        <v>42963</v>
      </c>
      <c r="AU152">
        <v>477750</v>
      </c>
      <c r="AV152">
        <v>0</v>
      </c>
      <c r="AW152">
        <v>9750</v>
      </c>
      <c r="AX152">
        <v>0</v>
      </c>
    </row>
    <row r="153" spans="1:50" x14ac:dyDescent="0.25">
      <c r="A153" t="s">
        <v>4810</v>
      </c>
      <c r="B153" s="3">
        <v>42832</v>
      </c>
      <c r="C153" t="s">
        <v>4423</v>
      </c>
      <c r="D153" t="s">
        <v>4599</v>
      </c>
      <c r="E153" t="s">
        <v>4425</v>
      </c>
      <c r="F153">
        <v>25500</v>
      </c>
      <c r="G153" t="s">
        <v>4811</v>
      </c>
      <c r="H153" s="3">
        <v>42832</v>
      </c>
      <c r="I153" t="s">
        <v>214</v>
      </c>
      <c r="J153">
        <v>23000</v>
      </c>
      <c r="K153" s="1"/>
      <c r="M153" s="3">
        <v>42835</v>
      </c>
      <c r="N153" t="s">
        <v>54</v>
      </c>
      <c r="O153" t="s">
        <v>1546</v>
      </c>
      <c r="P153" t="s">
        <v>56</v>
      </c>
      <c r="Q153">
        <v>17700</v>
      </c>
      <c r="R153" s="3">
        <v>42944</v>
      </c>
      <c r="S153" t="s">
        <v>54</v>
      </c>
      <c r="T153" t="s">
        <v>4783</v>
      </c>
      <c r="U153" t="s">
        <v>60</v>
      </c>
      <c r="V153">
        <v>4900</v>
      </c>
      <c r="AG153" t="s">
        <v>4788</v>
      </c>
      <c r="AH153" s="3">
        <v>42885</v>
      </c>
      <c r="AI153">
        <v>25500</v>
      </c>
      <c r="AJ153">
        <v>0</v>
      </c>
      <c r="AS153" t="s">
        <v>4789</v>
      </c>
      <c r="AT153" s="3">
        <v>43501</v>
      </c>
      <c r="AU153">
        <v>157000</v>
      </c>
      <c r="AV153">
        <v>0</v>
      </c>
      <c r="AW153">
        <v>0</v>
      </c>
      <c r="AX153">
        <v>0</v>
      </c>
    </row>
    <row r="154" spans="1:50" x14ac:dyDescent="0.25">
      <c r="A154" t="s">
        <v>4812</v>
      </c>
      <c r="B154" s="3">
        <v>42832</v>
      </c>
      <c r="C154" t="s">
        <v>4423</v>
      </c>
      <c r="D154" t="s">
        <v>4813</v>
      </c>
      <c r="E154" t="s">
        <v>4425</v>
      </c>
      <c r="F154">
        <v>0</v>
      </c>
      <c r="K154" s="1"/>
      <c r="AG154" t="s">
        <v>4788</v>
      </c>
      <c r="AH154" s="3">
        <v>42885</v>
      </c>
      <c r="AI154">
        <v>0</v>
      </c>
      <c r="AJ154">
        <v>0</v>
      </c>
      <c r="AS154" t="s">
        <v>4789</v>
      </c>
      <c r="AT154" s="3">
        <v>43501</v>
      </c>
      <c r="AU154">
        <v>157000</v>
      </c>
      <c r="AV154">
        <v>0</v>
      </c>
      <c r="AW154">
        <v>0</v>
      </c>
      <c r="AX154">
        <v>0</v>
      </c>
    </row>
    <row r="155" spans="1:50" x14ac:dyDescent="0.25">
      <c r="A155" t="s">
        <v>4814</v>
      </c>
      <c r="B155" s="3">
        <v>42832</v>
      </c>
      <c r="C155" t="s">
        <v>4423</v>
      </c>
      <c r="D155" t="s">
        <v>4424</v>
      </c>
      <c r="E155" t="s">
        <v>4425</v>
      </c>
      <c r="F155">
        <v>24000</v>
      </c>
      <c r="G155" t="s">
        <v>4815</v>
      </c>
      <c r="H155" s="3">
        <v>42832</v>
      </c>
      <c r="I155" t="s">
        <v>214</v>
      </c>
      <c r="J155">
        <v>20000</v>
      </c>
      <c r="K155" s="1"/>
      <c r="M155" s="3">
        <v>42835</v>
      </c>
      <c r="N155" t="s">
        <v>54</v>
      </c>
      <c r="O155" t="s">
        <v>1546</v>
      </c>
      <c r="P155" t="s">
        <v>56</v>
      </c>
      <c r="Q155">
        <v>16700</v>
      </c>
      <c r="R155" s="3">
        <v>42944</v>
      </c>
      <c r="S155" t="s">
        <v>54</v>
      </c>
      <c r="T155" t="s">
        <v>4783</v>
      </c>
      <c r="U155" t="s">
        <v>60</v>
      </c>
      <c r="V155">
        <v>2950</v>
      </c>
      <c r="AG155" t="s">
        <v>4784</v>
      </c>
      <c r="AH155" s="3">
        <v>42894</v>
      </c>
      <c r="AI155">
        <v>24000</v>
      </c>
      <c r="AJ155">
        <v>0</v>
      </c>
      <c r="AS155" t="s">
        <v>4699</v>
      </c>
      <c r="AT155" s="3">
        <v>43069</v>
      </c>
      <c r="AU155">
        <v>337610</v>
      </c>
      <c r="AV155">
        <v>0</v>
      </c>
      <c r="AW155">
        <v>6890</v>
      </c>
      <c r="AX155">
        <v>0</v>
      </c>
    </row>
    <row r="156" spans="1:50" x14ac:dyDescent="0.25">
      <c r="A156" t="s">
        <v>4816</v>
      </c>
      <c r="B156" s="3">
        <v>42833</v>
      </c>
      <c r="C156" t="s">
        <v>4423</v>
      </c>
      <c r="D156" t="s">
        <v>4424</v>
      </c>
      <c r="E156" t="s">
        <v>4425</v>
      </c>
      <c r="F156">
        <v>32500</v>
      </c>
      <c r="G156" t="s">
        <v>4817</v>
      </c>
      <c r="H156" s="3">
        <v>42833</v>
      </c>
      <c r="I156" t="s">
        <v>214</v>
      </c>
      <c r="J156">
        <v>28000</v>
      </c>
      <c r="K156" s="1"/>
      <c r="M156" s="3">
        <v>42835</v>
      </c>
      <c r="N156" t="s">
        <v>54</v>
      </c>
      <c r="O156" t="s">
        <v>1546</v>
      </c>
      <c r="P156" t="s">
        <v>56</v>
      </c>
      <c r="Q156">
        <v>16700</v>
      </c>
      <c r="R156" s="3">
        <v>42835</v>
      </c>
      <c r="S156" t="s">
        <v>57</v>
      </c>
      <c r="U156" t="s">
        <v>56</v>
      </c>
      <c r="V156">
        <v>6000</v>
      </c>
      <c r="W156" s="3">
        <v>42966</v>
      </c>
      <c r="X156" t="s">
        <v>54</v>
      </c>
      <c r="Z156" t="s">
        <v>60</v>
      </c>
      <c r="AA156">
        <v>4900</v>
      </c>
      <c r="AG156" t="s">
        <v>4802</v>
      </c>
      <c r="AH156" s="3">
        <v>42885</v>
      </c>
      <c r="AI156">
        <v>32500</v>
      </c>
      <c r="AJ156">
        <v>0</v>
      </c>
      <c r="AS156" t="s">
        <v>4699</v>
      </c>
      <c r="AT156" s="3">
        <v>43069</v>
      </c>
      <c r="AU156">
        <v>127400</v>
      </c>
      <c r="AV156">
        <v>0</v>
      </c>
      <c r="AW156">
        <v>2600</v>
      </c>
      <c r="AX156">
        <v>0</v>
      </c>
    </row>
    <row r="157" spans="1:50" x14ac:dyDescent="0.25">
      <c r="A157" t="s">
        <v>4818</v>
      </c>
      <c r="B157" s="3">
        <v>42833</v>
      </c>
      <c r="C157" t="s">
        <v>4459</v>
      </c>
      <c r="D157" t="s">
        <v>4437</v>
      </c>
      <c r="E157" t="s">
        <v>4425</v>
      </c>
      <c r="F157">
        <v>24000</v>
      </c>
      <c r="G157" t="s">
        <v>4819</v>
      </c>
      <c r="H157" s="3">
        <v>42833</v>
      </c>
      <c r="I157" t="s">
        <v>214</v>
      </c>
      <c r="J157">
        <v>20000</v>
      </c>
      <c r="K157" s="1"/>
      <c r="M157" s="3">
        <v>42835</v>
      </c>
      <c r="N157" t="s">
        <v>54</v>
      </c>
      <c r="O157" t="s">
        <v>1546</v>
      </c>
      <c r="P157" t="s">
        <v>56</v>
      </c>
      <c r="Q157">
        <v>16700</v>
      </c>
      <c r="R157" s="3">
        <v>42966</v>
      </c>
      <c r="S157" t="s">
        <v>54</v>
      </c>
      <c r="U157" t="s">
        <v>60</v>
      </c>
      <c r="V157">
        <v>2950</v>
      </c>
      <c r="AG157" t="s">
        <v>4784</v>
      </c>
      <c r="AH157" s="3">
        <v>42894</v>
      </c>
      <c r="AI157">
        <v>24000</v>
      </c>
      <c r="AJ157">
        <v>0</v>
      </c>
      <c r="AS157" t="s">
        <v>4699</v>
      </c>
      <c r="AT157" s="3">
        <v>43069</v>
      </c>
      <c r="AU157">
        <v>337610</v>
      </c>
      <c r="AV157">
        <v>0</v>
      </c>
      <c r="AW157">
        <v>6890</v>
      </c>
      <c r="AX157">
        <v>0</v>
      </c>
    </row>
    <row r="158" spans="1:50" x14ac:dyDescent="0.25">
      <c r="A158" t="s">
        <v>4820</v>
      </c>
      <c r="B158" s="3">
        <v>42835</v>
      </c>
      <c r="C158" t="s">
        <v>4459</v>
      </c>
      <c r="D158" t="s">
        <v>4437</v>
      </c>
      <c r="E158" t="s">
        <v>4425</v>
      </c>
      <c r="F158">
        <v>24000</v>
      </c>
      <c r="G158" t="s">
        <v>4821</v>
      </c>
      <c r="H158" s="3">
        <v>42835</v>
      </c>
      <c r="I158" t="s">
        <v>214</v>
      </c>
      <c r="J158">
        <v>20000</v>
      </c>
      <c r="K158" s="1"/>
      <c r="M158" s="3">
        <v>42840</v>
      </c>
      <c r="N158" t="s">
        <v>54</v>
      </c>
      <c r="O158" t="s">
        <v>1546</v>
      </c>
      <c r="P158" t="s">
        <v>56</v>
      </c>
      <c r="Q158">
        <v>12700</v>
      </c>
      <c r="R158" s="3">
        <v>42840</v>
      </c>
      <c r="S158" t="s">
        <v>57</v>
      </c>
      <c r="U158" t="s">
        <v>56</v>
      </c>
      <c r="V158">
        <v>4000</v>
      </c>
      <c r="W158" s="3">
        <v>42966</v>
      </c>
      <c r="X158" t="s">
        <v>54</v>
      </c>
      <c r="Z158" t="s">
        <v>60</v>
      </c>
      <c r="AA158">
        <v>2950</v>
      </c>
      <c r="AG158" t="s">
        <v>4784</v>
      </c>
      <c r="AH158" s="3">
        <v>42894</v>
      </c>
      <c r="AI158">
        <v>24000</v>
      </c>
      <c r="AJ158">
        <v>0</v>
      </c>
      <c r="AS158" t="s">
        <v>4699</v>
      </c>
      <c r="AT158" s="3">
        <v>43069</v>
      </c>
      <c r="AU158">
        <v>337610</v>
      </c>
      <c r="AV158">
        <v>0</v>
      </c>
      <c r="AW158">
        <v>6890</v>
      </c>
      <c r="AX158">
        <v>0</v>
      </c>
    </row>
    <row r="159" spans="1:50" x14ac:dyDescent="0.25">
      <c r="A159" t="s">
        <v>4822</v>
      </c>
      <c r="B159" s="3">
        <v>42835</v>
      </c>
      <c r="C159" t="s">
        <v>4423</v>
      </c>
      <c r="D159" t="s">
        <v>4424</v>
      </c>
      <c r="E159" t="s">
        <v>4425</v>
      </c>
      <c r="F159">
        <v>24000</v>
      </c>
      <c r="G159" t="s">
        <v>4823</v>
      </c>
      <c r="H159" s="3">
        <v>42835</v>
      </c>
      <c r="I159" t="s">
        <v>214</v>
      </c>
      <c r="J159">
        <v>20000</v>
      </c>
      <c r="K159" s="1"/>
      <c r="M159" s="3">
        <v>42840</v>
      </c>
      <c r="N159" t="s">
        <v>54</v>
      </c>
      <c r="O159" t="s">
        <v>1546</v>
      </c>
      <c r="P159" t="s">
        <v>56</v>
      </c>
      <c r="Q159">
        <v>16700</v>
      </c>
      <c r="R159" s="3">
        <v>42947</v>
      </c>
      <c r="S159" t="s">
        <v>54</v>
      </c>
      <c r="T159" t="s">
        <v>4809</v>
      </c>
      <c r="U159" t="s">
        <v>60</v>
      </c>
      <c r="V159">
        <v>2950</v>
      </c>
      <c r="AG159" t="s">
        <v>4784</v>
      </c>
      <c r="AH159" s="3">
        <v>42894</v>
      </c>
      <c r="AI159">
        <v>24000</v>
      </c>
      <c r="AJ159">
        <v>0</v>
      </c>
      <c r="AS159" t="s">
        <v>4699</v>
      </c>
      <c r="AT159" s="3">
        <v>43069</v>
      </c>
      <c r="AU159">
        <v>337610</v>
      </c>
      <c r="AV159">
        <v>0</v>
      </c>
      <c r="AW159">
        <v>6890</v>
      </c>
      <c r="AX159">
        <v>0</v>
      </c>
    </row>
    <row r="160" spans="1:50" x14ac:dyDescent="0.25">
      <c r="A160" t="s">
        <v>4824</v>
      </c>
      <c r="B160" s="3">
        <v>42835</v>
      </c>
      <c r="C160" t="s">
        <v>4459</v>
      </c>
      <c r="D160" t="s">
        <v>4437</v>
      </c>
      <c r="E160" t="s">
        <v>4425</v>
      </c>
      <c r="F160">
        <v>24000</v>
      </c>
      <c r="G160" t="s">
        <v>4825</v>
      </c>
      <c r="H160" s="3">
        <v>42835</v>
      </c>
      <c r="I160" t="s">
        <v>214</v>
      </c>
      <c r="J160">
        <v>20000</v>
      </c>
      <c r="K160" s="1"/>
      <c r="M160" s="3">
        <v>42840</v>
      </c>
      <c r="N160" t="s">
        <v>54</v>
      </c>
      <c r="O160" t="s">
        <v>1546</v>
      </c>
      <c r="P160" t="s">
        <v>56</v>
      </c>
      <c r="Q160">
        <v>16700</v>
      </c>
      <c r="R160" s="3">
        <v>42966</v>
      </c>
      <c r="S160" t="s">
        <v>54</v>
      </c>
      <c r="U160" t="s">
        <v>60</v>
      </c>
      <c r="V160">
        <v>2950</v>
      </c>
      <c r="AG160" t="s">
        <v>4784</v>
      </c>
      <c r="AH160" s="3">
        <v>42894</v>
      </c>
      <c r="AI160">
        <v>24000</v>
      </c>
      <c r="AJ160">
        <v>0</v>
      </c>
      <c r="AS160" t="s">
        <v>4699</v>
      </c>
      <c r="AT160" s="3">
        <v>43069</v>
      </c>
      <c r="AU160">
        <v>337610</v>
      </c>
      <c r="AV160">
        <v>0</v>
      </c>
      <c r="AW160">
        <v>6890</v>
      </c>
      <c r="AX160">
        <v>0</v>
      </c>
    </row>
    <row r="161" spans="1:50" x14ac:dyDescent="0.25">
      <c r="A161" t="s">
        <v>4826</v>
      </c>
      <c r="B161" s="3">
        <v>42836</v>
      </c>
      <c r="C161" t="s">
        <v>4423</v>
      </c>
      <c r="D161" t="s">
        <v>4424</v>
      </c>
      <c r="E161" t="s">
        <v>4425</v>
      </c>
      <c r="F161">
        <v>32500</v>
      </c>
      <c r="G161" t="s">
        <v>4827</v>
      </c>
      <c r="H161" s="3">
        <v>42836</v>
      </c>
      <c r="I161" t="s">
        <v>214</v>
      </c>
      <c r="J161">
        <v>28000</v>
      </c>
      <c r="K161" s="1"/>
      <c r="M161" s="3">
        <v>42838</v>
      </c>
      <c r="N161" t="s">
        <v>54</v>
      </c>
      <c r="O161" t="s">
        <v>1546</v>
      </c>
      <c r="P161" t="s">
        <v>56</v>
      </c>
      <c r="Q161">
        <v>22700</v>
      </c>
      <c r="R161" s="3">
        <v>42966</v>
      </c>
      <c r="S161" t="s">
        <v>54</v>
      </c>
      <c r="U161" t="s">
        <v>60</v>
      </c>
      <c r="V161">
        <v>4900</v>
      </c>
      <c r="AG161" t="s">
        <v>4799</v>
      </c>
      <c r="AH161" s="3">
        <v>42894</v>
      </c>
      <c r="AI161">
        <v>32500</v>
      </c>
      <c r="AJ161">
        <v>0</v>
      </c>
      <c r="AS161" t="s">
        <v>4693</v>
      </c>
      <c r="AT161" s="3">
        <v>42963</v>
      </c>
      <c r="AU161">
        <v>477750</v>
      </c>
      <c r="AV161">
        <v>0</v>
      </c>
      <c r="AW161">
        <v>9750</v>
      </c>
      <c r="AX161">
        <v>0</v>
      </c>
    </row>
    <row r="162" spans="1:50" x14ac:dyDescent="0.25">
      <c r="A162" t="s">
        <v>4828</v>
      </c>
      <c r="B162" s="3">
        <v>42837</v>
      </c>
      <c r="C162" t="s">
        <v>4626</v>
      </c>
      <c r="D162" t="s">
        <v>4424</v>
      </c>
      <c r="E162" t="s">
        <v>4425</v>
      </c>
      <c r="F162">
        <v>11000</v>
      </c>
      <c r="G162" t="s">
        <v>4829</v>
      </c>
      <c r="H162" s="3">
        <v>42837</v>
      </c>
      <c r="I162" t="s">
        <v>214</v>
      </c>
      <c r="J162">
        <v>10000</v>
      </c>
      <c r="K162" s="1"/>
      <c r="M162" s="3">
        <v>42944</v>
      </c>
      <c r="N162" t="s">
        <v>54</v>
      </c>
      <c r="O162" t="s">
        <v>4783</v>
      </c>
      <c r="P162" t="s">
        <v>60</v>
      </c>
      <c r="Q162">
        <v>9800</v>
      </c>
      <c r="AG162" t="s">
        <v>4830</v>
      </c>
      <c r="AH162" s="3">
        <v>42857</v>
      </c>
      <c r="AI162">
        <v>11000</v>
      </c>
      <c r="AJ162">
        <v>0</v>
      </c>
      <c r="AS162" t="s">
        <v>4693</v>
      </c>
      <c r="AT162" s="3">
        <v>42963</v>
      </c>
      <c r="AU162">
        <v>10780</v>
      </c>
      <c r="AV162">
        <v>0</v>
      </c>
      <c r="AW162">
        <v>220</v>
      </c>
      <c r="AX162">
        <v>0</v>
      </c>
    </row>
    <row r="163" spans="1:50" x14ac:dyDescent="0.25">
      <c r="A163" t="s">
        <v>4831</v>
      </c>
      <c r="B163" s="3">
        <v>42837</v>
      </c>
      <c r="C163" t="s">
        <v>4423</v>
      </c>
      <c r="D163" t="s">
        <v>4424</v>
      </c>
      <c r="E163" t="s">
        <v>4425</v>
      </c>
      <c r="F163">
        <v>32500</v>
      </c>
      <c r="G163" t="s">
        <v>4832</v>
      </c>
      <c r="H163" s="3">
        <v>42837</v>
      </c>
      <c r="I163" t="s">
        <v>214</v>
      </c>
      <c r="J163">
        <v>28000</v>
      </c>
      <c r="K163" s="1"/>
      <c r="M163" s="3">
        <v>42840</v>
      </c>
      <c r="N163" t="s">
        <v>54</v>
      </c>
      <c r="O163" t="s">
        <v>1546</v>
      </c>
      <c r="P163" t="s">
        <v>56</v>
      </c>
      <c r="Q163">
        <v>22700</v>
      </c>
      <c r="R163" s="3">
        <v>42944</v>
      </c>
      <c r="S163" t="s">
        <v>54</v>
      </c>
      <c r="T163" t="s">
        <v>4783</v>
      </c>
      <c r="U163" t="s">
        <v>60</v>
      </c>
      <c r="V163">
        <v>4900</v>
      </c>
      <c r="AG163" t="s">
        <v>4802</v>
      </c>
      <c r="AH163" s="3">
        <v>42885</v>
      </c>
      <c r="AI163">
        <v>32500</v>
      </c>
      <c r="AJ163">
        <v>0</v>
      </c>
      <c r="AS163" t="s">
        <v>4699</v>
      </c>
      <c r="AT163" s="3">
        <v>43069</v>
      </c>
      <c r="AU163">
        <v>127400</v>
      </c>
      <c r="AV163">
        <v>0</v>
      </c>
      <c r="AW163">
        <v>2600</v>
      </c>
      <c r="AX163">
        <v>0</v>
      </c>
    </row>
    <row r="164" spans="1:50" x14ac:dyDescent="0.25">
      <c r="A164" t="s">
        <v>4833</v>
      </c>
      <c r="B164" s="3">
        <v>42837</v>
      </c>
      <c r="C164" t="s">
        <v>4626</v>
      </c>
      <c r="D164" t="s">
        <v>4437</v>
      </c>
      <c r="E164" t="s">
        <v>4425</v>
      </c>
      <c r="F164">
        <v>24000</v>
      </c>
      <c r="G164" t="s">
        <v>4834</v>
      </c>
      <c r="H164" s="3">
        <v>42837</v>
      </c>
      <c r="I164" t="s">
        <v>214</v>
      </c>
      <c r="J164">
        <v>20000</v>
      </c>
      <c r="K164" s="1"/>
      <c r="M164" s="3">
        <v>42840</v>
      </c>
      <c r="N164" t="s">
        <v>54</v>
      </c>
      <c r="O164" t="s">
        <v>1546</v>
      </c>
      <c r="P164" t="s">
        <v>56</v>
      </c>
      <c r="Q164">
        <v>12700</v>
      </c>
      <c r="R164" s="3">
        <v>42840</v>
      </c>
      <c r="S164" t="s">
        <v>57</v>
      </c>
      <c r="U164" t="s">
        <v>56</v>
      </c>
      <c r="V164">
        <v>4000</v>
      </c>
      <c r="W164" s="3">
        <v>42944</v>
      </c>
      <c r="X164" t="s">
        <v>54</v>
      </c>
      <c r="Y164" t="s">
        <v>4783</v>
      </c>
      <c r="Z164" t="s">
        <v>60</v>
      </c>
      <c r="AA164">
        <v>2950</v>
      </c>
      <c r="AG164" t="s">
        <v>4784</v>
      </c>
      <c r="AH164" s="3">
        <v>42894</v>
      </c>
      <c r="AI164">
        <v>24000</v>
      </c>
      <c r="AJ164">
        <v>0</v>
      </c>
      <c r="AS164" t="s">
        <v>4699</v>
      </c>
      <c r="AT164" s="3">
        <v>43069</v>
      </c>
      <c r="AU164">
        <v>337610</v>
      </c>
      <c r="AV164">
        <v>0</v>
      </c>
      <c r="AW164">
        <v>6890</v>
      </c>
      <c r="AX164">
        <v>0</v>
      </c>
    </row>
    <row r="165" spans="1:50" x14ac:dyDescent="0.25">
      <c r="A165" t="s">
        <v>4835</v>
      </c>
      <c r="B165" s="3">
        <v>42838</v>
      </c>
      <c r="C165" t="s">
        <v>4423</v>
      </c>
      <c r="D165" t="s">
        <v>4424</v>
      </c>
      <c r="E165" t="s">
        <v>4425</v>
      </c>
      <c r="F165">
        <v>32500</v>
      </c>
      <c r="G165" t="s">
        <v>4836</v>
      </c>
      <c r="H165" s="3">
        <v>42838</v>
      </c>
      <c r="I165" t="s">
        <v>214</v>
      </c>
      <c r="J165">
        <v>28000</v>
      </c>
      <c r="K165" s="1"/>
      <c r="M165" s="3">
        <v>42842</v>
      </c>
      <c r="N165" t="s">
        <v>54</v>
      </c>
      <c r="O165" t="s">
        <v>214</v>
      </c>
      <c r="P165" t="s">
        <v>56</v>
      </c>
      <c r="Q165">
        <v>22700</v>
      </c>
      <c r="R165" s="3">
        <v>42944</v>
      </c>
      <c r="S165" t="s">
        <v>54</v>
      </c>
      <c r="T165" t="s">
        <v>4783</v>
      </c>
      <c r="U165" t="s">
        <v>60</v>
      </c>
      <c r="V165">
        <v>4900</v>
      </c>
      <c r="AG165" t="s">
        <v>4708</v>
      </c>
      <c r="AH165" s="3">
        <v>42857</v>
      </c>
      <c r="AI165">
        <v>32500</v>
      </c>
      <c r="AJ165">
        <v>0</v>
      </c>
      <c r="AS165" t="s">
        <v>4693</v>
      </c>
      <c r="AT165" s="3">
        <v>42963</v>
      </c>
      <c r="AU165">
        <v>95550</v>
      </c>
      <c r="AV165">
        <v>0</v>
      </c>
      <c r="AW165">
        <v>1950</v>
      </c>
      <c r="AX165">
        <v>0</v>
      </c>
    </row>
    <row r="166" spans="1:50" x14ac:dyDescent="0.25">
      <c r="A166" t="s">
        <v>4837</v>
      </c>
      <c r="B166" s="3">
        <v>42838</v>
      </c>
      <c r="C166" t="s">
        <v>75</v>
      </c>
      <c r="D166" t="s">
        <v>4437</v>
      </c>
      <c r="E166" t="s">
        <v>4425</v>
      </c>
      <c r="F166">
        <v>8000</v>
      </c>
      <c r="G166" t="s">
        <v>4838</v>
      </c>
      <c r="H166" s="3">
        <v>42838</v>
      </c>
      <c r="I166" t="s">
        <v>290</v>
      </c>
      <c r="J166">
        <v>7000</v>
      </c>
      <c r="K166" s="1"/>
      <c r="M166" s="3">
        <v>42853</v>
      </c>
      <c r="N166" t="s">
        <v>54</v>
      </c>
      <c r="O166" t="s">
        <v>1083</v>
      </c>
      <c r="P166" t="s">
        <v>60</v>
      </c>
      <c r="Q166">
        <v>6900</v>
      </c>
      <c r="AG166" t="s">
        <v>4794</v>
      </c>
      <c r="AH166" s="3">
        <v>42885</v>
      </c>
      <c r="AI166">
        <v>8000</v>
      </c>
      <c r="AJ166">
        <v>20500</v>
      </c>
    </row>
    <row r="167" spans="1:50" x14ac:dyDescent="0.25">
      <c r="A167" t="s">
        <v>4839</v>
      </c>
      <c r="B167" s="3">
        <v>42842</v>
      </c>
      <c r="C167" t="s">
        <v>4459</v>
      </c>
      <c r="D167" t="s">
        <v>4437</v>
      </c>
      <c r="E167" t="s">
        <v>4425</v>
      </c>
      <c r="F167">
        <v>32500</v>
      </c>
      <c r="G167" t="s">
        <v>4840</v>
      </c>
      <c r="H167" s="3">
        <v>42842</v>
      </c>
      <c r="I167" t="s">
        <v>214</v>
      </c>
      <c r="J167">
        <v>28000</v>
      </c>
      <c r="K167" s="1"/>
      <c r="M167" s="3">
        <v>42842</v>
      </c>
      <c r="N167" t="s">
        <v>54</v>
      </c>
      <c r="O167" t="s">
        <v>214</v>
      </c>
      <c r="P167" t="s">
        <v>56</v>
      </c>
      <c r="Q167">
        <v>22700</v>
      </c>
      <c r="R167" s="3">
        <v>42966</v>
      </c>
      <c r="S167" t="s">
        <v>54</v>
      </c>
      <c r="U167" t="s">
        <v>60</v>
      </c>
      <c r="V167">
        <v>4900</v>
      </c>
      <c r="AG167" t="s">
        <v>4841</v>
      </c>
      <c r="AH167" s="3">
        <v>42885</v>
      </c>
      <c r="AI167">
        <v>32500</v>
      </c>
      <c r="AJ167">
        <v>0</v>
      </c>
      <c r="AS167" t="s">
        <v>4699</v>
      </c>
      <c r="AT167" s="3">
        <v>43069</v>
      </c>
      <c r="AU167">
        <v>55370</v>
      </c>
      <c r="AV167">
        <v>0</v>
      </c>
      <c r="AW167">
        <v>1130</v>
      </c>
      <c r="AX167">
        <v>0</v>
      </c>
    </row>
    <row r="168" spans="1:50" x14ac:dyDescent="0.25">
      <c r="A168" t="s">
        <v>4842</v>
      </c>
      <c r="B168" s="3">
        <v>42842</v>
      </c>
      <c r="C168" t="s">
        <v>4626</v>
      </c>
      <c r="D168" t="s">
        <v>4437</v>
      </c>
      <c r="E168" t="s">
        <v>4425</v>
      </c>
      <c r="F168">
        <v>0</v>
      </c>
      <c r="K168" s="1"/>
      <c r="AG168" t="s">
        <v>4841</v>
      </c>
      <c r="AH168" s="3">
        <v>42885</v>
      </c>
      <c r="AI168">
        <v>0</v>
      </c>
      <c r="AJ168">
        <v>0</v>
      </c>
      <c r="AS168" t="s">
        <v>4699</v>
      </c>
      <c r="AT168" s="3">
        <v>43069</v>
      </c>
      <c r="AU168">
        <v>55370</v>
      </c>
      <c r="AV168">
        <v>0</v>
      </c>
      <c r="AW168">
        <v>1130</v>
      </c>
      <c r="AX168">
        <v>0</v>
      </c>
    </row>
    <row r="169" spans="1:50" x14ac:dyDescent="0.25">
      <c r="A169" t="s">
        <v>4843</v>
      </c>
      <c r="B169" s="3">
        <v>42842</v>
      </c>
      <c r="C169" t="s">
        <v>4459</v>
      </c>
      <c r="D169" t="s">
        <v>4437</v>
      </c>
      <c r="E169" t="s">
        <v>4425</v>
      </c>
      <c r="F169">
        <v>32500</v>
      </c>
      <c r="G169" t="s">
        <v>4844</v>
      </c>
      <c r="H169" s="3">
        <v>42842</v>
      </c>
      <c r="I169" t="s">
        <v>214</v>
      </c>
      <c r="J169">
        <v>28000</v>
      </c>
      <c r="K169" s="1"/>
      <c r="M169" s="3">
        <v>42842</v>
      </c>
      <c r="N169" t="s">
        <v>54</v>
      </c>
      <c r="O169" t="s">
        <v>214</v>
      </c>
      <c r="P169" t="s">
        <v>56</v>
      </c>
      <c r="Q169">
        <v>22700</v>
      </c>
      <c r="R169" s="3">
        <v>42966</v>
      </c>
      <c r="S169" t="s">
        <v>54</v>
      </c>
      <c r="U169" t="s">
        <v>60</v>
      </c>
      <c r="V169">
        <v>4900</v>
      </c>
      <c r="AG169" t="s">
        <v>4799</v>
      </c>
      <c r="AH169" s="3">
        <v>42894</v>
      </c>
      <c r="AI169">
        <v>32500</v>
      </c>
      <c r="AJ169">
        <v>0</v>
      </c>
      <c r="AS169" t="s">
        <v>4693</v>
      </c>
      <c r="AT169" s="3">
        <v>42963</v>
      </c>
      <c r="AU169">
        <v>477750</v>
      </c>
      <c r="AV169">
        <v>0</v>
      </c>
      <c r="AW169">
        <v>9750</v>
      </c>
      <c r="AX169">
        <v>0</v>
      </c>
    </row>
    <row r="170" spans="1:50" x14ac:dyDescent="0.25">
      <c r="A170" t="s">
        <v>4845</v>
      </c>
      <c r="B170" s="3">
        <v>42842</v>
      </c>
      <c r="C170" t="s">
        <v>4459</v>
      </c>
      <c r="D170" t="s">
        <v>4437</v>
      </c>
      <c r="E170" t="s">
        <v>4425</v>
      </c>
      <c r="F170">
        <v>24000</v>
      </c>
      <c r="G170" t="s">
        <v>4846</v>
      </c>
      <c r="H170" s="3">
        <v>42842</v>
      </c>
      <c r="I170" t="s">
        <v>214</v>
      </c>
      <c r="J170">
        <v>20000</v>
      </c>
      <c r="K170" s="1"/>
      <c r="M170" s="3">
        <v>42842</v>
      </c>
      <c r="N170" t="s">
        <v>54</v>
      </c>
      <c r="O170" t="s">
        <v>214</v>
      </c>
      <c r="P170" t="s">
        <v>56</v>
      </c>
      <c r="Q170">
        <v>16700</v>
      </c>
      <c r="R170" s="3">
        <v>42966</v>
      </c>
      <c r="S170" t="s">
        <v>54</v>
      </c>
      <c r="U170" t="s">
        <v>60</v>
      </c>
      <c r="V170">
        <v>2950</v>
      </c>
      <c r="AG170" t="s">
        <v>4841</v>
      </c>
      <c r="AH170" s="3">
        <v>42885</v>
      </c>
      <c r="AI170">
        <v>24000</v>
      </c>
      <c r="AJ170">
        <v>0</v>
      </c>
      <c r="AS170" t="s">
        <v>4699</v>
      </c>
      <c r="AT170" s="3">
        <v>43069</v>
      </c>
      <c r="AU170">
        <v>55370</v>
      </c>
      <c r="AV170">
        <v>0</v>
      </c>
      <c r="AW170">
        <v>1130</v>
      </c>
      <c r="AX170">
        <v>0</v>
      </c>
    </row>
    <row r="171" spans="1:50" x14ac:dyDescent="0.25">
      <c r="A171" t="s">
        <v>4847</v>
      </c>
      <c r="B171" s="3">
        <v>42842</v>
      </c>
      <c r="C171" t="s">
        <v>4423</v>
      </c>
      <c r="D171" t="s">
        <v>4424</v>
      </c>
      <c r="E171" t="s">
        <v>4425</v>
      </c>
      <c r="F171">
        <v>32500</v>
      </c>
      <c r="G171" t="s">
        <v>4848</v>
      </c>
      <c r="H171" s="3">
        <v>42842</v>
      </c>
      <c r="I171" t="s">
        <v>214</v>
      </c>
      <c r="J171">
        <v>28000</v>
      </c>
      <c r="K171" s="1"/>
      <c r="M171" s="3">
        <v>42849</v>
      </c>
      <c r="N171" t="s">
        <v>54</v>
      </c>
      <c r="O171" t="s">
        <v>214</v>
      </c>
      <c r="P171" t="s">
        <v>56</v>
      </c>
      <c r="Q171">
        <v>22700</v>
      </c>
      <c r="R171" s="3">
        <v>42966</v>
      </c>
      <c r="S171" t="s">
        <v>54</v>
      </c>
      <c r="U171" t="s">
        <v>60</v>
      </c>
      <c r="V171">
        <v>4900</v>
      </c>
      <c r="AG171" t="s">
        <v>4799</v>
      </c>
      <c r="AH171" s="3">
        <v>42894</v>
      </c>
      <c r="AI171">
        <v>32500</v>
      </c>
      <c r="AJ171">
        <v>0</v>
      </c>
      <c r="AS171" t="s">
        <v>4693</v>
      </c>
      <c r="AT171" s="3">
        <v>42963</v>
      </c>
      <c r="AU171">
        <v>477750</v>
      </c>
      <c r="AV171">
        <v>0</v>
      </c>
      <c r="AW171">
        <v>9750</v>
      </c>
      <c r="AX171">
        <v>0</v>
      </c>
    </row>
    <row r="172" spans="1:50" x14ac:dyDescent="0.25">
      <c r="A172" t="s">
        <v>4849</v>
      </c>
      <c r="B172" s="3">
        <v>42842</v>
      </c>
      <c r="C172" t="s">
        <v>4423</v>
      </c>
      <c r="D172" t="s">
        <v>4610</v>
      </c>
      <c r="E172" t="s">
        <v>4425</v>
      </c>
      <c r="F172">
        <v>24000</v>
      </c>
      <c r="G172" t="s">
        <v>4850</v>
      </c>
      <c r="H172" s="3">
        <v>42842</v>
      </c>
      <c r="I172" t="s">
        <v>214</v>
      </c>
      <c r="J172">
        <v>20000</v>
      </c>
      <c r="K172" s="1"/>
      <c r="M172" s="3">
        <v>42849</v>
      </c>
      <c r="N172" t="s">
        <v>54</v>
      </c>
      <c r="O172" t="s">
        <v>214</v>
      </c>
      <c r="P172" t="s">
        <v>56</v>
      </c>
      <c r="Q172">
        <v>16700</v>
      </c>
      <c r="R172" s="3">
        <v>42966</v>
      </c>
      <c r="S172" t="s">
        <v>54</v>
      </c>
      <c r="U172" t="s">
        <v>60</v>
      </c>
      <c r="V172">
        <v>2950</v>
      </c>
      <c r="AG172" t="s">
        <v>4784</v>
      </c>
      <c r="AH172" s="3">
        <v>42894</v>
      </c>
      <c r="AI172">
        <v>24000</v>
      </c>
      <c r="AJ172">
        <v>0</v>
      </c>
      <c r="AS172" t="s">
        <v>4699</v>
      </c>
      <c r="AT172" s="3">
        <v>43069</v>
      </c>
      <c r="AU172">
        <v>337610</v>
      </c>
      <c r="AV172">
        <v>0</v>
      </c>
      <c r="AW172">
        <v>6890</v>
      </c>
      <c r="AX172">
        <v>0</v>
      </c>
    </row>
    <row r="173" spans="1:50" x14ac:dyDescent="0.25">
      <c r="A173" t="s">
        <v>4851</v>
      </c>
      <c r="B173" s="3">
        <v>42844</v>
      </c>
      <c r="C173" t="s">
        <v>4423</v>
      </c>
      <c r="D173" t="s">
        <v>4424</v>
      </c>
      <c r="E173" t="s">
        <v>4425</v>
      </c>
      <c r="F173">
        <v>32500</v>
      </c>
      <c r="G173" t="s">
        <v>4852</v>
      </c>
      <c r="H173" s="3">
        <v>42844</v>
      </c>
      <c r="I173" t="s">
        <v>214</v>
      </c>
      <c r="J173">
        <v>28000</v>
      </c>
      <c r="K173" s="1"/>
      <c r="M173" s="3">
        <v>42849</v>
      </c>
      <c r="N173" t="s">
        <v>54</v>
      </c>
      <c r="O173" t="s">
        <v>214</v>
      </c>
      <c r="P173" t="s">
        <v>56</v>
      </c>
      <c r="Q173">
        <v>22700</v>
      </c>
      <c r="R173" s="3">
        <v>43034</v>
      </c>
      <c r="S173" t="s">
        <v>54</v>
      </c>
      <c r="T173" t="s">
        <v>214</v>
      </c>
      <c r="U173" t="s">
        <v>60</v>
      </c>
      <c r="V173">
        <v>4900</v>
      </c>
      <c r="AG173" t="s">
        <v>4799</v>
      </c>
      <c r="AH173" s="3">
        <v>42894</v>
      </c>
      <c r="AI173">
        <v>32500</v>
      </c>
      <c r="AJ173">
        <v>0</v>
      </c>
      <c r="AS173" t="s">
        <v>4693</v>
      </c>
      <c r="AT173" s="3">
        <v>42963</v>
      </c>
      <c r="AU173">
        <v>477750</v>
      </c>
      <c r="AV173">
        <v>0</v>
      </c>
      <c r="AW173">
        <v>9750</v>
      </c>
      <c r="AX173">
        <v>0</v>
      </c>
    </row>
    <row r="174" spans="1:50" x14ac:dyDescent="0.25">
      <c r="A174" t="s">
        <v>4853</v>
      </c>
      <c r="B174" s="3">
        <v>42845</v>
      </c>
      <c r="C174" t="s">
        <v>4459</v>
      </c>
      <c r="D174" t="s">
        <v>4437</v>
      </c>
      <c r="E174" t="s">
        <v>4425</v>
      </c>
      <c r="F174">
        <v>32500</v>
      </c>
      <c r="G174" t="s">
        <v>4854</v>
      </c>
      <c r="H174" s="3">
        <v>42845</v>
      </c>
      <c r="I174" t="s">
        <v>214</v>
      </c>
      <c r="J174">
        <v>28000</v>
      </c>
      <c r="K174" s="1"/>
      <c r="M174" s="3">
        <v>42849</v>
      </c>
      <c r="N174" t="s">
        <v>54</v>
      </c>
      <c r="O174" t="s">
        <v>214</v>
      </c>
      <c r="P174" t="s">
        <v>56</v>
      </c>
      <c r="Q174">
        <v>22700</v>
      </c>
      <c r="R174" s="3">
        <v>43034</v>
      </c>
      <c r="S174" t="s">
        <v>54</v>
      </c>
      <c r="T174" t="s">
        <v>214</v>
      </c>
      <c r="U174" t="s">
        <v>60</v>
      </c>
      <c r="V174">
        <v>4900</v>
      </c>
      <c r="AG174" t="s">
        <v>4799</v>
      </c>
      <c r="AH174" s="3">
        <v>42894</v>
      </c>
      <c r="AI174">
        <v>32500</v>
      </c>
      <c r="AJ174">
        <v>0</v>
      </c>
      <c r="AS174" t="s">
        <v>4693</v>
      </c>
      <c r="AT174" s="3">
        <v>42963</v>
      </c>
      <c r="AU174">
        <v>477750</v>
      </c>
      <c r="AV174">
        <v>0</v>
      </c>
      <c r="AW174">
        <v>9750</v>
      </c>
      <c r="AX174">
        <v>0</v>
      </c>
    </row>
    <row r="175" spans="1:50" x14ac:dyDescent="0.25">
      <c r="A175" t="s">
        <v>4855</v>
      </c>
      <c r="B175" s="3">
        <v>42846</v>
      </c>
      <c r="C175" t="s">
        <v>4423</v>
      </c>
      <c r="D175" t="s">
        <v>4424</v>
      </c>
      <c r="E175" t="s">
        <v>4425</v>
      </c>
      <c r="F175">
        <v>32500</v>
      </c>
      <c r="G175" t="s">
        <v>4856</v>
      </c>
      <c r="H175" s="3">
        <v>42846</v>
      </c>
      <c r="I175" t="s">
        <v>214</v>
      </c>
      <c r="J175">
        <v>28000</v>
      </c>
      <c r="K175" s="1"/>
      <c r="M175" s="3">
        <v>42849</v>
      </c>
      <c r="N175" t="s">
        <v>54</v>
      </c>
      <c r="O175" t="s">
        <v>214</v>
      </c>
      <c r="P175" t="s">
        <v>56</v>
      </c>
      <c r="Q175">
        <v>22700</v>
      </c>
      <c r="R175" s="3">
        <v>42944</v>
      </c>
      <c r="S175" t="s">
        <v>54</v>
      </c>
      <c r="T175" t="s">
        <v>4783</v>
      </c>
      <c r="U175" t="s">
        <v>60</v>
      </c>
      <c r="V175">
        <v>4900</v>
      </c>
      <c r="AG175" t="s">
        <v>4799</v>
      </c>
      <c r="AH175" s="3">
        <v>42894</v>
      </c>
      <c r="AI175">
        <v>32500</v>
      </c>
      <c r="AJ175">
        <v>0</v>
      </c>
      <c r="AS175" t="s">
        <v>4693</v>
      </c>
      <c r="AT175" s="3">
        <v>42963</v>
      </c>
      <c r="AU175">
        <v>477750</v>
      </c>
      <c r="AV175">
        <v>0</v>
      </c>
      <c r="AW175">
        <v>9750</v>
      </c>
      <c r="AX175">
        <v>0</v>
      </c>
    </row>
    <row r="176" spans="1:50" x14ac:dyDescent="0.25">
      <c r="A176" t="s">
        <v>4857</v>
      </c>
      <c r="B176" s="3">
        <v>42846</v>
      </c>
      <c r="C176" t="s">
        <v>4423</v>
      </c>
      <c r="D176" t="s">
        <v>4424</v>
      </c>
      <c r="E176" t="s">
        <v>4425</v>
      </c>
      <c r="F176">
        <v>32500</v>
      </c>
      <c r="G176" t="s">
        <v>4858</v>
      </c>
      <c r="H176" s="3">
        <v>42846</v>
      </c>
      <c r="I176" t="s">
        <v>214</v>
      </c>
      <c r="J176">
        <v>28000</v>
      </c>
      <c r="K176" s="1"/>
      <c r="M176" s="3">
        <v>42849</v>
      </c>
      <c r="N176" t="s">
        <v>54</v>
      </c>
      <c r="O176" t="s">
        <v>214</v>
      </c>
      <c r="P176" t="s">
        <v>56</v>
      </c>
      <c r="Q176">
        <v>22700</v>
      </c>
      <c r="R176" s="3">
        <v>42966</v>
      </c>
      <c r="S176" t="s">
        <v>54</v>
      </c>
      <c r="T176" t="s">
        <v>4859</v>
      </c>
      <c r="U176" t="s">
        <v>60</v>
      </c>
      <c r="V176">
        <v>4900</v>
      </c>
      <c r="AG176" t="s">
        <v>4802</v>
      </c>
      <c r="AH176" s="3">
        <v>42885</v>
      </c>
      <c r="AI176">
        <v>32500</v>
      </c>
      <c r="AJ176">
        <v>0</v>
      </c>
      <c r="AS176" t="s">
        <v>4699</v>
      </c>
      <c r="AT176" s="3">
        <v>43069</v>
      </c>
      <c r="AU176">
        <v>127400</v>
      </c>
      <c r="AV176">
        <v>0</v>
      </c>
      <c r="AW176">
        <v>2600</v>
      </c>
      <c r="AX176">
        <v>0</v>
      </c>
    </row>
    <row r="177" spans="1:50" x14ac:dyDescent="0.25">
      <c r="A177" t="s">
        <v>4860</v>
      </c>
      <c r="B177" s="3">
        <v>42849</v>
      </c>
      <c r="C177" t="s">
        <v>4459</v>
      </c>
      <c r="D177" t="s">
        <v>4437</v>
      </c>
      <c r="E177" t="s">
        <v>4425</v>
      </c>
      <c r="F177">
        <v>32500</v>
      </c>
      <c r="G177" t="s">
        <v>4861</v>
      </c>
      <c r="H177" s="3">
        <v>42849</v>
      </c>
      <c r="I177" t="s">
        <v>214</v>
      </c>
      <c r="J177">
        <v>28000</v>
      </c>
      <c r="K177" s="1"/>
      <c r="M177" s="3">
        <v>42853</v>
      </c>
      <c r="N177" t="s">
        <v>54</v>
      </c>
      <c r="O177" t="s">
        <v>1546</v>
      </c>
      <c r="P177" t="s">
        <v>56</v>
      </c>
      <c r="Q177">
        <v>22700</v>
      </c>
      <c r="R177" s="3">
        <v>42966</v>
      </c>
      <c r="S177" t="s">
        <v>54</v>
      </c>
      <c r="T177" t="s">
        <v>4859</v>
      </c>
      <c r="U177" t="s">
        <v>60</v>
      </c>
      <c r="V177">
        <v>4900</v>
      </c>
      <c r="AG177" t="s">
        <v>4799</v>
      </c>
      <c r="AH177" s="3">
        <v>42894</v>
      </c>
      <c r="AI177">
        <v>32500</v>
      </c>
      <c r="AJ177">
        <v>0</v>
      </c>
      <c r="AS177" t="s">
        <v>4693</v>
      </c>
      <c r="AT177" s="3">
        <v>42963</v>
      </c>
      <c r="AU177">
        <v>477750</v>
      </c>
      <c r="AV177">
        <v>0</v>
      </c>
      <c r="AW177">
        <v>9750</v>
      </c>
      <c r="AX177">
        <v>0</v>
      </c>
    </row>
    <row r="178" spans="1:50" x14ac:dyDescent="0.25">
      <c r="A178" t="s">
        <v>4862</v>
      </c>
      <c r="B178" s="3">
        <v>42849</v>
      </c>
      <c r="C178" t="s">
        <v>4423</v>
      </c>
      <c r="D178" t="s">
        <v>4424</v>
      </c>
      <c r="E178" t="s">
        <v>4425</v>
      </c>
      <c r="F178">
        <v>32500</v>
      </c>
      <c r="G178" t="s">
        <v>4863</v>
      </c>
      <c r="H178" s="3">
        <v>42849</v>
      </c>
      <c r="I178" t="s">
        <v>214</v>
      </c>
      <c r="J178">
        <v>28000</v>
      </c>
      <c r="K178" s="1"/>
      <c r="M178" s="3">
        <v>42853</v>
      </c>
      <c r="N178" t="s">
        <v>54</v>
      </c>
      <c r="O178" t="s">
        <v>1546</v>
      </c>
      <c r="P178" t="s">
        <v>56</v>
      </c>
      <c r="Q178">
        <v>22700</v>
      </c>
      <c r="R178" s="3">
        <v>42966</v>
      </c>
      <c r="S178" t="s">
        <v>54</v>
      </c>
      <c r="T178" t="s">
        <v>4859</v>
      </c>
      <c r="U178" t="s">
        <v>60</v>
      </c>
      <c r="V178">
        <v>4900</v>
      </c>
      <c r="AG178" t="s">
        <v>4799</v>
      </c>
      <c r="AH178" s="3">
        <v>42894</v>
      </c>
      <c r="AI178">
        <v>32500</v>
      </c>
      <c r="AJ178">
        <v>0</v>
      </c>
      <c r="AS178" t="s">
        <v>4693</v>
      </c>
      <c r="AT178" s="3">
        <v>42963</v>
      </c>
      <c r="AU178">
        <v>477750</v>
      </c>
      <c r="AV178">
        <v>0</v>
      </c>
      <c r="AW178">
        <v>9750</v>
      </c>
      <c r="AX178">
        <v>0</v>
      </c>
    </row>
    <row r="179" spans="1:50" x14ac:dyDescent="0.25">
      <c r="A179" t="s">
        <v>4864</v>
      </c>
      <c r="B179" s="3">
        <v>42849</v>
      </c>
      <c r="C179" t="s">
        <v>4459</v>
      </c>
      <c r="D179" t="s">
        <v>4437</v>
      </c>
      <c r="E179" t="s">
        <v>4425</v>
      </c>
      <c r="F179">
        <v>32500</v>
      </c>
      <c r="G179" t="s">
        <v>4865</v>
      </c>
      <c r="H179" s="3">
        <v>42849</v>
      </c>
      <c r="I179" t="s">
        <v>214</v>
      </c>
      <c r="J179">
        <v>28000</v>
      </c>
      <c r="K179" s="1"/>
      <c r="M179" s="3">
        <v>42853</v>
      </c>
      <c r="N179" t="s">
        <v>54</v>
      </c>
      <c r="O179" t="s">
        <v>1546</v>
      </c>
      <c r="P179" t="s">
        <v>56</v>
      </c>
      <c r="Q179">
        <v>22700</v>
      </c>
      <c r="R179" s="3">
        <v>42944</v>
      </c>
      <c r="S179" t="s">
        <v>54</v>
      </c>
      <c r="T179" t="s">
        <v>4783</v>
      </c>
      <c r="U179" t="s">
        <v>60</v>
      </c>
      <c r="V179">
        <v>4900</v>
      </c>
      <c r="AG179" t="s">
        <v>4799</v>
      </c>
      <c r="AH179" s="3">
        <v>42894</v>
      </c>
      <c r="AI179">
        <v>32500</v>
      </c>
      <c r="AJ179">
        <v>0</v>
      </c>
      <c r="AS179" t="s">
        <v>4693</v>
      </c>
      <c r="AT179" s="3">
        <v>42963</v>
      </c>
      <c r="AU179">
        <v>477750</v>
      </c>
      <c r="AV179">
        <v>0</v>
      </c>
      <c r="AW179">
        <v>9750</v>
      </c>
      <c r="AX179">
        <v>0</v>
      </c>
    </row>
    <row r="180" spans="1:50" x14ac:dyDescent="0.25">
      <c r="A180" t="s">
        <v>4866</v>
      </c>
      <c r="B180" s="3">
        <v>42851</v>
      </c>
      <c r="C180" t="s">
        <v>4423</v>
      </c>
      <c r="D180" t="s">
        <v>4424</v>
      </c>
      <c r="E180" t="s">
        <v>4425</v>
      </c>
      <c r="F180">
        <v>24000</v>
      </c>
      <c r="G180" t="s">
        <v>4867</v>
      </c>
      <c r="H180" s="3">
        <v>42851</v>
      </c>
      <c r="I180" t="s">
        <v>214</v>
      </c>
      <c r="J180">
        <v>20000</v>
      </c>
      <c r="K180" s="1"/>
      <c r="M180" s="3">
        <v>42944</v>
      </c>
      <c r="N180" t="s">
        <v>54</v>
      </c>
      <c r="O180" t="s">
        <v>4783</v>
      </c>
      <c r="P180" t="s">
        <v>60</v>
      </c>
      <c r="Q180">
        <v>2950</v>
      </c>
      <c r="AG180" t="s">
        <v>4784</v>
      </c>
      <c r="AH180" s="3">
        <v>42894</v>
      </c>
      <c r="AI180">
        <v>24000</v>
      </c>
      <c r="AJ180">
        <v>0</v>
      </c>
      <c r="AS180" t="s">
        <v>4699</v>
      </c>
      <c r="AT180" s="3">
        <v>43069</v>
      </c>
      <c r="AU180">
        <v>337610</v>
      </c>
      <c r="AV180">
        <v>0</v>
      </c>
      <c r="AW180">
        <v>6890</v>
      </c>
      <c r="AX180">
        <v>0</v>
      </c>
    </row>
    <row r="181" spans="1:50" x14ac:dyDescent="0.25">
      <c r="A181" t="s">
        <v>4868</v>
      </c>
      <c r="B181" s="3">
        <v>42851</v>
      </c>
      <c r="C181" t="s">
        <v>4423</v>
      </c>
      <c r="D181" t="s">
        <v>4424</v>
      </c>
      <c r="E181" t="s">
        <v>4425</v>
      </c>
      <c r="F181">
        <v>32500</v>
      </c>
      <c r="G181" t="s">
        <v>4869</v>
      </c>
      <c r="H181" s="3">
        <v>42851</v>
      </c>
      <c r="I181" t="s">
        <v>214</v>
      </c>
      <c r="J181">
        <v>28000</v>
      </c>
      <c r="K181" s="1"/>
      <c r="M181" s="3">
        <v>42853</v>
      </c>
      <c r="N181" t="s">
        <v>54</v>
      </c>
      <c r="O181" t="s">
        <v>1546</v>
      </c>
      <c r="P181" t="s">
        <v>56</v>
      </c>
      <c r="Q181">
        <v>22700</v>
      </c>
      <c r="R181" s="3">
        <v>42966</v>
      </c>
      <c r="S181" t="s">
        <v>54</v>
      </c>
      <c r="T181" t="s">
        <v>4859</v>
      </c>
      <c r="U181" t="s">
        <v>60</v>
      </c>
      <c r="V181">
        <v>4900</v>
      </c>
      <c r="AG181" t="s">
        <v>4799</v>
      </c>
      <c r="AH181" s="3">
        <v>42894</v>
      </c>
      <c r="AI181">
        <v>32500</v>
      </c>
      <c r="AJ181">
        <v>0</v>
      </c>
      <c r="AS181" t="s">
        <v>4693</v>
      </c>
      <c r="AT181" s="3">
        <v>42963</v>
      </c>
      <c r="AU181">
        <v>477750</v>
      </c>
      <c r="AV181">
        <v>0</v>
      </c>
      <c r="AW181">
        <v>9750</v>
      </c>
      <c r="AX181">
        <v>0</v>
      </c>
    </row>
    <row r="182" spans="1:50" x14ac:dyDescent="0.25">
      <c r="A182" t="s">
        <v>4870</v>
      </c>
      <c r="B182" s="3">
        <v>42851</v>
      </c>
      <c r="C182" t="s">
        <v>4459</v>
      </c>
      <c r="D182" t="s">
        <v>4437</v>
      </c>
      <c r="E182" t="s">
        <v>4425</v>
      </c>
      <c r="F182">
        <v>0</v>
      </c>
      <c r="G182" t="s">
        <v>4871</v>
      </c>
      <c r="H182" s="3">
        <v>42851</v>
      </c>
      <c r="I182" t="s">
        <v>214</v>
      </c>
      <c r="J182">
        <v>28000</v>
      </c>
      <c r="K182" s="1"/>
      <c r="M182" s="3">
        <v>42853</v>
      </c>
      <c r="N182" t="s">
        <v>54</v>
      </c>
      <c r="O182" t="s">
        <v>1546</v>
      </c>
      <c r="P182" t="s">
        <v>56</v>
      </c>
      <c r="Q182">
        <v>22700</v>
      </c>
      <c r="R182" s="3">
        <v>42966</v>
      </c>
      <c r="S182" t="s">
        <v>54</v>
      </c>
      <c r="T182" t="s">
        <v>4859</v>
      </c>
      <c r="U182" t="s">
        <v>60</v>
      </c>
      <c r="V182">
        <v>4900</v>
      </c>
      <c r="AG182" t="s">
        <v>4872</v>
      </c>
      <c r="AH182" s="3">
        <v>42906</v>
      </c>
      <c r="AI182">
        <v>0</v>
      </c>
      <c r="AJ182">
        <v>0</v>
      </c>
      <c r="AS182" t="s">
        <v>4873</v>
      </c>
      <c r="AT182" s="3">
        <v>43172</v>
      </c>
      <c r="AU182">
        <v>542920</v>
      </c>
      <c r="AV182">
        <v>0</v>
      </c>
      <c r="AW182">
        <v>11080</v>
      </c>
      <c r="AX182">
        <v>0</v>
      </c>
    </row>
    <row r="183" spans="1:50" x14ac:dyDescent="0.25">
      <c r="A183" t="s">
        <v>4874</v>
      </c>
      <c r="B183" s="3">
        <v>42851</v>
      </c>
      <c r="C183" t="s">
        <v>4626</v>
      </c>
      <c r="D183" t="s">
        <v>4437</v>
      </c>
      <c r="E183" t="s">
        <v>4425</v>
      </c>
      <c r="F183">
        <v>32500</v>
      </c>
      <c r="K183" s="1"/>
      <c r="AG183" t="s">
        <v>4784</v>
      </c>
      <c r="AH183" s="3">
        <v>42894</v>
      </c>
      <c r="AI183">
        <v>32500</v>
      </c>
      <c r="AJ183">
        <v>0</v>
      </c>
      <c r="AS183" t="s">
        <v>4699</v>
      </c>
      <c r="AT183" s="3">
        <v>43069</v>
      </c>
      <c r="AU183">
        <v>337610</v>
      </c>
      <c r="AV183">
        <v>0</v>
      </c>
      <c r="AW183">
        <v>6890</v>
      </c>
      <c r="AX183">
        <v>0</v>
      </c>
    </row>
    <row r="184" spans="1:50" x14ac:dyDescent="0.25">
      <c r="A184" t="s">
        <v>4875</v>
      </c>
      <c r="B184" s="3">
        <v>42852</v>
      </c>
      <c r="C184" t="s">
        <v>4423</v>
      </c>
      <c r="D184" t="s">
        <v>4424</v>
      </c>
      <c r="E184" t="s">
        <v>4425</v>
      </c>
      <c r="F184">
        <v>24000</v>
      </c>
      <c r="G184" t="s">
        <v>4876</v>
      </c>
      <c r="H184" s="3">
        <v>42852</v>
      </c>
      <c r="I184" t="s">
        <v>214</v>
      </c>
      <c r="J184">
        <v>20000</v>
      </c>
      <c r="K184" s="1"/>
      <c r="M184" s="3">
        <v>42853</v>
      </c>
      <c r="N184" t="s">
        <v>54</v>
      </c>
      <c r="O184" t="s">
        <v>1546</v>
      </c>
      <c r="P184" t="s">
        <v>56</v>
      </c>
      <c r="Q184">
        <v>12700</v>
      </c>
      <c r="R184" s="3">
        <v>42853</v>
      </c>
      <c r="S184" t="s">
        <v>57</v>
      </c>
      <c r="T184" t="s">
        <v>1546</v>
      </c>
      <c r="U184" t="s">
        <v>56</v>
      </c>
      <c r="V184">
        <v>4000</v>
      </c>
      <c r="W184" s="3">
        <v>42966</v>
      </c>
      <c r="X184" t="s">
        <v>54</v>
      </c>
      <c r="Y184" t="s">
        <v>4859</v>
      </c>
      <c r="Z184" t="s">
        <v>60</v>
      </c>
      <c r="AA184">
        <v>2950</v>
      </c>
      <c r="AG184" t="s">
        <v>4784</v>
      </c>
      <c r="AH184" s="3">
        <v>42894</v>
      </c>
      <c r="AI184">
        <v>24000</v>
      </c>
      <c r="AJ184">
        <v>0</v>
      </c>
      <c r="AS184" t="s">
        <v>4699</v>
      </c>
      <c r="AT184" s="3">
        <v>43069</v>
      </c>
      <c r="AU184">
        <v>337610</v>
      </c>
      <c r="AV184">
        <v>0</v>
      </c>
      <c r="AW184">
        <v>6890</v>
      </c>
      <c r="AX184">
        <v>0</v>
      </c>
    </row>
    <row r="185" spans="1:50" x14ac:dyDescent="0.25">
      <c r="A185" t="s">
        <v>4877</v>
      </c>
      <c r="B185" s="3">
        <v>42852</v>
      </c>
      <c r="C185" t="s">
        <v>75</v>
      </c>
      <c r="D185" t="s">
        <v>4437</v>
      </c>
      <c r="E185" t="s">
        <v>4425</v>
      </c>
      <c r="F185">
        <v>5500</v>
      </c>
      <c r="G185" t="s">
        <v>4878</v>
      </c>
      <c r="H185" s="3">
        <v>42852</v>
      </c>
      <c r="I185" t="s">
        <v>290</v>
      </c>
      <c r="J185">
        <v>4500</v>
      </c>
      <c r="K185" s="1"/>
      <c r="M185" s="3">
        <v>42859</v>
      </c>
      <c r="N185" t="s">
        <v>54</v>
      </c>
      <c r="O185" t="s">
        <v>1083</v>
      </c>
      <c r="P185" t="s">
        <v>60</v>
      </c>
      <c r="Q185">
        <v>4450</v>
      </c>
      <c r="AG185" t="s">
        <v>4794</v>
      </c>
      <c r="AH185" s="3">
        <v>42885</v>
      </c>
      <c r="AI185">
        <v>5500</v>
      </c>
      <c r="AJ185">
        <v>20500</v>
      </c>
    </row>
    <row r="186" spans="1:50" x14ac:dyDescent="0.25">
      <c r="A186" t="s">
        <v>4879</v>
      </c>
      <c r="B186" s="3">
        <v>42854</v>
      </c>
      <c r="C186" t="s">
        <v>4459</v>
      </c>
      <c r="D186" t="s">
        <v>4437</v>
      </c>
      <c r="E186" t="s">
        <v>4425</v>
      </c>
      <c r="F186">
        <v>32500</v>
      </c>
      <c r="G186" t="s">
        <v>4880</v>
      </c>
      <c r="H186" s="3">
        <v>42854</v>
      </c>
      <c r="I186" t="s">
        <v>214</v>
      </c>
      <c r="J186">
        <v>28000</v>
      </c>
      <c r="K186" s="1"/>
      <c r="M186" s="3">
        <v>42859</v>
      </c>
      <c r="N186" t="s">
        <v>54</v>
      </c>
      <c r="O186" t="s">
        <v>214</v>
      </c>
      <c r="P186" t="s">
        <v>56</v>
      </c>
      <c r="Q186">
        <v>22700</v>
      </c>
      <c r="R186" s="3">
        <v>42966</v>
      </c>
      <c r="S186" t="s">
        <v>54</v>
      </c>
      <c r="T186" t="s">
        <v>4859</v>
      </c>
      <c r="U186" t="s">
        <v>60</v>
      </c>
      <c r="V186">
        <v>4900</v>
      </c>
      <c r="AG186" t="s">
        <v>4799</v>
      </c>
      <c r="AH186" s="3">
        <v>42894</v>
      </c>
      <c r="AI186">
        <v>32500</v>
      </c>
      <c r="AJ186">
        <v>0</v>
      </c>
      <c r="AS186" t="s">
        <v>4693</v>
      </c>
      <c r="AT186" s="3">
        <v>42963</v>
      </c>
      <c r="AU186">
        <v>477750</v>
      </c>
      <c r="AV186">
        <v>0</v>
      </c>
      <c r="AW186">
        <v>9750</v>
      </c>
      <c r="AX186">
        <v>0</v>
      </c>
    </row>
    <row r="187" spans="1:50" x14ac:dyDescent="0.25">
      <c r="A187" t="s">
        <v>4881</v>
      </c>
      <c r="B187" s="3">
        <v>42854</v>
      </c>
      <c r="C187" t="s">
        <v>4423</v>
      </c>
      <c r="D187" t="s">
        <v>4424</v>
      </c>
      <c r="E187" t="s">
        <v>4425</v>
      </c>
      <c r="F187">
        <v>32500</v>
      </c>
      <c r="G187" t="s">
        <v>4882</v>
      </c>
      <c r="H187" s="3">
        <v>42854</v>
      </c>
      <c r="I187" t="s">
        <v>214</v>
      </c>
      <c r="J187">
        <v>28000</v>
      </c>
      <c r="K187" s="1"/>
      <c r="M187" s="3">
        <v>42859</v>
      </c>
      <c r="N187" t="s">
        <v>54</v>
      </c>
      <c r="O187" t="s">
        <v>214</v>
      </c>
      <c r="P187" t="s">
        <v>56</v>
      </c>
      <c r="Q187">
        <v>22700</v>
      </c>
      <c r="R187" s="3">
        <v>42966</v>
      </c>
      <c r="S187" t="s">
        <v>54</v>
      </c>
      <c r="T187" t="s">
        <v>4859</v>
      </c>
      <c r="U187" t="s">
        <v>60</v>
      </c>
      <c r="V187">
        <v>4900</v>
      </c>
      <c r="AG187" t="s">
        <v>4799</v>
      </c>
      <c r="AH187" s="3">
        <v>42894</v>
      </c>
      <c r="AI187">
        <v>32500</v>
      </c>
      <c r="AJ187">
        <v>0</v>
      </c>
      <c r="AS187" t="s">
        <v>4693</v>
      </c>
      <c r="AT187" s="3">
        <v>42963</v>
      </c>
      <c r="AU187">
        <v>477750</v>
      </c>
      <c r="AV187">
        <v>0</v>
      </c>
      <c r="AW187">
        <v>9750</v>
      </c>
      <c r="AX187">
        <v>0</v>
      </c>
    </row>
    <row r="188" spans="1:50" x14ac:dyDescent="0.25">
      <c r="A188" t="s">
        <v>4883</v>
      </c>
      <c r="B188" s="3">
        <v>42854</v>
      </c>
      <c r="C188" t="s">
        <v>4423</v>
      </c>
      <c r="D188" t="s">
        <v>4884</v>
      </c>
      <c r="E188" t="s">
        <v>4425</v>
      </c>
      <c r="F188">
        <v>32500</v>
      </c>
      <c r="G188" t="s">
        <v>4885</v>
      </c>
      <c r="H188" s="3">
        <v>42854</v>
      </c>
      <c r="I188" t="s">
        <v>214</v>
      </c>
      <c r="J188">
        <v>28000</v>
      </c>
      <c r="K188" s="1"/>
      <c r="M188" s="3">
        <v>42859</v>
      </c>
      <c r="N188" t="s">
        <v>54</v>
      </c>
      <c r="O188" t="s">
        <v>214</v>
      </c>
      <c r="P188" t="s">
        <v>56</v>
      </c>
      <c r="Q188">
        <v>22700</v>
      </c>
      <c r="R188" s="3">
        <v>42966</v>
      </c>
      <c r="S188" t="s">
        <v>54</v>
      </c>
      <c r="T188" t="s">
        <v>4859</v>
      </c>
      <c r="U188" t="s">
        <v>60</v>
      </c>
      <c r="V188">
        <v>4900</v>
      </c>
      <c r="AG188" t="s">
        <v>4799</v>
      </c>
      <c r="AH188" s="3">
        <v>42894</v>
      </c>
      <c r="AI188">
        <v>32500</v>
      </c>
      <c r="AJ188">
        <v>0</v>
      </c>
      <c r="AS188" t="s">
        <v>4693</v>
      </c>
      <c r="AT188" s="3">
        <v>42963</v>
      </c>
      <c r="AU188">
        <v>477750</v>
      </c>
      <c r="AV188">
        <v>0</v>
      </c>
      <c r="AW188">
        <v>9750</v>
      </c>
      <c r="AX188">
        <v>0</v>
      </c>
    </row>
    <row r="189" spans="1:50" x14ac:dyDescent="0.25">
      <c r="A189" t="s">
        <v>4886</v>
      </c>
      <c r="B189" s="3">
        <v>42857</v>
      </c>
      <c r="C189" t="s">
        <v>4887</v>
      </c>
      <c r="D189" t="s">
        <v>4437</v>
      </c>
      <c r="E189" t="s">
        <v>4425</v>
      </c>
      <c r="F189">
        <v>32500</v>
      </c>
      <c r="G189" t="s">
        <v>4888</v>
      </c>
      <c r="H189" s="3">
        <v>42857</v>
      </c>
      <c r="I189" t="s">
        <v>214</v>
      </c>
      <c r="J189">
        <v>30000</v>
      </c>
      <c r="K189" s="1"/>
      <c r="M189" s="3">
        <v>42859</v>
      </c>
      <c r="N189" t="s">
        <v>54</v>
      </c>
      <c r="O189" t="s">
        <v>214</v>
      </c>
      <c r="P189" t="s">
        <v>56</v>
      </c>
      <c r="Q189">
        <v>24700</v>
      </c>
      <c r="R189" s="3">
        <v>42966</v>
      </c>
      <c r="S189" t="s">
        <v>54</v>
      </c>
      <c r="T189" t="s">
        <v>4859</v>
      </c>
      <c r="U189" t="s">
        <v>60</v>
      </c>
      <c r="V189">
        <v>4900</v>
      </c>
      <c r="AG189" t="s">
        <v>4889</v>
      </c>
      <c r="AH189" s="3">
        <v>42901</v>
      </c>
      <c r="AI189">
        <v>32500</v>
      </c>
      <c r="AJ189">
        <v>0</v>
      </c>
      <c r="AS189" t="s">
        <v>4890</v>
      </c>
      <c r="AT189" s="3">
        <v>43129</v>
      </c>
      <c r="AU189">
        <v>319970</v>
      </c>
      <c r="AV189">
        <v>0</v>
      </c>
      <c r="AW189">
        <v>6530</v>
      </c>
      <c r="AX189">
        <v>0</v>
      </c>
    </row>
    <row r="190" spans="1:50" x14ac:dyDescent="0.25">
      <c r="A190" t="s">
        <v>4891</v>
      </c>
      <c r="B190" s="3">
        <v>42857</v>
      </c>
      <c r="C190" t="s">
        <v>4459</v>
      </c>
      <c r="D190" t="s">
        <v>4437</v>
      </c>
      <c r="E190" t="s">
        <v>4425</v>
      </c>
      <c r="F190">
        <v>0</v>
      </c>
      <c r="K190" s="1"/>
      <c r="AG190" t="s">
        <v>4889</v>
      </c>
      <c r="AH190" s="3">
        <v>42901</v>
      </c>
      <c r="AI190">
        <v>0</v>
      </c>
      <c r="AJ190">
        <v>0</v>
      </c>
      <c r="AS190" t="s">
        <v>4890</v>
      </c>
      <c r="AT190" s="3">
        <v>43129</v>
      </c>
      <c r="AU190">
        <v>319970</v>
      </c>
      <c r="AV190">
        <v>0</v>
      </c>
      <c r="AW190">
        <v>6530</v>
      </c>
      <c r="AX190">
        <v>0</v>
      </c>
    </row>
    <row r="191" spans="1:50" x14ac:dyDescent="0.25">
      <c r="A191" t="s">
        <v>4892</v>
      </c>
      <c r="B191" s="3">
        <v>42857</v>
      </c>
      <c r="C191" t="s">
        <v>4459</v>
      </c>
      <c r="D191" t="s">
        <v>4437</v>
      </c>
      <c r="E191" t="s">
        <v>4425</v>
      </c>
      <c r="F191">
        <v>32500</v>
      </c>
      <c r="G191" t="s">
        <v>4893</v>
      </c>
      <c r="H191" s="3">
        <v>42857</v>
      </c>
      <c r="I191" t="s">
        <v>214</v>
      </c>
      <c r="J191">
        <v>28000</v>
      </c>
      <c r="K191" s="1"/>
      <c r="M191" s="3">
        <v>42859</v>
      </c>
      <c r="N191" t="s">
        <v>54</v>
      </c>
      <c r="O191" t="s">
        <v>214</v>
      </c>
      <c r="P191" t="s">
        <v>56</v>
      </c>
      <c r="Q191">
        <v>22700</v>
      </c>
      <c r="R191" s="3">
        <v>42966</v>
      </c>
      <c r="S191" t="s">
        <v>54</v>
      </c>
      <c r="T191" t="s">
        <v>4859</v>
      </c>
      <c r="U191" t="s">
        <v>60</v>
      </c>
      <c r="V191">
        <v>4900</v>
      </c>
      <c r="AG191" t="s">
        <v>4872</v>
      </c>
      <c r="AH191" s="3">
        <v>42906</v>
      </c>
      <c r="AI191">
        <v>32500</v>
      </c>
      <c r="AJ191">
        <v>0</v>
      </c>
      <c r="AS191" t="s">
        <v>4873</v>
      </c>
      <c r="AT191" s="3">
        <v>43172</v>
      </c>
      <c r="AU191">
        <v>542920</v>
      </c>
      <c r="AV191">
        <v>0</v>
      </c>
      <c r="AW191">
        <v>11080</v>
      </c>
      <c r="AX191">
        <v>0</v>
      </c>
    </row>
    <row r="192" spans="1:50" x14ac:dyDescent="0.25">
      <c r="A192" t="s">
        <v>4894</v>
      </c>
      <c r="B192" s="3">
        <v>42857</v>
      </c>
      <c r="C192" t="s">
        <v>4423</v>
      </c>
      <c r="D192" t="s">
        <v>4424</v>
      </c>
      <c r="E192" t="s">
        <v>4425</v>
      </c>
      <c r="F192">
        <v>24000</v>
      </c>
      <c r="G192" t="s">
        <v>4895</v>
      </c>
      <c r="H192" s="3">
        <v>42857</v>
      </c>
      <c r="I192" t="s">
        <v>214</v>
      </c>
      <c r="J192">
        <v>20000</v>
      </c>
      <c r="K192" s="1"/>
      <c r="M192" s="3">
        <v>42859</v>
      </c>
      <c r="N192" t="s">
        <v>54</v>
      </c>
      <c r="O192" t="s">
        <v>214</v>
      </c>
      <c r="P192" t="s">
        <v>56</v>
      </c>
      <c r="Q192">
        <v>16700</v>
      </c>
      <c r="R192" s="3">
        <v>43048</v>
      </c>
      <c r="S192" t="s">
        <v>54</v>
      </c>
      <c r="T192" t="s">
        <v>214</v>
      </c>
      <c r="U192" t="s">
        <v>60</v>
      </c>
      <c r="V192">
        <v>2950</v>
      </c>
      <c r="AG192" t="s">
        <v>4896</v>
      </c>
      <c r="AH192" s="3">
        <v>42906</v>
      </c>
      <c r="AI192">
        <v>24000</v>
      </c>
      <c r="AJ192">
        <v>0</v>
      </c>
      <c r="AS192" t="s">
        <v>4897</v>
      </c>
      <c r="AT192" s="3">
        <v>43045</v>
      </c>
      <c r="AU192">
        <v>282240</v>
      </c>
      <c r="AV192">
        <v>0</v>
      </c>
      <c r="AW192">
        <v>5760</v>
      </c>
      <c r="AX192">
        <v>0</v>
      </c>
    </row>
    <row r="193" spans="1:50" x14ac:dyDescent="0.25">
      <c r="A193" t="s">
        <v>4898</v>
      </c>
      <c r="B193" s="3">
        <v>42857</v>
      </c>
      <c r="C193" t="s">
        <v>4423</v>
      </c>
      <c r="D193" t="s">
        <v>4424</v>
      </c>
      <c r="E193" t="s">
        <v>4425</v>
      </c>
      <c r="F193">
        <v>24000</v>
      </c>
      <c r="G193" t="s">
        <v>4899</v>
      </c>
      <c r="H193" s="3">
        <v>42857</v>
      </c>
      <c r="I193" t="s">
        <v>214</v>
      </c>
      <c r="J193">
        <v>20000</v>
      </c>
      <c r="K193" s="1"/>
      <c r="M193" s="3">
        <v>42859</v>
      </c>
      <c r="N193" t="s">
        <v>57</v>
      </c>
      <c r="P193" t="s">
        <v>56</v>
      </c>
      <c r="Q193">
        <v>4000</v>
      </c>
      <c r="R193" s="3">
        <v>42859</v>
      </c>
      <c r="S193" t="s">
        <v>54</v>
      </c>
      <c r="T193" t="s">
        <v>214</v>
      </c>
      <c r="U193" t="s">
        <v>56</v>
      </c>
      <c r="V193">
        <v>12700</v>
      </c>
      <c r="W193" s="3">
        <v>42966</v>
      </c>
      <c r="X193" t="s">
        <v>54</v>
      </c>
      <c r="Y193" t="s">
        <v>4859</v>
      </c>
      <c r="Z193" t="s">
        <v>60</v>
      </c>
      <c r="AA193">
        <v>2950</v>
      </c>
      <c r="AG193" t="s">
        <v>4896</v>
      </c>
      <c r="AH193" s="3">
        <v>42906</v>
      </c>
      <c r="AI193">
        <v>24000</v>
      </c>
      <c r="AJ193">
        <v>0</v>
      </c>
      <c r="AS193" t="s">
        <v>4897</v>
      </c>
      <c r="AT193" s="3">
        <v>43045</v>
      </c>
      <c r="AU193">
        <v>282240</v>
      </c>
      <c r="AV193">
        <v>0</v>
      </c>
      <c r="AW193">
        <v>5760</v>
      </c>
      <c r="AX193">
        <v>0</v>
      </c>
    </row>
    <row r="194" spans="1:50" x14ac:dyDescent="0.25">
      <c r="A194" t="s">
        <v>4900</v>
      </c>
      <c r="B194" s="3">
        <v>42858</v>
      </c>
      <c r="C194" t="s">
        <v>4459</v>
      </c>
      <c r="D194" t="s">
        <v>4437</v>
      </c>
      <c r="E194" t="s">
        <v>4425</v>
      </c>
      <c r="F194">
        <v>32500</v>
      </c>
      <c r="G194" t="s">
        <v>4901</v>
      </c>
      <c r="H194" s="3">
        <v>42858</v>
      </c>
      <c r="I194" t="s">
        <v>214</v>
      </c>
      <c r="J194">
        <v>28000</v>
      </c>
      <c r="K194" s="1"/>
      <c r="M194" s="3">
        <v>42863</v>
      </c>
      <c r="N194" t="s">
        <v>54</v>
      </c>
      <c r="O194" t="s">
        <v>214</v>
      </c>
      <c r="P194" t="s">
        <v>56</v>
      </c>
      <c r="Q194">
        <v>22700</v>
      </c>
      <c r="R194" s="3">
        <v>42966</v>
      </c>
      <c r="S194" t="s">
        <v>54</v>
      </c>
      <c r="T194" t="s">
        <v>4859</v>
      </c>
      <c r="U194" t="s">
        <v>60</v>
      </c>
      <c r="V194">
        <v>4900</v>
      </c>
      <c r="AG194" t="s">
        <v>4889</v>
      </c>
      <c r="AH194" s="3">
        <v>42901</v>
      </c>
      <c r="AI194">
        <v>32500</v>
      </c>
      <c r="AJ194">
        <v>0</v>
      </c>
      <c r="AS194" t="s">
        <v>4890</v>
      </c>
      <c r="AT194" s="3">
        <v>43129</v>
      </c>
      <c r="AU194">
        <v>319970</v>
      </c>
      <c r="AV194">
        <v>0</v>
      </c>
      <c r="AW194">
        <v>6530</v>
      </c>
      <c r="AX194">
        <v>0</v>
      </c>
    </row>
    <row r="195" spans="1:50" x14ac:dyDescent="0.25">
      <c r="A195" t="s">
        <v>4902</v>
      </c>
      <c r="B195" s="3">
        <v>42858</v>
      </c>
      <c r="C195" t="s">
        <v>4423</v>
      </c>
      <c r="D195" t="s">
        <v>4430</v>
      </c>
      <c r="E195" t="s">
        <v>4425</v>
      </c>
      <c r="F195">
        <v>24000</v>
      </c>
      <c r="G195" t="s">
        <v>4903</v>
      </c>
      <c r="H195" s="3">
        <v>42858</v>
      </c>
      <c r="I195" t="s">
        <v>214</v>
      </c>
      <c r="J195">
        <v>20000</v>
      </c>
      <c r="K195" s="1"/>
      <c r="M195" s="3">
        <v>42861</v>
      </c>
      <c r="N195" t="s">
        <v>54</v>
      </c>
      <c r="O195" t="s">
        <v>2737</v>
      </c>
      <c r="P195" t="s">
        <v>56</v>
      </c>
      <c r="Q195">
        <v>2000</v>
      </c>
      <c r="R195" s="3">
        <v>42861</v>
      </c>
      <c r="S195" t="s">
        <v>54</v>
      </c>
      <c r="T195" t="s">
        <v>2737</v>
      </c>
      <c r="U195" t="s">
        <v>56</v>
      </c>
      <c r="V195">
        <v>14700</v>
      </c>
      <c r="W195" s="3">
        <v>43034</v>
      </c>
      <c r="X195" t="s">
        <v>54</v>
      </c>
      <c r="Y195" t="s">
        <v>214</v>
      </c>
      <c r="Z195" t="s">
        <v>60</v>
      </c>
      <c r="AA195">
        <v>2950</v>
      </c>
      <c r="AG195" t="s">
        <v>4896</v>
      </c>
      <c r="AH195" s="3">
        <v>42906</v>
      </c>
      <c r="AI195">
        <v>24000</v>
      </c>
      <c r="AJ195">
        <v>0</v>
      </c>
      <c r="AS195" t="s">
        <v>4897</v>
      </c>
      <c r="AT195" s="3">
        <v>43045</v>
      </c>
      <c r="AU195">
        <v>282240</v>
      </c>
      <c r="AV195">
        <v>0</v>
      </c>
      <c r="AW195">
        <v>5760</v>
      </c>
      <c r="AX195">
        <v>0</v>
      </c>
    </row>
    <row r="196" spans="1:50" x14ac:dyDescent="0.25">
      <c r="A196" t="s">
        <v>4904</v>
      </c>
      <c r="B196" s="3">
        <v>42858</v>
      </c>
      <c r="C196" t="s">
        <v>4423</v>
      </c>
      <c r="D196" t="s">
        <v>4424</v>
      </c>
      <c r="E196" t="s">
        <v>4425</v>
      </c>
      <c r="F196">
        <v>32500</v>
      </c>
      <c r="G196" t="s">
        <v>4905</v>
      </c>
      <c r="H196" s="3">
        <v>42858</v>
      </c>
      <c r="I196" t="s">
        <v>214</v>
      </c>
      <c r="J196">
        <v>28000</v>
      </c>
      <c r="K196" s="1"/>
      <c r="M196" s="3">
        <v>42863</v>
      </c>
      <c r="N196" t="s">
        <v>54</v>
      </c>
      <c r="O196" t="s">
        <v>214</v>
      </c>
      <c r="P196" t="s">
        <v>56</v>
      </c>
      <c r="Q196">
        <v>22700</v>
      </c>
      <c r="R196" s="3">
        <v>42966</v>
      </c>
      <c r="S196" t="s">
        <v>54</v>
      </c>
      <c r="T196" t="s">
        <v>4859</v>
      </c>
      <c r="U196" t="s">
        <v>60</v>
      </c>
      <c r="V196">
        <v>4900</v>
      </c>
      <c r="AG196" t="s">
        <v>4872</v>
      </c>
      <c r="AH196" s="3">
        <v>42906</v>
      </c>
      <c r="AI196">
        <v>32500</v>
      </c>
      <c r="AJ196">
        <v>0</v>
      </c>
      <c r="AS196" t="s">
        <v>4873</v>
      </c>
      <c r="AT196" s="3">
        <v>43172</v>
      </c>
      <c r="AU196">
        <v>542920</v>
      </c>
      <c r="AV196">
        <v>0</v>
      </c>
      <c r="AW196">
        <v>11080</v>
      </c>
      <c r="AX196">
        <v>0</v>
      </c>
    </row>
    <row r="197" spans="1:50" x14ac:dyDescent="0.25">
      <c r="A197" t="s">
        <v>4906</v>
      </c>
      <c r="B197" s="3">
        <v>42859</v>
      </c>
      <c r="C197" t="s">
        <v>4423</v>
      </c>
      <c r="D197" t="s">
        <v>4907</v>
      </c>
      <c r="E197" t="s">
        <v>4425</v>
      </c>
      <c r="F197">
        <v>34000</v>
      </c>
      <c r="G197" t="s">
        <v>4908</v>
      </c>
      <c r="H197" s="3">
        <v>42859</v>
      </c>
      <c r="I197" t="s">
        <v>214</v>
      </c>
      <c r="J197">
        <v>30000</v>
      </c>
      <c r="K197" s="1"/>
      <c r="M197" s="3">
        <v>42861</v>
      </c>
      <c r="N197" t="s">
        <v>54</v>
      </c>
      <c r="O197" t="s">
        <v>2737</v>
      </c>
      <c r="P197" t="s">
        <v>56</v>
      </c>
      <c r="Q197">
        <v>24700</v>
      </c>
      <c r="R197" s="3">
        <v>43034</v>
      </c>
      <c r="S197" t="s">
        <v>54</v>
      </c>
      <c r="T197" t="s">
        <v>214</v>
      </c>
      <c r="U197" t="s">
        <v>60</v>
      </c>
      <c r="V197">
        <v>4900</v>
      </c>
      <c r="AG197" t="s">
        <v>4872</v>
      </c>
      <c r="AH197" s="3">
        <v>42906</v>
      </c>
      <c r="AI197">
        <v>34000</v>
      </c>
      <c r="AJ197">
        <v>0</v>
      </c>
      <c r="AS197" t="s">
        <v>4873</v>
      </c>
      <c r="AT197" s="3">
        <v>43172</v>
      </c>
      <c r="AU197">
        <v>542920</v>
      </c>
      <c r="AV197">
        <v>0</v>
      </c>
      <c r="AW197">
        <v>11080</v>
      </c>
      <c r="AX197">
        <v>0</v>
      </c>
    </row>
    <row r="198" spans="1:50" x14ac:dyDescent="0.25">
      <c r="A198" t="s">
        <v>4909</v>
      </c>
      <c r="B198" s="3">
        <v>42859</v>
      </c>
      <c r="C198" t="s">
        <v>4626</v>
      </c>
      <c r="D198" t="s">
        <v>4424</v>
      </c>
      <c r="E198" t="s">
        <v>4425</v>
      </c>
      <c r="F198">
        <v>11000</v>
      </c>
      <c r="G198" t="s">
        <v>4910</v>
      </c>
      <c r="H198" s="3">
        <v>42859</v>
      </c>
      <c r="I198" t="s">
        <v>214</v>
      </c>
      <c r="J198">
        <v>10000</v>
      </c>
      <c r="K198" s="1"/>
      <c r="M198" s="3">
        <v>42966</v>
      </c>
      <c r="N198" t="s">
        <v>54</v>
      </c>
      <c r="O198" t="s">
        <v>4859</v>
      </c>
      <c r="P198" t="s">
        <v>60</v>
      </c>
      <c r="Q198">
        <v>9800</v>
      </c>
      <c r="AG198" t="s">
        <v>4911</v>
      </c>
      <c r="AH198" s="3">
        <v>42906</v>
      </c>
      <c r="AI198">
        <v>11000</v>
      </c>
      <c r="AJ198">
        <v>0</v>
      </c>
      <c r="AS198" t="s">
        <v>4693</v>
      </c>
      <c r="AT198" s="3">
        <v>42963</v>
      </c>
      <c r="AU198">
        <v>32340</v>
      </c>
      <c r="AV198">
        <v>0</v>
      </c>
      <c r="AW198">
        <v>660</v>
      </c>
      <c r="AX198">
        <v>0</v>
      </c>
    </row>
    <row r="199" spans="1:50" x14ac:dyDescent="0.25">
      <c r="A199" t="s">
        <v>4912</v>
      </c>
      <c r="B199" s="3">
        <v>42860</v>
      </c>
      <c r="C199" t="s">
        <v>4423</v>
      </c>
      <c r="D199" t="s">
        <v>4430</v>
      </c>
      <c r="E199" t="s">
        <v>4425</v>
      </c>
      <c r="F199">
        <v>24000</v>
      </c>
      <c r="G199" t="s">
        <v>4913</v>
      </c>
      <c r="H199" s="3">
        <v>42860</v>
      </c>
      <c r="I199" t="s">
        <v>214</v>
      </c>
      <c r="J199">
        <v>20000</v>
      </c>
      <c r="K199" s="1"/>
      <c r="M199" s="3">
        <v>42861</v>
      </c>
      <c r="N199" t="s">
        <v>57</v>
      </c>
      <c r="P199" t="s">
        <v>56</v>
      </c>
      <c r="Q199">
        <v>6000</v>
      </c>
      <c r="R199" s="3">
        <v>42861</v>
      </c>
      <c r="S199" t="s">
        <v>54</v>
      </c>
      <c r="T199" t="s">
        <v>2737</v>
      </c>
      <c r="U199" t="s">
        <v>56</v>
      </c>
      <c r="V199">
        <v>10700</v>
      </c>
      <c r="W199" s="3">
        <v>43048</v>
      </c>
      <c r="X199" t="s">
        <v>54</v>
      </c>
      <c r="Y199" t="s">
        <v>214</v>
      </c>
      <c r="Z199" t="s">
        <v>60</v>
      </c>
      <c r="AA199">
        <v>2950</v>
      </c>
      <c r="AG199" t="s">
        <v>4896</v>
      </c>
      <c r="AH199" s="3">
        <v>42906</v>
      </c>
      <c r="AI199">
        <v>24000</v>
      </c>
      <c r="AJ199">
        <v>0</v>
      </c>
      <c r="AS199" t="s">
        <v>4897</v>
      </c>
      <c r="AT199" s="3">
        <v>43045</v>
      </c>
      <c r="AU199">
        <v>282240</v>
      </c>
      <c r="AV199">
        <v>0</v>
      </c>
      <c r="AW199">
        <v>5760</v>
      </c>
      <c r="AX199">
        <v>0</v>
      </c>
    </row>
    <row r="200" spans="1:50" x14ac:dyDescent="0.25">
      <c r="A200" t="s">
        <v>4914</v>
      </c>
      <c r="B200" s="3">
        <v>42860</v>
      </c>
      <c r="C200" t="s">
        <v>4423</v>
      </c>
      <c r="D200" t="s">
        <v>4424</v>
      </c>
      <c r="E200" t="s">
        <v>4425</v>
      </c>
      <c r="F200">
        <v>32500</v>
      </c>
      <c r="G200" t="s">
        <v>4915</v>
      </c>
      <c r="H200" s="3">
        <v>42860</v>
      </c>
      <c r="I200" t="s">
        <v>214</v>
      </c>
      <c r="J200">
        <v>28000</v>
      </c>
      <c r="K200" s="1"/>
      <c r="M200" s="3">
        <v>42861</v>
      </c>
      <c r="N200" t="s">
        <v>54</v>
      </c>
      <c r="O200" t="s">
        <v>2737</v>
      </c>
      <c r="P200" t="s">
        <v>56</v>
      </c>
      <c r="Q200">
        <v>22700</v>
      </c>
      <c r="R200" s="3">
        <v>43034</v>
      </c>
      <c r="S200" t="s">
        <v>54</v>
      </c>
      <c r="T200" t="s">
        <v>214</v>
      </c>
      <c r="U200" t="s">
        <v>60</v>
      </c>
      <c r="V200">
        <v>4900</v>
      </c>
      <c r="AG200" t="s">
        <v>4872</v>
      </c>
      <c r="AH200" s="3">
        <v>42906</v>
      </c>
      <c r="AI200">
        <v>32500</v>
      </c>
      <c r="AJ200">
        <v>0</v>
      </c>
      <c r="AS200" t="s">
        <v>4873</v>
      </c>
      <c r="AT200" s="3">
        <v>43172</v>
      </c>
      <c r="AU200">
        <v>542920</v>
      </c>
      <c r="AV200">
        <v>0</v>
      </c>
      <c r="AW200">
        <v>11080</v>
      </c>
      <c r="AX200">
        <v>0</v>
      </c>
    </row>
    <row r="201" spans="1:50" x14ac:dyDescent="0.25">
      <c r="A201" t="s">
        <v>4916</v>
      </c>
      <c r="B201" s="3">
        <v>42860</v>
      </c>
      <c r="C201" t="s">
        <v>4423</v>
      </c>
      <c r="D201" t="s">
        <v>4424</v>
      </c>
      <c r="E201" t="s">
        <v>4425</v>
      </c>
      <c r="F201">
        <v>24000</v>
      </c>
      <c r="G201" t="s">
        <v>4917</v>
      </c>
      <c r="H201" s="3">
        <v>42860</v>
      </c>
      <c r="I201" t="s">
        <v>214</v>
      </c>
      <c r="J201">
        <v>20000</v>
      </c>
      <c r="K201" s="1"/>
      <c r="M201" s="3">
        <v>42861</v>
      </c>
      <c r="N201" t="s">
        <v>54</v>
      </c>
      <c r="O201" t="s">
        <v>2737</v>
      </c>
      <c r="P201" t="s">
        <v>56</v>
      </c>
      <c r="Q201">
        <v>16700</v>
      </c>
      <c r="R201" s="3">
        <v>43048</v>
      </c>
      <c r="S201" t="s">
        <v>54</v>
      </c>
      <c r="T201" t="s">
        <v>214</v>
      </c>
      <c r="U201" t="s">
        <v>60</v>
      </c>
      <c r="V201">
        <v>2950</v>
      </c>
      <c r="AG201" t="s">
        <v>4896</v>
      </c>
      <c r="AH201" s="3">
        <v>42906</v>
      </c>
      <c r="AI201">
        <v>24000</v>
      </c>
      <c r="AJ201">
        <v>0</v>
      </c>
      <c r="AS201" t="s">
        <v>4897</v>
      </c>
      <c r="AT201" s="3">
        <v>43045</v>
      </c>
      <c r="AU201">
        <v>282240</v>
      </c>
      <c r="AV201">
        <v>0</v>
      </c>
      <c r="AW201">
        <v>5760</v>
      </c>
      <c r="AX201">
        <v>0</v>
      </c>
    </row>
    <row r="202" spans="1:50" x14ac:dyDescent="0.25">
      <c r="A202" t="s">
        <v>4918</v>
      </c>
      <c r="B202" s="3">
        <v>42860</v>
      </c>
      <c r="C202" t="s">
        <v>4459</v>
      </c>
      <c r="D202" t="s">
        <v>4437</v>
      </c>
      <c r="E202" t="s">
        <v>4425</v>
      </c>
      <c r="F202">
        <v>24000</v>
      </c>
      <c r="G202" t="s">
        <v>4919</v>
      </c>
      <c r="H202" s="3">
        <v>42860</v>
      </c>
      <c r="I202" t="s">
        <v>214</v>
      </c>
      <c r="J202">
        <v>20000</v>
      </c>
      <c r="K202" s="1"/>
      <c r="M202" s="3">
        <v>42863</v>
      </c>
      <c r="N202" t="s">
        <v>54</v>
      </c>
      <c r="O202" t="s">
        <v>214</v>
      </c>
      <c r="P202" t="s">
        <v>56</v>
      </c>
      <c r="Q202">
        <v>16700</v>
      </c>
      <c r="R202" s="3">
        <v>43048</v>
      </c>
      <c r="S202" t="s">
        <v>54</v>
      </c>
      <c r="T202" t="s">
        <v>214</v>
      </c>
      <c r="U202" t="s">
        <v>60</v>
      </c>
      <c r="V202">
        <v>2950</v>
      </c>
      <c r="AG202" t="s">
        <v>4920</v>
      </c>
      <c r="AH202" s="3">
        <v>42901</v>
      </c>
      <c r="AI202">
        <v>24000</v>
      </c>
      <c r="AJ202">
        <v>0</v>
      </c>
      <c r="AS202" t="s">
        <v>4699</v>
      </c>
      <c r="AT202" s="3">
        <v>43069</v>
      </c>
      <c r="AU202">
        <v>211680</v>
      </c>
      <c r="AV202">
        <v>0</v>
      </c>
      <c r="AW202">
        <v>4320</v>
      </c>
      <c r="AX202">
        <v>0</v>
      </c>
    </row>
    <row r="203" spans="1:50" x14ac:dyDescent="0.25">
      <c r="A203" t="s">
        <v>4921</v>
      </c>
      <c r="B203" s="3">
        <v>42861</v>
      </c>
      <c r="C203" t="s">
        <v>4459</v>
      </c>
      <c r="D203" t="s">
        <v>4437</v>
      </c>
      <c r="E203" t="s">
        <v>4425</v>
      </c>
      <c r="F203">
        <v>24000</v>
      </c>
      <c r="G203" t="s">
        <v>4922</v>
      </c>
      <c r="H203" s="3">
        <v>42861</v>
      </c>
      <c r="I203" t="s">
        <v>214</v>
      </c>
      <c r="J203">
        <v>20000</v>
      </c>
      <c r="K203" s="1"/>
      <c r="M203" s="3">
        <v>42863</v>
      </c>
      <c r="N203" t="s">
        <v>54</v>
      </c>
      <c r="O203" t="s">
        <v>214</v>
      </c>
      <c r="P203" t="s">
        <v>56</v>
      </c>
      <c r="Q203">
        <v>16700</v>
      </c>
      <c r="R203" s="3">
        <v>43034</v>
      </c>
      <c r="S203" t="s">
        <v>54</v>
      </c>
      <c r="T203" t="s">
        <v>214</v>
      </c>
      <c r="U203" t="s">
        <v>60</v>
      </c>
      <c r="V203">
        <v>2950</v>
      </c>
      <c r="AG203" t="s">
        <v>4920</v>
      </c>
      <c r="AH203" s="3">
        <v>42901</v>
      </c>
      <c r="AI203">
        <v>24000</v>
      </c>
      <c r="AJ203">
        <v>0</v>
      </c>
      <c r="AS203" t="s">
        <v>4699</v>
      </c>
      <c r="AT203" s="3">
        <v>43069</v>
      </c>
      <c r="AU203">
        <v>211680</v>
      </c>
      <c r="AV203">
        <v>0</v>
      </c>
      <c r="AW203">
        <v>4320</v>
      </c>
      <c r="AX203">
        <v>0</v>
      </c>
    </row>
    <row r="204" spans="1:50" x14ac:dyDescent="0.25">
      <c r="A204" t="s">
        <v>4923</v>
      </c>
      <c r="B204" s="3">
        <v>42861</v>
      </c>
      <c r="C204" t="s">
        <v>4423</v>
      </c>
      <c r="D204" t="s">
        <v>4424</v>
      </c>
      <c r="E204" t="s">
        <v>4425</v>
      </c>
      <c r="F204">
        <v>32500</v>
      </c>
      <c r="G204" t="s">
        <v>4924</v>
      </c>
      <c r="H204" s="3">
        <v>42861</v>
      </c>
      <c r="I204" t="s">
        <v>214</v>
      </c>
      <c r="J204">
        <v>28000</v>
      </c>
      <c r="K204" s="1"/>
      <c r="M204" s="3">
        <v>42863</v>
      </c>
      <c r="N204" t="s">
        <v>57</v>
      </c>
      <c r="P204" t="s">
        <v>56</v>
      </c>
      <c r="Q204">
        <v>6000</v>
      </c>
      <c r="R204" s="3">
        <v>42863</v>
      </c>
      <c r="S204" t="s">
        <v>54</v>
      </c>
      <c r="T204" t="s">
        <v>214</v>
      </c>
      <c r="U204" t="s">
        <v>56</v>
      </c>
      <c r="V204">
        <v>16700</v>
      </c>
      <c r="W204" s="3">
        <v>43034</v>
      </c>
      <c r="X204" t="s">
        <v>54</v>
      </c>
      <c r="Y204" t="s">
        <v>214</v>
      </c>
      <c r="Z204" t="s">
        <v>60</v>
      </c>
      <c r="AA204">
        <v>4900</v>
      </c>
      <c r="AG204" t="s">
        <v>4872</v>
      </c>
      <c r="AH204" s="3">
        <v>42906</v>
      </c>
      <c r="AI204">
        <v>32500</v>
      </c>
      <c r="AJ204">
        <v>0</v>
      </c>
      <c r="AS204" t="s">
        <v>4873</v>
      </c>
      <c r="AT204" s="3">
        <v>43172</v>
      </c>
      <c r="AU204">
        <v>542920</v>
      </c>
      <c r="AV204">
        <v>0</v>
      </c>
      <c r="AW204">
        <v>11080</v>
      </c>
      <c r="AX204">
        <v>0</v>
      </c>
    </row>
    <row r="205" spans="1:50" x14ac:dyDescent="0.25">
      <c r="A205" t="s">
        <v>4925</v>
      </c>
      <c r="B205" s="3">
        <v>42863</v>
      </c>
      <c r="C205" t="s">
        <v>4423</v>
      </c>
      <c r="D205" t="s">
        <v>4424</v>
      </c>
      <c r="E205" t="s">
        <v>4425</v>
      </c>
      <c r="F205">
        <v>24000</v>
      </c>
      <c r="G205" t="s">
        <v>4926</v>
      </c>
      <c r="H205" s="3">
        <v>42863</v>
      </c>
      <c r="I205" t="s">
        <v>214</v>
      </c>
      <c r="J205">
        <v>20000</v>
      </c>
      <c r="K205" s="1"/>
      <c r="M205" s="3">
        <v>42863</v>
      </c>
      <c r="N205" t="s">
        <v>54</v>
      </c>
      <c r="O205" t="s">
        <v>214</v>
      </c>
      <c r="P205" t="s">
        <v>56</v>
      </c>
      <c r="Q205">
        <v>16700</v>
      </c>
      <c r="R205" s="3">
        <v>43048</v>
      </c>
      <c r="S205" t="s">
        <v>54</v>
      </c>
      <c r="T205" t="s">
        <v>214</v>
      </c>
      <c r="U205" t="s">
        <v>60</v>
      </c>
      <c r="V205">
        <v>2950</v>
      </c>
      <c r="AG205" t="s">
        <v>4896</v>
      </c>
      <c r="AH205" s="3">
        <v>42906</v>
      </c>
      <c r="AI205">
        <v>24000</v>
      </c>
      <c r="AJ205">
        <v>0</v>
      </c>
      <c r="AS205" t="s">
        <v>4897</v>
      </c>
      <c r="AT205" s="3">
        <v>43045</v>
      </c>
      <c r="AU205">
        <v>282240</v>
      </c>
      <c r="AV205">
        <v>0</v>
      </c>
      <c r="AW205">
        <v>5760</v>
      </c>
      <c r="AX205">
        <v>0</v>
      </c>
    </row>
    <row r="206" spans="1:50" x14ac:dyDescent="0.25">
      <c r="A206" t="s">
        <v>4927</v>
      </c>
      <c r="B206" s="3">
        <v>42863</v>
      </c>
      <c r="C206" t="s">
        <v>4459</v>
      </c>
      <c r="D206" t="s">
        <v>4437</v>
      </c>
      <c r="E206" t="s">
        <v>4425</v>
      </c>
      <c r="F206">
        <v>32500</v>
      </c>
      <c r="G206" t="s">
        <v>4928</v>
      </c>
      <c r="H206" s="3">
        <v>42863</v>
      </c>
      <c r="I206" t="s">
        <v>214</v>
      </c>
      <c r="J206">
        <v>28000</v>
      </c>
      <c r="K206" s="1"/>
      <c r="M206" s="3">
        <v>42863</v>
      </c>
      <c r="N206" t="s">
        <v>54</v>
      </c>
      <c r="O206" t="s">
        <v>214</v>
      </c>
      <c r="P206" t="s">
        <v>56</v>
      </c>
      <c r="Q206">
        <v>22700</v>
      </c>
      <c r="R206" s="3">
        <v>43034</v>
      </c>
      <c r="S206" t="s">
        <v>54</v>
      </c>
      <c r="T206" t="s">
        <v>214</v>
      </c>
      <c r="U206" t="s">
        <v>60</v>
      </c>
      <c r="V206">
        <v>4900</v>
      </c>
      <c r="AG206" t="s">
        <v>4889</v>
      </c>
      <c r="AH206" s="3">
        <v>42901</v>
      </c>
      <c r="AI206">
        <v>32500</v>
      </c>
      <c r="AJ206">
        <v>0</v>
      </c>
      <c r="AS206" t="s">
        <v>4890</v>
      </c>
      <c r="AT206" s="3">
        <v>43129</v>
      </c>
      <c r="AU206">
        <v>319970</v>
      </c>
      <c r="AV206">
        <v>0</v>
      </c>
      <c r="AW206">
        <v>6530</v>
      </c>
      <c r="AX206">
        <v>0</v>
      </c>
    </row>
    <row r="207" spans="1:50" x14ac:dyDescent="0.25">
      <c r="A207" t="s">
        <v>4929</v>
      </c>
      <c r="B207" s="3">
        <v>42864</v>
      </c>
      <c r="C207" t="s">
        <v>4423</v>
      </c>
      <c r="D207" t="s">
        <v>4424</v>
      </c>
      <c r="E207" t="s">
        <v>4425</v>
      </c>
      <c r="F207">
        <v>32500</v>
      </c>
      <c r="G207" t="s">
        <v>4930</v>
      </c>
      <c r="H207" s="3">
        <v>42864</v>
      </c>
      <c r="I207" t="s">
        <v>1375</v>
      </c>
      <c r="J207">
        <v>28000</v>
      </c>
      <c r="K207" s="1"/>
      <c r="M207" s="3">
        <v>42871</v>
      </c>
      <c r="N207" t="s">
        <v>57</v>
      </c>
      <c r="O207" t="s">
        <v>977</v>
      </c>
      <c r="P207" t="s">
        <v>56</v>
      </c>
      <c r="Q207">
        <v>4000</v>
      </c>
      <c r="R207" s="3">
        <v>42873</v>
      </c>
      <c r="S207" t="s">
        <v>54</v>
      </c>
      <c r="T207" t="s">
        <v>214</v>
      </c>
      <c r="U207" t="s">
        <v>56</v>
      </c>
      <c r="V207">
        <v>18700</v>
      </c>
      <c r="W207" s="3">
        <v>43034</v>
      </c>
      <c r="X207" t="s">
        <v>54</v>
      </c>
      <c r="Y207" t="s">
        <v>214</v>
      </c>
      <c r="Z207" t="s">
        <v>60</v>
      </c>
      <c r="AA207">
        <v>4900</v>
      </c>
      <c r="AG207" t="s">
        <v>4872</v>
      </c>
      <c r="AH207" s="3">
        <v>42906</v>
      </c>
      <c r="AI207">
        <v>32500</v>
      </c>
      <c r="AJ207">
        <v>0</v>
      </c>
      <c r="AS207" t="s">
        <v>4873</v>
      </c>
      <c r="AT207" s="3">
        <v>43172</v>
      </c>
      <c r="AU207">
        <v>542920</v>
      </c>
      <c r="AV207">
        <v>0</v>
      </c>
      <c r="AW207">
        <v>11080</v>
      </c>
      <c r="AX207">
        <v>0</v>
      </c>
    </row>
    <row r="208" spans="1:50" x14ac:dyDescent="0.25">
      <c r="A208" t="s">
        <v>4931</v>
      </c>
      <c r="B208" s="3">
        <v>42864</v>
      </c>
      <c r="C208" t="s">
        <v>4459</v>
      </c>
      <c r="D208" t="s">
        <v>4437</v>
      </c>
      <c r="E208" t="s">
        <v>4425</v>
      </c>
      <c r="F208">
        <v>24000</v>
      </c>
      <c r="G208" t="s">
        <v>4932</v>
      </c>
      <c r="H208" s="3">
        <v>42864</v>
      </c>
      <c r="I208" t="s">
        <v>1375</v>
      </c>
      <c r="J208">
        <v>20000</v>
      </c>
      <c r="K208" s="1"/>
      <c r="M208" s="3">
        <v>42873</v>
      </c>
      <c r="N208" t="s">
        <v>54</v>
      </c>
      <c r="O208" t="s">
        <v>214</v>
      </c>
      <c r="P208" t="s">
        <v>56</v>
      </c>
      <c r="Q208">
        <v>16700</v>
      </c>
      <c r="R208" s="3">
        <v>43034</v>
      </c>
      <c r="S208" t="s">
        <v>54</v>
      </c>
      <c r="T208" t="s">
        <v>214</v>
      </c>
      <c r="U208" t="s">
        <v>60</v>
      </c>
      <c r="V208">
        <v>2950</v>
      </c>
      <c r="AG208" t="s">
        <v>4920</v>
      </c>
      <c r="AH208" s="3">
        <v>42901</v>
      </c>
      <c r="AI208">
        <v>24000</v>
      </c>
      <c r="AJ208">
        <v>0</v>
      </c>
      <c r="AS208" t="s">
        <v>4699</v>
      </c>
      <c r="AT208" s="3">
        <v>43069</v>
      </c>
      <c r="AU208">
        <v>211680</v>
      </c>
      <c r="AV208">
        <v>0</v>
      </c>
      <c r="AW208">
        <v>4320</v>
      </c>
      <c r="AX208">
        <v>0</v>
      </c>
    </row>
    <row r="209" spans="1:50" x14ac:dyDescent="0.25">
      <c r="A209" t="s">
        <v>4933</v>
      </c>
      <c r="B209" s="3">
        <v>42866</v>
      </c>
      <c r="C209" t="s">
        <v>4459</v>
      </c>
      <c r="D209" t="s">
        <v>4437</v>
      </c>
      <c r="E209" t="s">
        <v>4425</v>
      </c>
      <c r="F209">
        <v>32500</v>
      </c>
      <c r="G209" t="s">
        <v>4934</v>
      </c>
      <c r="H209" s="3">
        <v>42866</v>
      </c>
      <c r="I209" t="s">
        <v>1375</v>
      </c>
      <c r="J209">
        <v>28000</v>
      </c>
      <c r="K209" s="1"/>
      <c r="M209" s="3">
        <v>42873</v>
      </c>
      <c r="N209" t="s">
        <v>54</v>
      </c>
      <c r="O209" t="s">
        <v>214</v>
      </c>
      <c r="P209" t="s">
        <v>56</v>
      </c>
      <c r="Q209">
        <v>22700</v>
      </c>
      <c r="R209" s="3">
        <v>43034</v>
      </c>
      <c r="S209" t="s">
        <v>54</v>
      </c>
      <c r="T209" t="s">
        <v>214</v>
      </c>
      <c r="U209" t="s">
        <v>60</v>
      </c>
      <c r="V209">
        <v>4900</v>
      </c>
      <c r="AG209" t="s">
        <v>4889</v>
      </c>
      <c r="AH209" s="3">
        <v>42901</v>
      </c>
      <c r="AI209">
        <v>32500</v>
      </c>
      <c r="AJ209">
        <v>0</v>
      </c>
      <c r="AS209" t="s">
        <v>4890</v>
      </c>
      <c r="AT209" s="3">
        <v>43129</v>
      </c>
      <c r="AU209">
        <v>319970</v>
      </c>
      <c r="AV209">
        <v>0</v>
      </c>
      <c r="AW209">
        <v>6530</v>
      </c>
      <c r="AX209">
        <v>0</v>
      </c>
    </row>
    <row r="210" spans="1:50" x14ac:dyDescent="0.25">
      <c r="A210" t="s">
        <v>4935</v>
      </c>
      <c r="B210" s="3">
        <v>42866</v>
      </c>
      <c r="C210" t="s">
        <v>4626</v>
      </c>
      <c r="D210" t="s">
        <v>4424</v>
      </c>
      <c r="E210" t="s">
        <v>4425</v>
      </c>
      <c r="F210">
        <v>11000</v>
      </c>
      <c r="G210" t="s">
        <v>4936</v>
      </c>
      <c r="H210" s="3">
        <v>42866</v>
      </c>
      <c r="I210" t="s">
        <v>1375</v>
      </c>
      <c r="J210">
        <v>10000</v>
      </c>
      <c r="K210" s="1"/>
      <c r="M210" s="3">
        <v>43034</v>
      </c>
      <c r="N210" t="s">
        <v>54</v>
      </c>
      <c r="O210" t="s">
        <v>214</v>
      </c>
      <c r="P210" t="s">
        <v>60</v>
      </c>
      <c r="Q210">
        <v>9800</v>
      </c>
      <c r="AG210" t="s">
        <v>4911</v>
      </c>
      <c r="AH210" s="3">
        <v>42906</v>
      </c>
      <c r="AI210">
        <v>11000</v>
      </c>
      <c r="AJ210">
        <v>0</v>
      </c>
      <c r="AS210" t="s">
        <v>4693</v>
      </c>
      <c r="AT210" s="3">
        <v>42963</v>
      </c>
      <c r="AU210">
        <v>32340</v>
      </c>
      <c r="AV210">
        <v>0</v>
      </c>
      <c r="AW210">
        <v>660</v>
      </c>
      <c r="AX210">
        <v>0</v>
      </c>
    </row>
    <row r="211" spans="1:50" x14ac:dyDescent="0.25">
      <c r="A211" t="s">
        <v>4937</v>
      </c>
      <c r="B211" s="3">
        <v>42871</v>
      </c>
      <c r="C211" t="s">
        <v>4423</v>
      </c>
      <c r="D211" t="s">
        <v>4430</v>
      </c>
      <c r="E211" t="s">
        <v>4425</v>
      </c>
      <c r="F211">
        <v>0</v>
      </c>
      <c r="G211" t="s">
        <v>4938</v>
      </c>
      <c r="H211" s="3">
        <v>42871</v>
      </c>
      <c r="I211" t="s">
        <v>214</v>
      </c>
      <c r="J211">
        <v>29000</v>
      </c>
      <c r="K211" s="1"/>
      <c r="M211" s="3">
        <v>42871</v>
      </c>
      <c r="N211" t="s">
        <v>54</v>
      </c>
      <c r="O211" t="s">
        <v>68</v>
      </c>
      <c r="P211" t="s">
        <v>56</v>
      </c>
      <c r="Q211">
        <v>22700</v>
      </c>
      <c r="R211" s="3">
        <v>42947</v>
      </c>
      <c r="S211" t="s">
        <v>54</v>
      </c>
      <c r="T211" t="s">
        <v>4809</v>
      </c>
      <c r="U211" t="s">
        <v>60</v>
      </c>
      <c r="V211">
        <v>5900</v>
      </c>
      <c r="AG211" t="s">
        <v>4872</v>
      </c>
      <c r="AH211" s="3">
        <v>42906</v>
      </c>
      <c r="AI211">
        <v>0</v>
      </c>
      <c r="AJ211">
        <v>0</v>
      </c>
      <c r="AS211" t="s">
        <v>4873</v>
      </c>
      <c r="AT211" s="3">
        <v>43172</v>
      </c>
      <c r="AU211">
        <v>542920</v>
      </c>
      <c r="AV211">
        <v>0</v>
      </c>
      <c r="AW211">
        <v>11080</v>
      </c>
      <c r="AX211">
        <v>0</v>
      </c>
    </row>
    <row r="212" spans="1:50" x14ac:dyDescent="0.25">
      <c r="A212" t="s">
        <v>4939</v>
      </c>
      <c r="B212" s="3">
        <v>42871</v>
      </c>
      <c r="C212" t="s">
        <v>4423</v>
      </c>
      <c r="D212" t="s">
        <v>4907</v>
      </c>
      <c r="E212" t="s">
        <v>4425</v>
      </c>
      <c r="F212">
        <v>32500</v>
      </c>
      <c r="K212" s="1"/>
      <c r="AG212" t="s">
        <v>4872</v>
      </c>
      <c r="AH212" s="3">
        <v>42906</v>
      </c>
      <c r="AI212">
        <v>32500</v>
      </c>
      <c r="AJ212">
        <v>0</v>
      </c>
      <c r="AS212" t="s">
        <v>4873</v>
      </c>
      <c r="AT212" s="3">
        <v>43172</v>
      </c>
      <c r="AU212">
        <v>542920</v>
      </c>
      <c r="AV212">
        <v>0</v>
      </c>
      <c r="AW212">
        <v>11080</v>
      </c>
      <c r="AX212">
        <v>0</v>
      </c>
    </row>
    <row r="213" spans="1:50" x14ac:dyDescent="0.25">
      <c r="A213" t="s">
        <v>4940</v>
      </c>
      <c r="B213" s="3">
        <v>42871</v>
      </c>
      <c r="C213" t="s">
        <v>4459</v>
      </c>
      <c r="D213" t="s">
        <v>4437</v>
      </c>
      <c r="E213" t="s">
        <v>4425</v>
      </c>
      <c r="F213">
        <v>24000</v>
      </c>
      <c r="G213" t="s">
        <v>4941</v>
      </c>
      <c r="H213" s="3">
        <v>42871</v>
      </c>
      <c r="I213" t="s">
        <v>1375</v>
      </c>
      <c r="J213">
        <v>20000</v>
      </c>
      <c r="K213" s="1"/>
      <c r="M213" s="3">
        <v>42873</v>
      </c>
      <c r="N213" t="s">
        <v>54</v>
      </c>
      <c r="O213" t="s">
        <v>214</v>
      </c>
      <c r="P213" t="s">
        <v>56</v>
      </c>
      <c r="Q213">
        <v>16700</v>
      </c>
      <c r="R213" s="3">
        <v>43034</v>
      </c>
      <c r="S213" t="s">
        <v>54</v>
      </c>
      <c r="T213" t="s">
        <v>214</v>
      </c>
      <c r="U213" t="s">
        <v>60</v>
      </c>
      <c r="V213">
        <v>2950</v>
      </c>
      <c r="AG213" t="s">
        <v>4920</v>
      </c>
      <c r="AH213" s="3">
        <v>42901</v>
      </c>
      <c r="AI213">
        <v>24000</v>
      </c>
      <c r="AJ213">
        <v>0</v>
      </c>
      <c r="AS213" t="s">
        <v>4699</v>
      </c>
      <c r="AT213" s="3">
        <v>43069</v>
      </c>
      <c r="AU213">
        <v>211680</v>
      </c>
      <c r="AV213">
        <v>0</v>
      </c>
      <c r="AW213">
        <v>4320</v>
      </c>
      <c r="AX213">
        <v>0</v>
      </c>
    </row>
    <row r="214" spans="1:50" x14ac:dyDescent="0.25">
      <c r="A214" t="s">
        <v>4942</v>
      </c>
      <c r="B214" s="3">
        <v>42871</v>
      </c>
      <c r="C214" t="s">
        <v>4459</v>
      </c>
      <c r="D214" t="s">
        <v>4437</v>
      </c>
      <c r="E214" t="s">
        <v>4425</v>
      </c>
      <c r="F214">
        <v>24000</v>
      </c>
      <c r="G214" t="s">
        <v>4943</v>
      </c>
      <c r="H214" s="3">
        <v>42871</v>
      </c>
      <c r="I214" t="s">
        <v>214</v>
      </c>
      <c r="J214">
        <v>20000</v>
      </c>
      <c r="K214" s="1"/>
      <c r="M214" s="3">
        <v>42873</v>
      </c>
      <c r="N214" t="s">
        <v>54</v>
      </c>
      <c r="O214" t="s">
        <v>4671</v>
      </c>
      <c r="P214" t="s">
        <v>56</v>
      </c>
      <c r="Q214">
        <v>16700</v>
      </c>
      <c r="R214" s="3">
        <v>43034</v>
      </c>
      <c r="S214" t="s">
        <v>54</v>
      </c>
      <c r="T214" t="s">
        <v>214</v>
      </c>
      <c r="U214" t="s">
        <v>60</v>
      </c>
      <c r="V214">
        <v>2950</v>
      </c>
      <c r="AG214" t="s">
        <v>4920</v>
      </c>
      <c r="AH214" s="3">
        <v>42901</v>
      </c>
      <c r="AI214">
        <v>24000</v>
      </c>
      <c r="AJ214">
        <v>0</v>
      </c>
      <c r="AS214" t="s">
        <v>4699</v>
      </c>
      <c r="AT214" s="3">
        <v>43069</v>
      </c>
      <c r="AU214">
        <v>211680</v>
      </c>
      <c r="AV214">
        <v>0</v>
      </c>
      <c r="AW214">
        <v>4320</v>
      </c>
      <c r="AX214">
        <v>0</v>
      </c>
    </row>
    <row r="215" spans="1:50" x14ac:dyDescent="0.25">
      <c r="A215" t="s">
        <v>4944</v>
      </c>
      <c r="B215" s="3">
        <v>42871</v>
      </c>
      <c r="C215" t="s">
        <v>4423</v>
      </c>
      <c r="D215" t="s">
        <v>4424</v>
      </c>
      <c r="E215" t="s">
        <v>4425</v>
      </c>
      <c r="F215">
        <v>32500</v>
      </c>
      <c r="G215" t="s">
        <v>4945</v>
      </c>
      <c r="H215" s="3">
        <v>42871</v>
      </c>
      <c r="I215" t="s">
        <v>214</v>
      </c>
      <c r="J215">
        <v>28000</v>
      </c>
      <c r="K215" s="1"/>
      <c r="M215" s="3">
        <v>42873</v>
      </c>
      <c r="N215" t="s">
        <v>54</v>
      </c>
      <c r="O215" t="s">
        <v>4671</v>
      </c>
      <c r="P215" t="s">
        <v>56</v>
      </c>
      <c r="Q215">
        <v>22700</v>
      </c>
      <c r="R215" s="3">
        <v>43048</v>
      </c>
      <c r="S215" t="s">
        <v>54</v>
      </c>
      <c r="T215" t="s">
        <v>214</v>
      </c>
      <c r="U215" t="s">
        <v>60</v>
      </c>
      <c r="V215">
        <v>4900</v>
      </c>
      <c r="AG215" t="s">
        <v>4872</v>
      </c>
      <c r="AH215" s="3">
        <v>42906</v>
      </c>
      <c r="AI215">
        <v>32500</v>
      </c>
      <c r="AJ215">
        <v>0</v>
      </c>
      <c r="AS215" t="s">
        <v>4873</v>
      </c>
      <c r="AT215" s="3">
        <v>43172</v>
      </c>
      <c r="AU215">
        <v>542920</v>
      </c>
      <c r="AV215">
        <v>0</v>
      </c>
      <c r="AW215">
        <v>11080</v>
      </c>
      <c r="AX215">
        <v>0</v>
      </c>
    </row>
    <row r="216" spans="1:50" x14ac:dyDescent="0.25">
      <c r="A216" t="s">
        <v>4946</v>
      </c>
      <c r="B216" s="3">
        <v>42871</v>
      </c>
      <c r="C216" t="s">
        <v>4423</v>
      </c>
      <c r="D216" t="s">
        <v>4424</v>
      </c>
      <c r="E216" t="s">
        <v>4425</v>
      </c>
      <c r="F216">
        <v>32500</v>
      </c>
      <c r="G216" t="s">
        <v>4947</v>
      </c>
      <c r="H216" s="3">
        <v>42872</v>
      </c>
      <c r="I216" t="s">
        <v>1375</v>
      </c>
      <c r="J216">
        <v>28000</v>
      </c>
      <c r="K216" s="1"/>
      <c r="M216" s="3">
        <v>42873</v>
      </c>
      <c r="N216" t="s">
        <v>57</v>
      </c>
      <c r="P216" t="s">
        <v>56</v>
      </c>
      <c r="Q216">
        <v>6000</v>
      </c>
      <c r="R216" s="3">
        <v>42873</v>
      </c>
      <c r="S216" t="s">
        <v>54</v>
      </c>
      <c r="T216" t="s">
        <v>4671</v>
      </c>
      <c r="U216" t="s">
        <v>56</v>
      </c>
      <c r="V216">
        <v>16700</v>
      </c>
      <c r="W216" s="3">
        <v>43048</v>
      </c>
      <c r="X216" t="s">
        <v>54</v>
      </c>
      <c r="Y216" t="s">
        <v>214</v>
      </c>
      <c r="Z216" t="s">
        <v>60</v>
      </c>
      <c r="AA216">
        <v>4900</v>
      </c>
      <c r="AG216" t="s">
        <v>4872</v>
      </c>
      <c r="AH216" s="3">
        <v>42906</v>
      </c>
      <c r="AI216">
        <v>32500</v>
      </c>
      <c r="AJ216">
        <v>0</v>
      </c>
      <c r="AS216" t="s">
        <v>4873</v>
      </c>
      <c r="AT216" s="3">
        <v>43172</v>
      </c>
      <c r="AU216">
        <v>542920</v>
      </c>
      <c r="AV216">
        <v>0</v>
      </c>
      <c r="AW216">
        <v>11080</v>
      </c>
      <c r="AX216">
        <v>0</v>
      </c>
    </row>
    <row r="217" spans="1:50" x14ac:dyDescent="0.25">
      <c r="A217" t="s">
        <v>4948</v>
      </c>
      <c r="B217" s="3">
        <v>42872</v>
      </c>
      <c r="C217" t="s">
        <v>4459</v>
      </c>
      <c r="D217" t="s">
        <v>4437</v>
      </c>
      <c r="E217" t="s">
        <v>4425</v>
      </c>
      <c r="F217">
        <v>24000</v>
      </c>
      <c r="G217" t="s">
        <v>4949</v>
      </c>
      <c r="H217" s="3">
        <v>42872</v>
      </c>
      <c r="I217" t="s">
        <v>1375</v>
      </c>
      <c r="J217">
        <v>20000</v>
      </c>
      <c r="K217" s="1"/>
      <c r="M217" s="3">
        <v>42873</v>
      </c>
      <c r="N217" t="s">
        <v>54</v>
      </c>
      <c r="O217" t="s">
        <v>4671</v>
      </c>
      <c r="P217" t="s">
        <v>56</v>
      </c>
      <c r="Q217">
        <v>16700</v>
      </c>
      <c r="R217" s="3">
        <v>43034</v>
      </c>
      <c r="S217" t="s">
        <v>54</v>
      </c>
      <c r="T217" t="s">
        <v>214</v>
      </c>
      <c r="U217" t="s">
        <v>60</v>
      </c>
      <c r="V217">
        <v>2950</v>
      </c>
      <c r="AG217" t="s">
        <v>4920</v>
      </c>
      <c r="AH217" s="3">
        <v>42901</v>
      </c>
      <c r="AI217">
        <v>24000</v>
      </c>
      <c r="AJ217">
        <v>0</v>
      </c>
      <c r="AS217" t="s">
        <v>4699</v>
      </c>
      <c r="AT217" s="3">
        <v>43069</v>
      </c>
      <c r="AU217">
        <v>211680</v>
      </c>
      <c r="AV217">
        <v>0</v>
      </c>
      <c r="AW217">
        <v>4320</v>
      </c>
      <c r="AX217">
        <v>0</v>
      </c>
    </row>
    <row r="218" spans="1:50" x14ac:dyDescent="0.25">
      <c r="A218" t="s">
        <v>4950</v>
      </c>
      <c r="B218" s="3">
        <v>42873</v>
      </c>
      <c r="C218" t="s">
        <v>4423</v>
      </c>
      <c r="D218" t="s">
        <v>4424</v>
      </c>
      <c r="E218" t="s">
        <v>4425</v>
      </c>
      <c r="F218">
        <v>24000</v>
      </c>
      <c r="G218" t="s">
        <v>4951</v>
      </c>
      <c r="H218" s="3">
        <v>42873</v>
      </c>
      <c r="I218" t="s">
        <v>1375</v>
      </c>
      <c r="J218">
        <v>20000</v>
      </c>
      <c r="K218" s="1"/>
      <c r="M218" s="3">
        <v>42873</v>
      </c>
      <c r="N218" t="s">
        <v>54</v>
      </c>
      <c r="O218" t="s">
        <v>4671</v>
      </c>
      <c r="P218" t="s">
        <v>56</v>
      </c>
      <c r="Q218">
        <v>16700</v>
      </c>
      <c r="R218" s="3">
        <v>43048</v>
      </c>
      <c r="S218" t="s">
        <v>54</v>
      </c>
      <c r="T218" t="s">
        <v>214</v>
      </c>
      <c r="U218" t="s">
        <v>60</v>
      </c>
      <c r="V218">
        <v>2950</v>
      </c>
      <c r="AG218" t="s">
        <v>4896</v>
      </c>
      <c r="AH218" s="3">
        <v>42906</v>
      </c>
      <c r="AI218">
        <v>24000</v>
      </c>
      <c r="AJ218">
        <v>0</v>
      </c>
      <c r="AS218" t="s">
        <v>4897</v>
      </c>
      <c r="AT218" s="3">
        <v>43045</v>
      </c>
      <c r="AU218">
        <v>282240</v>
      </c>
      <c r="AV218">
        <v>0</v>
      </c>
      <c r="AW218">
        <v>5760</v>
      </c>
      <c r="AX218">
        <v>0</v>
      </c>
    </row>
    <row r="219" spans="1:50" x14ac:dyDescent="0.25">
      <c r="A219" t="s">
        <v>4952</v>
      </c>
      <c r="B219" s="3">
        <v>42874</v>
      </c>
      <c r="C219" t="s">
        <v>4459</v>
      </c>
      <c r="D219" t="s">
        <v>4437</v>
      </c>
      <c r="E219" t="s">
        <v>4425</v>
      </c>
      <c r="F219">
        <v>32500</v>
      </c>
      <c r="G219" t="s">
        <v>4953</v>
      </c>
      <c r="H219" s="3">
        <v>42874</v>
      </c>
      <c r="I219" t="s">
        <v>214</v>
      </c>
      <c r="J219">
        <v>28000</v>
      </c>
      <c r="K219" s="1"/>
      <c r="M219" s="3">
        <v>42879</v>
      </c>
      <c r="N219" t="s">
        <v>54</v>
      </c>
      <c r="O219" t="s">
        <v>2737</v>
      </c>
      <c r="P219" t="s">
        <v>56</v>
      </c>
      <c r="Q219">
        <v>22700</v>
      </c>
      <c r="R219" s="3">
        <v>43048</v>
      </c>
      <c r="S219" t="s">
        <v>54</v>
      </c>
      <c r="T219" t="s">
        <v>214</v>
      </c>
      <c r="U219" t="s">
        <v>60</v>
      </c>
      <c r="V219">
        <v>4900</v>
      </c>
      <c r="AG219" t="s">
        <v>4889</v>
      </c>
      <c r="AH219" s="3">
        <v>42901</v>
      </c>
      <c r="AI219">
        <v>32500</v>
      </c>
      <c r="AJ219">
        <v>0</v>
      </c>
      <c r="AS219" t="s">
        <v>4890</v>
      </c>
      <c r="AT219" s="3">
        <v>43129</v>
      </c>
      <c r="AU219">
        <v>319970</v>
      </c>
      <c r="AV219">
        <v>0</v>
      </c>
      <c r="AW219">
        <v>6530</v>
      </c>
      <c r="AX219">
        <v>0</v>
      </c>
    </row>
    <row r="220" spans="1:50" x14ac:dyDescent="0.25">
      <c r="A220" t="s">
        <v>4954</v>
      </c>
      <c r="B220" s="3">
        <v>42875</v>
      </c>
      <c r="C220" t="s">
        <v>4423</v>
      </c>
      <c r="D220" t="s">
        <v>4907</v>
      </c>
      <c r="E220" t="s">
        <v>4425</v>
      </c>
      <c r="F220">
        <v>32500</v>
      </c>
      <c r="G220" t="s">
        <v>4955</v>
      </c>
      <c r="H220" s="3">
        <v>42875</v>
      </c>
      <c r="I220" t="s">
        <v>214</v>
      </c>
      <c r="J220">
        <v>28000</v>
      </c>
      <c r="K220" s="1"/>
      <c r="M220" s="3">
        <v>42879</v>
      </c>
      <c r="N220" t="s">
        <v>54</v>
      </c>
      <c r="O220" t="s">
        <v>2737</v>
      </c>
      <c r="P220" t="s">
        <v>56</v>
      </c>
      <c r="Q220">
        <v>22700</v>
      </c>
      <c r="R220" s="3">
        <v>43110</v>
      </c>
      <c r="S220" t="s">
        <v>54</v>
      </c>
      <c r="T220" t="s">
        <v>214</v>
      </c>
      <c r="U220" t="s">
        <v>60</v>
      </c>
      <c r="V220">
        <v>4900</v>
      </c>
      <c r="AG220" t="s">
        <v>4872</v>
      </c>
      <c r="AH220" s="3">
        <v>42906</v>
      </c>
      <c r="AI220">
        <v>32500</v>
      </c>
      <c r="AJ220">
        <v>0</v>
      </c>
      <c r="AS220" t="s">
        <v>4873</v>
      </c>
      <c r="AT220" s="3">
        <v>43172</v>
      </c>
      <c r="AU220">
        <v>542920</v>
      </c>
      <c r="AV220">
        <v>0</v>
      </c>
      <c r="AW220">
        <v>11080</v>
      </c>
      <c r="AX220">
        <v>0</v>
      </c>
    </row>
    <row r="221" spans="1:50" x14ac:dyDescent="0.25">
      <c r="A221" t="s">
        <v>4956</v>
      </c>
      <c r="B221" s="3">
        <v>42877</v>
      </c>
      <c r="C221" t="s">
        <v>4459</v>
      </c>
      <c r="D221" t="s">
        <v>4437</v>
      </c>
      <c r="E221" t="s">
        <v>4425</v>
      </c>
      <c r="F221">
        <v>34000</v>
      </c>
      <c r="G221" t="s">
        <v>4957</v>
      </c>
      <c r="H221" s="3">
        <v>42877</v>
      </c>
      <c r="I221" t="s">
        <v>214</v>
      </c>
      <c r="J221">
        <v>30000</v>
      </c>
      <c r="K221" s="1"/>
      <c r="M221" s="3">
        <v>42879</v>
      </c>
      <c r="N221" t="s">
        <v>54</v>
      </c>
      <c r="O221" t="s">
        <v>2737</v>
      </c>
      <c r="P221" t="s">
        <v>56</v>
      </c>
      <c r="Q221">
        <v>18700</v>
      </c>
      <c r="R221" s="3">
        <v>42879</v>
      </c>
      <c r="S221" t="s">
        <v>57</v>
      </c>
      <c r="U221" t="s">
        <v>56</v>
      </c>
      <c r="V221">
        <v>6000</v>
      </c>
      <c r="W221" s="3">
        <v>43110</v>
      </c>
      <c r="X221" t="s">
        <v>54</v>
      </c>
      <c r="Y221" t="s">
        <v>214</v>
      </c>
      <c r="Z221" t="s">
        <v>60</v>
      </c>
      <c r="AA221">
        <v>4900</v>
      </c>
      <c r="AG221" t="s">
        <v>4889</v>
      </c>
      <c r="AH221" s="3">
        <v>42901</v>
      </c>
      <c r="AI221">
        <v>34000</v>
      </c>
      <c r="AJ221">
        <v>0</v>
      </c>
      <c r="AS221" t="s">
        <v>4890</v>
      </c>
      <c r="AT221" s="3">
        <v>43129</v>
      </c>
      <c r="AU221">
        <v>319970</v>
      </c>
      <c r="AV221">
        <v>0</v>
      </c>
      <c r="AW221">
        <v>6530</v>
      </c>
      <c r="AX221">
        <v>0</v>
      </c>
    </row>
    <row r="222" spans="1:50" x14ac:dyDescent="0.25">
      <c r="A222" t="s">
        <v>4958</v>
      </c>
      <c r="B222" s="3">
        <v>42877</v>
      </c>
      <c r="C222" t="s">
        <v>4887</v>
      </c>
      <c r="D222" t="s">
        <v>4437</v>
      </c>
      <c r="E222" t="s">
        <v>4425</v>
      </c>
      <c r="F222">
        <v>0</v>
      </c>
      <c r="K222" s="1"/>
    </row>
    <row r="223" spans="1:50" x14ac:dyDescent="0.25">
      <c r="A223" t="s">
        <v>4959</v>
      </c>
      <c r="B223" s="3">
        <v>42877</v>
      </c>
      <c r="C223" t="s">
        <v>4423</v>
      </c>
      <c r="D223" t="s">
        <v>4430</v>
      </c>
      <c r="E223" t="s">
        <v>4425</v>
      </c>
      <c r="F223">
        <v>24000</v>
      </c>
      <c r="G223" t="s">
        <v>4960</v>
      </c>
      <c r="H223" s="3">
        <v>42877</v>
      </c>
      <c r="I223" t="s">
        <v>214</v>
      </c>
      <c r="J223">
        <v>20000</v>
      </c>
      <c r="K223" s="1"/>
      <c r="M223" s="3">
        <v>42879</v>
      </c>
      <c r="N223" t="s">
        <v>54</v>
      </c>
      <c r="O223" t="s">
        <v>2737</v>
      </c>
      <c r="P223" t="s">
        <v>56</v>
      </c>
      <c r="Q223">
        <v>16700</v>
      </c>
      <c r="R223" s="3">
        <v>43085</v>
      </c>
      <c r="S223" t="s">
        <v>54</v>
      </c>
      <c r="T223" t="s">
        <v>2567</v>
      </c>
      <c r="U223" t="s">
        <v>60</v>
      </c>
      <c r="V223">
        <v>2950</v>
      </c>
      <c r="AG223" t="s">
        <v>4896</v>
      </c>
      <c r="AH223" s="3">
        <v>42906</v>
      </c>
      <c r="AI223">
        <v>24000</v>
      </c>
      <c r="AJ223">
        <v>0</v>
      </c>
      <c r="AS223" t="s">
        <v>4897</v>
      </c>
      <c r="AT223" s="3">
        <v>43045</v>
      </c>
      <c r="AU223">
        <v>282240</v>
      </c>
      <c r="AV223">
        <v>0</v>
      </c>
      <c r="AW223">
        <v>5760</v>
      </c>
      <c r="AX223">
        <v>0</v>
      </c>
    </row>
    <row r="224" spans="1:50" x14ac:dyDescent="0.25">
      <c r="A224" t="s">
        <v>4961</v>
      </c>
      <c r="B224" s="3">
        <v>42878</v>
      </c>
      <c r="C224" t="s">
        <v>4459</v>
      </c>
      <c r="D224" t="s">
        <v>4430</v>
      </c>
      <c r="E224" t="s">
        <v>4425</v>
      </c>
      <c r="F224">
        <v>11000</v>
      </c>
      <c r="G224" t="s">
        <v>4962</v>
      </c>
      <c r="H224" s="3">
        <v>42878</v>
      </c>
      <c r="I224" t="s">
        <v>214</v>
      </c>
      <c r="J224">
        <v>10000</v>
      </c>
      <c r="K224" s="1"/>
      <c r="M224" s="3">
        <v>43048</v>
      </c>
      <c r="N224" t="s">
        <v>54</v>
      </c>
      <c r="O224" t="s">
        <v>214</v>
      </c>
      <c r="P224" t="s">
        <v>60</v>
      </c>
      <c r="Q224">
        <v>9800</v>
      </c>
      <c r="AG224" t="s">
        <v>4911</v>
      </c>
      <c r="AH224" s="3">
        <v>42906</v>
      </c>
      <c r="AI224">
        <v>11000</v>
      </c>
      <c r="AJ224">
        <v>0</v>
      </c>
      <c r="AS224" t="s">
        <v>4693</v>
      </c>
      <c r="AT224" s="3">
        <v>42963</v>
      </c>
      <c r="AU224">
        <v>32340</v>
      </c>
      <c r="AV224">
        <v>0</v>
      </c>
      <c r="AW224">
        <v>660</v>
      </c>
      <c r="AX224">
        <v>0</v>
      </c>
    </row>
    <row r="225" spans="1:50" x14ac:dyDescent="0.25">
      <c r="A225" t="s">
        <v>4963</v>
      </c>
      <c r="B225" s="3">
        <v>42878</v>
      </c>
      <c r="C225" t="s">
        <v>4459</v>
      </c>
      <c r="D225" t="s">
        <v>4437</v>
      </c>
      <c r="E225" t="s">
        <v>4425</v>
      </c>
      <c r="F225">
        <v>24000</v>
      </c>
      <c r="G225" t="s">
        <v>4964</v>
      </c>
      <c r="H225" s="3">
        <v>42878</v>
      </c>
      <c r="I225" t="s">
        <v>214</v>
      </c>
      <c r="J225">
        <v>20000</v>
      </c>
      <c r="K225" s="1"/>
      <c r="M225" s="3">
        <v>42879</v>
      </c>
      <c r="N225" t="s">
        <v>54</v>
      </c>
      <c r="O225" t="s">
        <v>2737</v>
      </c>
      <c r="P225" t="s">
        <v>56</v>
      </c>
      <c r="Q225">
        <v>16700</v>
      </c>
      <c r="R225" s="3">
        <v>43048</v>
      </c>
      <c r="S225" t="s">
        <v>54</v>
      </c>
      <c r="T225" t="s">
        <v>214</v>
      </c>
      <c r="U225" t="s">
        <v>60</v>
      </c>
      <c r="V225">
        <v>2950</v>
      </c>
      <c r="AG225" t="s">
        <v>4896</v>
      </c>
      <c r="AH225" s="3">
        <v>42906</v>
      </c>
      <c r="AI225">
        <v>24000</v>
      </c>
      <c r="AJ225">
        <v>0</v>
      </c>
      <c r="AS225" t="s">
        <v>4897</v>
      </c>
      <c r="AT225" s="3">
        <v>43045</v>
      </c>
      <c r="AU225">
        <v>282240</v>
      </c>
      <c r="AV225">
        <v>0</v>
      </c>
      <c r="AW225">
        <v>5760</v>
      </c>
      <c r="AX225">
        <v>0</v>
      </c>
    </row>
    <row r="226" spans="1:50" x14ac:dyDescent="0.25">
      <c r="A226" t="s">
        <v>4965</v>
      </c>
      <c r="B226" s="3">
        <v>42878</v>
      </c>
      <c r="C226" t="s">
        <v>4459</v>
      </c>
      <c r="D226" t="s">
        <v>4437</v>
      </c>
      <c r="E226" t="s">
        <v>4425</v>
      </c>
      <c r="F226">
        <v>32500</v>
      </c>
      <c r="G226" t="s">
        <v>4966</v>
      </c>
      <c r="H226" s="3">
        <v>42879</v>
      </c>
      <c r="I226" t="s">
        <v>1375</v>
      </c>
      <c r="J226">
        <v>28000</v>
      </c>
      <c r="K226" s="1"/>
      <c r="M226" s="3">
        <v>42879</v>
      </c>
      <c r="N226" t="s">
        <v>54</v>
      </c>
      <c r="O226" t="s">
        <v>2737</v>
      </c>
      <c r="P226" t="s">
        <v>56</v>
      </c>
      <c r="Q226">
        <v>22700</v>
      </c>
      <c r="R226" s="3">
        <v>43048</v>
      </c>
      <c r="S226" t="s">
        <v>54</v>
      </c>
      <c r="T226" t="s">
        <v>214</v>
      </c>
      <c r="U226" t="s">
        <v>60</v>
      </c>
      <c r="V226">
        <v>4900</v>
      </c>
      <c r="AG226" t="s">
        <v>4889</v>
      </c>
      <c r="AH226" s="3">
        <v>42901</v>
      </c>
      <c r="AI226">
        <v>32500</v>
      </c>
      <c r="AJ226">
        <v>0</v>
      </c>
      <c r="AS226" t="s">
        <v>4890</v>
      </c>
      <c r="AT226" s="3">
        <v>43129</v>
      </c>
      <c r="AU226">
        <v>319970</v>
      </c>
      <c r="AV226">
        <v>0</v>
      </c>
      <c r="AW226">
        <v>6530</v>
      </c>
      <c r="AX226">
        <v>0</v>
      </c>
    </row>
    <row r="227" spans="1:50" x14ac:dyDescent="0.25">
      <c r="A227" t="s">
        <v>4967</v>
      </c>
      <c r="B227" s="3">
        <v>42879</v>
      </c>
      <c r="C227" t="s">
        <v>4423</v>
      </c>
      <c r="D227" t="s">
        <v>4907</v>
      </c>
      <c r="E227" t="s">
        <v>4425</v>
      </c>
      <c r="F227">
        <v>32500</v>
      </c>
      <c r="G227" t="s">
        <v>4968</v>
      </c>
      <c r="H227" s="3">
        <v>42879</v>
      </c>
      <c r="I227" t="s">
        <v>1375</v>
      </c>
      <c r="J227">
        <v>28000</v>
      </c>
      <c r="K227" s="1"/>
      <c r="M227" s="3">
        <v>42879</v>
      </c>
      <c r="N227" t="s">
        <v>54</v>
      </c>
      <c r="O227" t="s">
        <v>2737</v>
      </c>
      <c r="P227" t="s">
        <v>56</v>
      </c>
      <c r="Q227">
        <v>22700</v>
      </c>
      <c r="R227" s="3">
        <v>43166</v>
      </c>
      <c r="S227" t="s">
        <v>54</v>
      </c>
      <c r="T227" t="s">
        <v>4969</v>
      </c>
      <c r="U227" t="s">
        <v>60</v>
      </c>
      <c r="V227">
        <v>4900</v>
      </c>
      <c r="AG227" t="s">
        <v>4872</v>
      </c>
      <c r="AH227" s="3">
        <v>42906</v>
      </c>
      <c r="AI227">
        <v>32500</v>
      </c>
      <c r="AJ227">
        <v>0</v>
      </c>
      <c r="AS227" t="s">
        <v>4873</v>
      </c>
      <c r="AT227" s="3">
        <v>43172</v>
      </c>
      <c r="AU227">
        <v>542920</v>
      </c>
      <c r="AV227">
        <v>0</v>
      </c>
      <c r="AW227">
        <v>11080</v>
      </c>
      <c r="AX227">
        <v>0</v>
      </c>
    </row>
    <row r="228" spans="1:50" x14ac:dyDescent="0.25">
      <c r="A228" t="s">
        <v>4970</v>
      </c>
      <c r="B228" s="3">
        <v>42879</v>
      </c>
      <c r="C228" t="s">
        <v>4423</v>
      </c>
      <c r="D228" t="s">
        <v>4424</v>
      </c>
      <c r="E228" t="s">
        <v>4425</v>
      </c>
      <c r="F228">
        <v>24000</v>
      </c>
      <c r="G228" t="s">
        <v>4971</v>
      </c>
      <c r="H228" s="3">
        <v>42879</v>
      </c>
      <c r="I228" t="s">
        <v>1375</v>
      </c>
      <c r="J228">
        <v>20000</v>
      </c>
      <c r="K228" s="1"/>
      <c r="M228" s="3">
        <v>42879</v>
      </c>
      <c r="N228" t="s">
        <v>54</v>
      </c>
      <c r="O228" t="s">
        <v>2737</v>
      </c>
      <c r="P228" t="s">
        <v>56</v>
      </c>
      <c r="Q228">
        <v>16700</v>
      </c>
      <c r="R228" s="3">
        <v>43048</v>
      </c>
      <c r="S228" t="s">
        <v>54</v>
      </c>
      <c r="T228" t="s">
        <v>214</v>
      </c>
      <c r="U228" t="s">
        <v>60</v>
      </c>
      <c r="V228">
        <v>2950</v>
      </c>
      <c r="AG228" t="s">
        <v>4896</v>
      </c>
      <c r="AH228" s="3">
        <v>42906</v>
      </c>
      <c r="AI228">
        <v>24000</v>
      </c>
      <c r="AJ228">
        <v>0</v>
      </c>
      <c r="AS228" t="s">
        <v>4897</v>
      </c>
      <c r="AT228" s="3">
        <v>43045</v>
      </c>
      <c r="AU228">
        <v>282240</v>
      </c>
      <c r="AV228">
        <v>0</v>
      </c>
      <c r="AW228">
        <v>5760</v>
      </c>
      <c r="AX228">
        <v>0</v>
      </c>
    </row>
    <row r="229" spans="1:50" x14ac:dyDescent="0.25">
      <c r="A229" t="s">
        <v>4972</v>
      </c>
      <c r="B229" s="3">
        <v>42880</v>
      </c>
      <c r="C229" t="s">
        <v>4887</v>
      </c>
      <c r="D229" t="s">
        <v>4437</v>
      </c>
      <c r="E229" t="s">
        <v>4425</v>
      </c>
      <c r="F229">
        <v>32500</v>
      </c>
      <c r="G229" t="s">
        <v>4973</v>
      </c>
      <c r="H229" s="3">
        <v>42880</v>
      </c>
      <c r="I229" t="s">
        <v>1375</v>
      </c>
      <c r="J229">
        <v>28000</v>
      </c>
      <c r="K229" s="1"/>
      <c r="M229" s="3">
        <v>42885</v>
      </c>
      <c r="N229" t="s">
        <v>54</v>
      </c>
      <c r="O229" t="s">
        <v>214</v>
      </c>
      <c r="P229" t="s">
        <v>56</v>
      </c>
      <c r="Q229">
        <v>22700</v>
      </c>
      <c r="R229" s="3">
        <v>43110</v>
      </c>
      <c r="S229" t="s">
        <v>54</v>
      </c>
      <c r="T229" t="s">
        <v>214</v>
      </c>
      <c r="U229" t="s">
        <v>60</v>
      </c>
      <c r="V229">
        <v>4900</v>
      </c>
      <c r="AG229" t="s">
        <v>4872</v>
      </c>
      <c r="AH229" s="3">
        <v>42906</v>
      </c>
      <c r="AI229">
        <v>32500</v>
      </c>
      <c r="AJ229">
        <v>0</v>
      </c>
      <c r="AS229" t="s">
        <v>4873</v>
      </c>
      <c r="AT229" s="3">
        <v>43172</v>
      </c>
      <c r="AU229">
        <v>542920</v>
      </c>
      <c r="AV229">
        <v>0</v>
      </c>
      <c r="AW229">
        <v>11080</v>
      </c>
      <c r="AX229">
        <v>0</v>
      </c>
    </row>
    <row r="230" spans="1:50" x14ac:dyDescent="0.25">
      <c r="A230" t="s">
        <v>4974</v>
      </c>
      <c r="B230" s="3">
        <v>42880</v>
      </c>
      <c r="C230" t="s">
        <v>4459</v>
      </c>
      <c r="D230" t="s">
        <v>4437</v>
      </c>
      <c r="E230" t="s">
        <v>4425</v>
      </c>
      <c r="F230">
        <v>32500</v>
      </c>
      <c r="G230" t="s">
        <v>4975</v>
      </c>
      <c r="H230" s="3">
        <v>42880</v>
      </c>
      <c r="I230" t="s">
        <v>1375</v>
      </c>
      <c r="J230">
        <v>28000</v>
      </c>
      <c r="K230" s="1"/>
      <c r="M230" s="3">
        <v>42885</v>
      </c>
      <c r="N230" t="s">
        <v>54</v>
      </c>
      <c r="O230" t="s">
        <v>214</v>
      </c>
      <c r="P230" t="s">
        <v>56</v>
      </c>
      <c r="Q230">
        <v>22700</v>
      </c>
      <c r="R230" s="3">
        <v>43110</v>
      </c>
      <c r="S230" t="s">
        <v>54</v>
      </c>
      <c r="T230" t="s">
        <v>214</v>
      </c>
      <c r="U230" t="s">
        <v>60</v>
      </c>
      <c r="V230">
        <v>4900</v>
      </c>
      <c r="AG230" t="s">
        <v>4889</v>
      </c>
      <c r="AH230" s="3">
        <v>42901</v>
      </c>
      <c r="AI230">
        <v>32500</v>
      </c>
      <c r="AJ230">
        <v>0</v>
      </c>
      <c r="AS230" t="s">
        <v>4890</v>
      </c>
      <c r="AT230" s="3">
        <v>43129</v>
      </c>
      <c r="AU230">
        <v>319970</v>
      </c>
      <c r="AV230">
        <v>0</v>
      </c>
      <c r="AW230">
        <v>6530</v>
      </c>
      <c r="AX230">
        <v>0</v>
      </c>
    </row>
    <row r="231" spans="1:50" x14ac:dyDescent="0.25">
      <c r="A231" t="s">
        <v>4976</v>
      </c>
      <c r="B231" s="3">
        <v>42882</v>
      </c>
      <c r="C231" t="s">
        <v>4423</v>
      </c>
      <c r="D231" t="s">
        <v>4437</v>
      </c>
      <c r="E231" t="s">
        <v>4425</v>
      </c>
      <c r="F231">
        <v>32500</v>
      </c>
      <c r="G231" t="s">
        <v>4977</v>
      </c>
      <c r="H231" s="3">
        <v>42882</v>
      </c>
      <c r="I231" t="s">
        <v>214</v>
      </c>
      <c r="J231">
        <v>28000</v>
      </c>
      <c r="K231" s="1"/>
      <c r="M231" s="3">
        <v>42885</v>
      </c>
      <c r="N231" t="s">
        <v>54</v>
      </c>
      <c r="O231" t="s">
        <v>214</v>
      </c>
      <c r="P231" t="s">
        <v>56</v>
      </c>
      <c r="Q231">
        <v>22700</v>
      </c>
      <c r="R231" s="3">
        <v>43110</v>
      </c>
      <c r="S231" t="s">
        <v>54</v>
      </c>
      <c r="T231" t="s">
        <v>214</v>
      </c>
      <c r="U231" t="s">
        <v>60</v>
      </c>
      <c r="V231">
        <v>4900</v>
      </c>
      <c r="AG231" t="s">
        <v>4872</v>
      </c>
      <c r="AH231" s="3">
        <v>42906</v>
      </c>
      <c r="AI231">
        <v>32500</v>
      </c>
      <c r="AJ231">
        <v>0</v>
      </c>
      <c r="AS231" t="s">
        <v>4873</v>
      </c>
      <c r="AT231" s="3">
        <v>43172</v>
      </c>
      <c r="AU231">
        <v>542920</v>
      </c>
      <c r="AV231">
        <v>0</v>
      </c>
      <c r="AW231">
        <v>11080</v>
      </c>
      <c r="AX231">
        <v>0</v>
      </c>
    </row>
    <row r="232" spans="1:50" x14ac:dyDescent="0.25">
      <c r="A232" t="s">
        <v>4978</v>
      </c>
      <c r="B232" s="3">
        <v>42882</v>
      </c>
      <c r="C232" t="s">
        <v>4423</v>
      </c>
      <c r="D232" t="s">
        <v>4424</v>
      </c>
      <c r="E232" t="s">
        <v>4425</v>
      </c>
      <c r="F232">
        <v>24000</v>
      </c>
      <c r="G232" t="s">
        <v>4979</v>
      </c>
      <c r="H232" s="3">
        <v>42882</v>
      </c>
      <c r="I232" t="s">
        <v>1375</v>
      </c>
      <c r="J232">
        <v>20000</v>
      </c>
      <c r="K232" s="1"/>
      <c r="M232" s="3">
        <v>42885</v>
      </c>
      <c r="N232" t="s">
        <v>54</v>
      </c>
      <c r="O232" t="s">
        <v>214</v>
      </c>
      <c r="P232" t="s">
        <v>56</v>
      </c>
      <c r="Q232">
        <v>16700</v>
      </c>
      <c r="R232" s="3">
        <v>43110</v>
      </c>
      <c r="S232" t="s">
        <v>54</v>
      </c>
      <c r="T232" t="s">
        <v>214</v>
      </c>
      <c r="U232" t="s">
        <v>60</v>
      </c>
      <c r="V232">
        <v>2950</v>
      </c>
      <c r="AG232" t="s">
        <v>4896</v>
      </c>
      <c r="AH232" s="3">
        <v>42906</v>
      </c>
      <c r="AI232">
        <v>24000</v>
      </c>
      <c r="AJ232">
        <v>0</v>
      </c>
      <c r="AS232" t="s">
        <v>4897</v>
      </c>
      <c r="AT232" s="3">
        <v>43045</v>
      </c>
      <c r="AU232">
        <v>282240</v>
      </c>
      <c r="AV232">
        <v>0</v>
      </c>
      <c r="AW232">
        <v>5760</v>
      </c>
      <c r="AX232">
        <v>0</v>
      </c>
    </row>
    <row r="233" spans="1:50" x14ac:dyDescent="0.25">
      <c r="A233" t="s">
        <v>4980</v>
      </c>
      <c r="B233" s="3">
        <v>42882</v>
      </c>
      <c r="C233" t="s">
        <v>4459</v>
      </c>
      <c r="D233" t="s">
        <v>4437</v>
      </c>
      <c r="E233" t="s">
        <v>4425</v>
      </c>
      <c r="F233">
        <v>24000</v>
      </c>
      <c r="G233" t="s">
        <v>4981</v>
      </c>
      <c r="H233" s="3">
        <v>42882</v>
      </c>
      <c r="I233" t="s">
        <v>1375</v>
      </c>
      <c r="J233">
        <v>20000</v>
      </c>
      <c r="K233" s="1"/>
      <c r="M233" s="3">
        <v>42885</v>
      </c>
      <c r="N233" t="s">
        <v>54</v>
      </c>
      <c r="O233" t="s">
        <v>214</v>
      </c>
      <c r="P233" t="s">
        <v>56</v>
      </c>
      <c r="Q233">
        <v>16700</v>
      </c>
      <c r="R233" s="3">
        <v>43110</v>
      </c>
      <c r="S233" t="s">
        <v>54</v>
      </c>
      <c r="T233" t="s">
        <v>214</v>
      </c>
      <c r="U233" t="s">
        <v>60</v>
      </c>
      <c r="V233">
        <v>2950</v>
      </c>
      <c r="AG233" t="s">
        <v>4920</v>
      </c>
      <c r="AH233" s="3">
        <v>42901</v>
      </c>
      <c r="AI233">
        <v>24000</v>
      </c>
      <c r="AJ233">
        <v>0</v>
      </c>
      <c r="AS233" t="s">
        <v>4699</v>
      </c>
      <c r="AT233" s="3">
        <v>43069</v>
      </c>
      <c r="AU233">
        <v>211680</v>
      </c>
      <c r="AV233">
        <v>0</v>
      </c>
      <c r="AW233">
        <v>4320</v>
      </c>
      <c r="AX233">
        <v>0</v>
      </c>
    </row>
    <row r="234" spans="1:50" x14ac:dyDescent="0.25">
      <c r="A234" t="s">
        <v>4982</v>
      </c>
      <c r="B234" s="3">
        <v>42883</v>
      </c>
      <c r="C234" t="s">
        <v>4459</v>
      </c>
      <c r="D234" t="s">
        <v>4437</v>
      </c>
      <c r="E234" t="s">
        <v>4425</v>
      </c>
      <c r="F234">
        <v>24000</v>
      </c>
      <c r="G234" t="s">
        <v>4983</v>
      </c>
      <c r="H234" s="3">
        <v>42883</v>
      </c>
      <c r="I234" t="s">
        <v>1375</v>
      </c>
      <c r="J234">
        <v>20000</v>
      </c>
      <c r="K234" s="1"/>
      <c r="M234" s="3">
        <v>43110</v>
      </c>
      <c r="N234" t="s">
        <v>54</v>
      </c>
      <c r="O234" t="s">
        <v>214</v>
      </c>
      <c r="P234" t="s">
        <v>60</v>
      </c>
      <c r="Q234">
        <v>2950</v>
      </c>
      <c r="AG234" t="s">
        <v>4920</v>
      </c>
      <c r="AH234" s="3">
        <v>42901</v>
      </c>
      <c r="AI234">
        <v>24000</v>
      </c>
      <c r="AJ234">
        <v>0</v>
      </c>
      <c r="AS234" t="s">
        <v>4699</v>
      </c>
      <c r="AT234" s="3">
        <v>43069</v>
      </c>
      <c r="AU234">
        <v>211680</v>
      </c>
      <c r="AV234">
        <v>0</v>
      </c>
      <c r="AW234">
        <v>4320</v>
      </c>
      <c r="AX234">
        <v>0</v>
      </c>
    </row>
    <row r="235" spans="1:50" x14ac:dyDescent="0.25">
      <c r="A235" t="s">
        <v>4984</v>
      </c>
      <c r="B235" s="3">
        <v>42884</v>
      </c>
      <c r="C235" t="s">
        <v>4887</v>
      </c>
      <c r="D235" t="s">
        <v>4437</v>
      </c>
      <c r="E235" t="s">
        <v>4425</v>
      </c>
      <c r="F235">
        <v>32500</v>
      </c>
      <c r="G235" t="s">
        <v>4985</v>
      </c>
      <c r="H235" s="3">
        <v>42884</v>
      </c>
      <c r="I235" t="s">
        <v>1375</v>
      </c>
      <c r="J235">
        <v>28000</v>
      </c>
      <c r="K235" s="1"/>
      <c r="M235" s="3">
        <v>42887</v>
      </c>
      <c r="N235" t="s">
        <v>54</v>
      </c>
      <c r="O235" t="s">
        <v>214</v>
      </c>
      <c r="P235" t="s">
        <v>56</v>
      </c>
      <c r="Q235">
        <v>22700</v>
      </c>
      <c r="R235" s="3">
        <v>43110</v>
      </c>
      <c r="S235" t="s">
        <v>54</v>
      </c>
      <c r="T235" t="s">
        <v>214</v>
      </c>
      <c r="U235" t="s">
        <v>60</v>
      </c>
      <c r="V235">
        <v>4900</v>
      </c>
      <c r="AG235" t="s">
        <v>4889</v>
      </c>
      <c r="AH235" s="3">
        <v>42901</v>
      </c>
      <c r="AI235">
        <v>32500</v>
      </c>
      <c r="AJ235">
        <v>0</v>
      </c>
      <c r="AS235" t="s">
        <v>4890</v>
      </c>
      <c r="AT235" s="3">
        <v>43129</v>
      </c>
      <c r="AU235">
        <v>319970</v>
      </c>
      <c r="AV235">
        <v>0</v>
      </c>
      <c r="AW235">
        <v>6530</v>
      </c>
      <c r="AX235">
        <v>0</v>
      </c>
    </row>
    <row r="236" spans="1:50" x14ac:dyDescent="0.25">
      <c r="A236" t="s">
        <v>4986</v>
      </c>
      <c r="B236" s="3">
        <v>42885</v>
      </c>
      <c r="C236" t="s">
        <v>4423</v>
      </c>
      <c r="D236" t="s">
        <v>4907</v>
      </c>
      <c r="E236" t="s">
        <v>4425</v>
      </c>
      <c r="F236">
        <v>32500</v>
      </c>
      <c r="G236" t="s">
        <v>4987</v>
      </c>
      <c r="H236" s="3">
        <v>42885</v>
      </c>
      <c r="I236" t="s">
        <v>1375</v>
      </c>
      <c r="J236">
        <v>28000</v>
      </c>
      <c r="K236" s="1"/>
      <c r="M236" s="3">
        <v>42887</v>
      </c>
      <c r="N236" t="s">
        <v>54</v>
      </c>
      <c r="O236" t="s">
        <v>214</v>
      </c>
      <c r="P236" t="s">
        <v>56</v>
      </c>
      <c r="Q236">
        <v>22700</v>
      </c>
      <c r="R236" s="3">
        <v>43110</v>
      </c>
      <c r="S236" t="s">
        <v>54</v>
      </c>
      <c r="T236" t="s">
        <v>214</v>
      </c>
      <c r="U236" t="s">
        <v>60</v>
      </c>
      <c r="V236">
        <v>4900</v>
      </c>
      <c r="AG236" t="s">
        <v>4872</v>
      </c>
      <c r="AH236" s="3">
        <v>42906</v>
      </c>
      <c r="AI236">
        <v>32500</v>
      </c>
      <c r="AJ236">
        <v>0</v>
      </c>
      <c r="AS236" t="s">
        <v>4873</v>
      </c>
      <c r="AT236" s="3">
        <v>43172</v>
      </c>
      <c r="AU236">
        <v>542920</v>
      </c>
      <c r="AV236">
        <v>0</v>
      </c>
      <c r="AW236">
        <v>11080</v>
      </c>
      <c r="AX236">
        <v>0</v>
      </c>
    </row>
    <row r="237" spans="1:50" x14ac:dyDescent="0.25">
      <c r="A237" t="s">
        <v>4988</v>
      </c>
      <c r="B237" s="3">
        <v>42886</v>
      </c>
      <c r="C237" t="s">
        <v>4423</v>
      </c>
      <c r="D237" t="s">
        <v>4907</v>
      </c>
      <c r="E237" t="s">
        <v>4425</v>
      </c>
      <c r="F237">
        <v>32500</v>
      </c>
      <c r="G237" t="s">
        <v>4989</v>
      </c>
      <c r="H237" s="3">
        <v>42886</v>
      </c>
      <c r="I237" t="s">
        <v>1375</v>
      </c>
      <c r="J237">
        <v>28000</v>
      </c>
      <c r="K237" s="1"/>
      <c r="M237" s="3">
        <v>42891</v>
      </c>
      <c r="N237" t="s">
        <v>54</v>
      </c>
      <c r="O237" t="s">
        <v>1546</v>
      </c>
      <c r="P237" t="s">
        <v>56</v>
      </c>
      <c r="Q237">
        <v>22700</v>
      </c>
      <c r="R237" s="3">
        <v>43110</v>
      </c>
      <c r="S237" t="s">
        <v>54</v>
      </c>
      <c r="T237" t="s">
        <v>214</v>
      </c>
      <c r="U237" t="s">
        <v>60</v>
      </c>
      <c r="V237">
        <v>4900</v>
      </c>
      <c r="AG237" t="s">
        <v>4872</v>
      </c>
      <c r="AH237" s="3">
        <v>42906</v>
      </c>
      <c r="AI237">
        <v>32500</v>
      </c>
      <c r="AJ237">
        <v>0</v>
      </c>
      <c r="AS237" t="s">
        <v>4873</v>
      </c>
      <c r="AT237" s="3">
        <v>43172</v>
      </c>
      <c r="AU237">
        <v>542920</v>
      </c>
      <c r="AV237">
        <v>0</v>
      </c>
      <c r="AW237">
        <v>11080</v>
      </c>
      <c r="AX237">
        <v>0</v>
      </c>
    </row>
    <row r="238" spans="1:50" x14ac:dyDescent="0.25">
      <c r="A238" t="s">
        <v>4990</v>
      </c>
      <c r="B238" s="3">
        <v>42886</v>
      </c>
      <c r="C238" t="s">
        <v>4887</v>
      </c>
      <c r="D238" t="s">
        <v>4437</v>
      </c>
      <c r="E238" t="s">
        <v>4425</v>
      </c>
      <c r="F238">
        <v>32500</v>
      </c>
      <c r="G238" t="s">
        <v>4991</v>
      </c>
      <c r="H238" s="3">
        <v>42886</v>
      </c>
      <c r="I238" t="s">
        <v>1375</v>
      </c>
      <c r="J238">
        <v>28000</v>
      </c>
      <c r="K238" s="1"/>
      <c r="M238" s="3">
        <v>42891</v>
      </c>
      <c r="N238" t="s">
        <v>54</v>
      </c>
      <c r="O238" t="s">
        <v>1546</v>
      </c>
      <c r="P238" t="s">
        <v>56</v>
      </c>
      <c r="Q238">
        <v>22700</v>
      </c>
      <c r="R238" s="3">
        <v>43110</v>
      </c>
      <c r="S238" t="s">
        <v>54</v>
      </c>
      <c r="T238" t="s">
        <v>214</v>
      </c>
      <c r="U238" t="s">
        <v>60</v>
      </c>
      <c r="V238">
        <v>4900</v>
      </c>
      <c r="AG238" t="s">
        <v>4872</v>
      </c>
      <c r="AH238" s="3">
        <v>42906</v>
      </c>
      <c r="AI238">
        <v>32500</v>
      </c>
      <c r="AJ238">
        <v>0</v>
      </c>
      <c r="AS238" t="s">
        <v>4873</v>
      </c>
      <c r="AT238" s="3">
        <v>43172</v>
      </c>
      <c r="AU238">
        <v>542920</v>
      </c>
      <c r="AV238">
        <v>0</v>
      </c>
      <c r="AW238">
        <v>11080</v>
      </c>
      <c r="AX238">
        <v>0</v>
      </c>
    </row>
    <row r="239" spans="1:50" x14ac:dyDescent="0.25">
      <c r="A239" t="s">
        <v>4992</v>
      </c>
      <c r="B239" s="3">
        <v>42886</v>
      </c>
      <c r="C239" t="s">
        <v>4423</v>
      </c>
      <c r="D239" t="s">
        <v>4424</v>
      </c>
      <c r="E239" t="s">
        <v>4425</v>
      </c>
      <c r="F239">
        <v>32500</v>
      </c>
      <c r="G239" t="s">
        <v>4993</v>
      </c>
      <c r="H239" s="3">
        <v>42886</v>
      </c>
      <c r="I239" t="s">
        <v>1375</v>
      </c>
      <c r="J239">
        <v>28000</v>
      </c>
      <c r="K239" s="1"/>
      <c r="M239" s="3">
        <v>42887</v>
      </c>
      <c r="N239" t="s">
        <v>54</v>
      </c>
      <c r="O239" t="s">
        <v>214</v>
      </c>
      <c r="P239" t="s">
        <v>56</v>
      </c>
      <c r="Q239">
        <v>22700</v>
      </c>
      <c r="R239" s="3">
        <v>43110</v>
      </c>
      <c r="S239" t="s">
        <v>54</v>
      </c>
      <c r="T239" t="s">
        <v>214</v>
      </c>
      <c r="U239" t="s">
        <v>60</v>
      </c>
      <c r="V239">
        <v>4900</v>
      </c>
      <c r="AG239" t="s">
        <v>4872</v>
      </c>
      <c r="AH239" s="3">
        <v>42906</v>
      </c>
      <c r="AI239">
        <v>32500</v>
      </c>
      <c r="AJ239">
        <v>0</v>
      </c>
      <c r="AS239" t="s">
        <v>4873</v>
      </c>
      <c r="AT239" s="3">
        <v>43172</v>
      </c>
      <c r="AU239">
        <v>542920</v>
      </c>
      <c r="AV239">
        <v>0</v>
      </c>
      <c r="AW239">
        <v>11080</v>
      </c>
      <c r="AX239">
        <v>0</v>
      </c>
    </row>
    <row r="240" spans="1:50" x14ac:dyDescent="0.25">
      <c r="A240" t="s">
        <v>4994</v>
      </c>
      <c r="B240" s="3">
        <v>42886</v>
      </c>
      <c r="C240" t="s">
        <v>4423</v>
      </c>
      <c r="D240" t="s">
        <v>4441</v>
      </c>
      <c r="E240" t="s">
        <v>4425</v>
      </c>
      <c r="F240">
        <v>24000</v>
      </c>
      <c r="G240" t="s">
        <v>4995</v>
      </c>
      <c r="H240" s="3">
        <v>42886</v>
      </c>
      <c r="I240" t="s">
        <v>1375</v>
      </c>
      <c r="J240">
        <v>22000</v>
      </c>
      <c r="K240" s="1"/>
      <c r="M240" s="3">
        <v>42887</v>
      </c>
      <c r="N240" t="s">
        <v>54</v>
      </c>
      <c r="O240" t="s">
        <v>214</v>
      </c>
      <c r="P240" t="s">
        <v>56</v>
      </c>
      <c r="Q240">
        <v>17500</v>
      </c>
      <c r="R240" s="3">
        <v>43166</v>
      </c>
      <c r="S240" t="s">
        <v>54</v>
      </c>
      <c r="T240" t="s">
        <v>4996</v>
      </c>
      <c r="U240" t="s">
        <v>60</v>
      </c>
      <c r="V240">
        <v>3900</v>
      </c>
      <c r="AG240" t="s">
        <v>4896</v>
      </c>
      <c r="AH240" s="3">
        <v>42906</v>
      </c>
      <c r="AI240">
        <v>24000</v>
      </c>
      <c r="AJ240">
        <v>0</v>
      </c>
      <c r="AS240" t="s">
        <v>4897</v>
      </c>
      <c r="AT240" s="3">
        <v>43045</v>
      </c>
      <c r="AU240">
        <v>282240</v>
      </c>
      <c r="AV240">
        <v>0</v>
      </c>
      <c r="AW240">
        <v>5760</v>
      </c>
      <c r="AX240">
        <v>0</v>
      </c>
    </row>
    <row r="241" spans="1:50" x14ac:dyDescent="0.25">
      <c r="A241" t="s">
        <v>4997</v>
      </c>
      <c r="B241" s="3">
        <v>42887</v>
      </c>
      <c r="C241" t="s">
        <v>4459</v>
      </c>
      <c r="D241" t="s">
        <v>4437</v>
      </c>
      <c r="E241" t="s">
        <v>4425</v>
      </c>
      <c r="F241">
        <v>24000</v>
      </c>
      <c r="G241" t="s">
        <v>4998</v>
      </c>
      <c r="H241" s="3">
        <v>42887</v>
      </c>
      <c r="I241" t="s">
        <v>1375</v>
      </c>
      <c r="J241">
        <v>20000</v>
      </c>
      <c r="K241" s="1"/>
      <c r="M241" s="3">
        <v>42896</v>
      </c>
      <c r="N241" t="s">
        <v>54</v>
      </c>
      <c r="O241" t="s">
        <v>214</v>
      </c>
      <c r="P241" t="s">
        <v>56</v>
      </c>
      <c r="Q241">
        <v>16700</v>
      </c>
      <c r="R241" s="3">
        <v>43110</v>
      </c>
      <c r="S241" t="s">
        <v>54</v>
      </c>
      <c r="T241" t="s">
        <v>214</v>
      </c>
      <c r="U241" t="s">
        <v>60</v>
      </c>
      <c r="V241">
        <v>2950</v>
      </c>
      <c r="AG241" t="s">
        <v>4920</v>
      </c>
      <c r="AH241" s="3">
        <v>42901</v>
      </c>
      <c r="AI241">
        <v>24000</v>
      </c>
      <c r="AJ241">
        <v>0</v>
      </c>
      <c r="AS241" t="s">
        <v>4699</v>
      </c>
      <c r="AT241" s="3">
        <v>43069</v>
      </c>
      <c r="AU241">
        <v>211680</v>
      </c>
      <c r="AV241">
        <v>0</v>
      </c>
      <c r="AW241">
        <v>4320</v>
      </c>
      <c r="AX241">
        <v>0</v>
      </c>
    </row>
    <row r="242" spans="1:50" x14ac:dyDescent="0.25">
      <c r="A242" t="s">
        <v>4999</v>
      </c>
      <c r="B242" s="3">
        <v>42888</v>
      </c>
      <c r="C242" t="s">
        <v>4423</v>
      </c>
      <c r="D242" t="s">
        <v>4424</v>
      </c>
      <c r="E242" t="s">
        <v>4425</v>
      </c>
      <c r="F242">
        <v>32500</v>
      </c>
      <c r="G242" t="s">
        <v>5000</v>
      </c>
      <c r="H242" s="3">
        <v>42888</v>
      </c>
      <c r="I242" t="s">
        <v>1375</v>
      </c>
      <c r="J242">
        <v>28000</v>
      </c>
      <c r="K242" s="1"/>
      <c r="M242" s="3">
        <v>42891</v>
      </c>
      <c r="N242" t="s">
        <v>54</v>
      </c>
      <c r="O242" t="s">
        <v>1546</v>
      </c>
      <c r="P242" t="s">
        <v>56</v>
      </c>
      <c r="Q242">
        <v>22700</v>
      </c>
      <c r="R242" s="3">
        <v>43110</v>
      </c>
      <c r="S242" t="s">
        <v>54</v>
      </c>
      <c r="T242" t="s">
        <v>214</v>
      </c>
      <c r="U242" t="s">
        <v>60</v>
      </c>
      <c r="V242">
        <v>4900</v>
      </c>
      <c r="AG242" t="s">
        <v>5001</v>
      </c>
      <c r="AH242" s="3">
        <v>42913</v>
      </c>
      <c r="AI242">
        <v>32500</v>
      </c>
      <c r="AJ242">
        <v>0</v>
      </c>
      <c r="AS242" t="s">
        <v>4897</v>
      </c>
      <c r="AT242" s="3">
        <v>43045</v>
      </c>
      <c r="AU242">
        <v>605150</v>
      </c>
      <c r="AV242">
        <v>0</v>
      </c>
      <c r="AW242">
        <v>12350</v>
      </c>
      <c r="AX242">
        <v>0</v>
      </c>
    </row>
    <row r="243" spans="1:50" x14ac:dyDescent="0.25">
      <c r="A243" t="s">
        <v>5002</v>
      </c>
      <c r="B243" s="3">
        <v>42888</v>
      </c>
      <c r="C243" t="s">
        <v>4423</v>
      </c>
      <c r="D243" t="s">
        <v>4424</v>
      </c>
      <c r="E243" t="s">
        <v>4425</v>
      </c>
      <c r="F243">
        <v>32500</v>
      </c>
      <c r="G243" t="s">
        <v>5003</v>
      </c>
      <c r="H243" s="3">
        <v>42888</v>
      </c>
      <c r="I243" t="s">
        <v>1375</v>
      </c>
      <c r="J243">
        <v>28000</v>
      </c>
      <c r="K243" s="1"/>
      <c r="M243" s="3">
        <v>42891</v>
      </c>
      <c r="N243" t="s">
        <v>54</v>
      </c>
      <c r="O243" t="s">
        <v>1546</v>
      </c>
      <c r="P243" t="s">
        <v>56</v>
      </c>
      <c r="Q243">
        <v>22700</v>
      </c>
      <c r="R243" s="3">
        <v>43110</v>
      </c>
      <c r="S243" t="s">
        <v>54</v>
      </c>
      <c r="T243" t="s">
        <v>214</v>
      </c>
      <c r="U243" t="s">
        <v>60</v>
      </c>
      <c r="V243">
        <v>4900</v>
      </c>
      <c r="AG243" t="s">
        <v>5001</v>
      </c>
      <c r="AH243" s="3">
        <v>42913</v>
      </c>
      <c r="AI243">
        <v>32500</v>
      </c>
      <c r="AJ243">
        <v>0</v>
      </c>
      <c r="AS243" t="s">
        <v>4897</v>
      </c>
      <c r="AT243" s="3">
        <v>43045</v>
      </c>
      <c r="AU243">
        <v>605150</v>
      </c>
      <c r="AV243">
        <v>0</v>
      </c>
      <c r="AW243">
        <v>12350</v>
      </c>
      <c r="AX243">
        <v>0</v>
      </c>
    </row>
    <row r="244" spans="1:50" x14ac:dyDescent="0.25">
      <c r="A244" t="s">
        <v>5004</v>
      </c>
      <c r="B244" s="3">
        <v>42888</v>
      </c>
      <c r="C244" t="s">
        <v>4459</v>
      </c>
      <c r="D244" t="s">
        <v>4610</v>
      </c>
      <c r="E244" t="s">
        <v>4425</v>
      </c>
      <c r="F244">
        <v>11000</v>
      </c>
      <c r="G244" t="s">
        <v>5005</v>
      </c>
      <c r="H244" s="3">
        <v>42888</v>
      </c>
      <c r="I244" t="s">
        <v>1375</v>
      </c>
      <c r="J244">
        <v>10000</v>
      </c>
      <c r="K244" s="1"/>
      <c r="M244" s="3">
        <v>43110</v>
      </c>
      <c r="N244" t="s">
        <v>54</v>
      </c>
      <c r="O244" t="s">
        <v>214</v>
      </c>
      <c r="P244" t="s">
        <v>60</v>
      </c>
      <c r="Q244">
        <v>9800</v>
      </c>
      <c r="AG244" t="s">
        <v>5006</v>
      </c>
      <c r="AH244" s="3">
        <v>42913</v>
      </c>
      <c r="AI244">
        <v>11000</v>
      </c>
      <c r="AJ244">
        <v>0</v>
      </c>
      <c r="AS244" t="s">
        <v>4897</v>
      </c>
      <c r="AT244" s="3">
        <v>43045</v>
      </c>
      <c r="AU244">
        <v>53900</v>
      </c>
      <c r="AV244">
        <v>0</v>
      </c>
      <c r="AW244">
        <v>1100</v>
      </c>
      <c r="AX244">
        <v>0</v>
      </c>
    </row>
    <row r="245" spans="1:50" x14ac:dyDescent="0.25">
      <c r="A245" t="s">
        <v>5007</v>
      </c>
      <c r="B245" s="3">
        <v>42888</v>
      </c>
      <c r="C245" t="s">
        <v>4626</v>
      </c>
      <c r="D245" t="s">
        <v>4437</v>
      </c>
      <c r="E245" t="s">
        <v>4425</v>
      </c>
      <c r="F245">
        <v>24000</v>
      </c>
      <c r="G245" t="s">
        <v>5008</v>
      </c>
      <c r="H245" s="3">
        <v>42888</v>
      </c>
      <c r="I245" t="s">
        <v>1375</v>
      </c>
      <c r="J245">
        <v>20000</v>
      </c>
      <c r="K245" s="1"/>
      <c r="M245" s="3">
        <v>42896</v>
      </c>
      <c r="N245" t="s">
        <v>54</v>
      </c>
      <c r="O245" t="s">
        <v>214</v>
      </c>
      <c r="P245" t="s">
        <v>56</v>
      </c>
      <c r="Q245">
        <v>16700</v>
      </c>
      <c r="R245" s="3">
        <v>43110</v>
      </c>
      <c r="S245" t="s">
        <v>54</v>
      </c>
      <c r="T245" t="s">
        <v>214</v>
      </c>
      <c r="U245" t="s">
        <v>60</v>
      </c>
      <c r="V245">
        <v>2950</v>
      </c>
      <c r="AG245" t="s">
        <v>5009</v>
      </c>
      <c r="AH245" s="3">
        <v>42913</v>
      </c>
      <c r="AI245">
        <v>24000</v>
      </c>
      <c r="AJ245">
        <v>0</v>
      </c>
      <c r="AS245" t="s">
        <v>4699</v>
      </c>
      <c r="AT245" s="3">
        <v>43069</v>
      </c>
      <c r="AU245">
        <v>211680</v>
      </c>
      <c r="AV245">
        <v>0</v>
      </c>
      <c r="AW245">
        <v>4320</v>
      </c>
      <c r="AX245">
        <v>0</v>
      </c>
    </row>
    <row r="246" spans="1:50" x14ac:dyDescent="0.25">
      <c r="A246" t="s">
        <v>5010</v>
      </c>
      <c r="B246" s="3">
        <v>42891</v>
      </c>
      <c r="C246" t="s">
        <v>4887</v>
      </c>
      <c r="D246" t="s">
        <v>4437</v>
      </c>
      <c r="E246" t="s">
        <v>4425</v>
      </c>
      <c r="F246">
        <v>32500</v>
      </c>
      <c r="G246" t="s">
        <v>5011</v>
      </c>
      <c r="H246" s="3">
        <v>42891</v>
      </c>
      <c r="I246" t="s">
        <v>1375</v>
      </c>
      <c r="J246">
        <v>28000</v>
      </c>
      <c r="K246" s="1"/>
      <c r="M246" s="3">
        <v>42896</v>
      </c>
      <c r="N246" t="s">
        <v>57</v>
      </c>
      <c r="P246" t="s">
        <v>56</v>
      </c>
      <c r="Q246">
        <v>4000</v>
      </c>
      <c r="R246" s="3">
        <v>42896</v>
      </c>
      <c r="S246" t="s">
        <v>54</v>
      </c>
      <c r="T246" t="s">
        <v>214</v>
      </c>
      <c r="U246" t="s">
        <v>56</v>
      </c>
      <c r="V246">
        <v>18700</v>
      </c>
      <c r="W246" s="3">
        <v>43155</v>
      </c>
      <c r="X246" t="s">
        <v>54</v>
      </c>
      <c r="Y246" t="s">
        <v>214</v>
      </c>
      <c r="Z246" t="s">
        <v>60</v>
      </c>
      <c r="AA246">
        <v>4900</v>
      </c>
      <c r="AG246" t="s">
        <v>4889</v>
      </c>
      <c r="AH246" s="3">
        <v>42901</v>
      </c>
      <c r="AI246">
        <v>32500</v>
      </c>
      <c r="AJ246">
        <v>0</v>
      </c>
      <c r="AS246" t="s">
        <v>4890</v>
      </c>
      <c r="AT246" s="3">
        <v>43129</v>
      </c>
      <c r="AU246">
        <v>319970</v>
      </c>
      <c r="AV246">
        <v>0</v>
      </c>
      <c r="AW246">
        <v>6530</v>
      </c>
      <c r="AX246">
        <v>0</v>
      </c>
    </row>
    <row r="247" spans="1:50" x14ac:dyDescent="0.25">
      <c r="A247" t="s">
        <v>5012</v>
      </c>
      <c r="B247" s="3">
        <v>42891</v>
      </c>
      <c r="C247" t="s">
        <v>4423</v>
      </c>
      <c r="D247" t="s">
        <v>4907</v>
      </c>
      <c r="E247" t="s">
        <v>4425</v>
      </c>
      <c r="F247">
        <v>32500</v>
      </c>
      <c r="G247" t="s">
        <v>5013</v>
      </c>
      <c r="H247" s="3">
        <v>42891</v>
      </c>
      <c r="I247" t="s">
        <v>1375</v>
      </c>
      <c r="J247">
        <v>28000</v>
      </c>
      <c r="K247" s="1"/>
      <c r="M247" s="3">
        <v>42894</v>
      </c>
      <c r="N247" t="s">
        <v>54</v>
      </c>
      <c r="O247" t="s">
        <v>5014</v>
      </c>
      <c r="P247" t="s">
        <v>56</v>
      </c>
      <c r="Q247">
        <v>22700</v>
      </c>
      <c r="R247" s="3">
        <v>43166</v>
      </c>
      <c r="S247" t="s">
        <v>54</v>
      </c>
      <c r="T247" t="s">
        <v>4996</v>
      </c>
      <c r="U247" t="s">
        <v>60</v>
      </c>
      <c r="V247">
        <v>4900</v>
      </c>
      <c r="AG247" t="s">
        <v>5001</v>
      </c>
      <c r="AH247" s="3">
        <v>42913</v>
      </c>
      <c r="AI247">
        <v>32500</v>
      </c>
      <c r="AJ247">
        <v>0</v>
      </c>
      <c r="AS247" t="s">
        <v>4897</v>
      </c>
      <c r="AT247" s="3">
        <v>43045</v>
      </c>
      <c r="AU247">
        <v>605150</v>
      </c>
      <c r="AV247">
        <v>0</v>
      </c>
      <c r="AW247">
        <v>12350</v>
      </c>
      <c r="AX247">
        <v>0</v>
      </c>
    </row>
    <row r="248" spans="1:50" x14ac:dyDescent="0.25">
      <c r="A248" t="s">
        <v>5015</v>
      </c>
      <c r="B248" s="3">
        <v>42891</v>
      </c>
      <c r="C248" t="s">
        <v>4626</v>
      </c>
      <c r="D248" t="s">
        <v>4424</v>
      </c>
      <c r="E248" t="s">
        <v>4425</v>
      </c>
      <c r="F248">
        <v>11000</v>
      </c>
      <c r="G248" t="s">
        <v>5016</v>
      </c>
      <c r="H248" s="3">
        <v>42891</v>
      </c>
      <c r="I248" t="s">
        <v>1375</v>
      </c>
      <c r="J248">
        <v>10000</v>
      </c>
      <c r="K248" s="1"/>
      <c r="M248" s="3">
        <v>43125</v>
      </c>
      <c r="N248" t="s">
        <v>54</v>
      </c>
      <c r="O248" t="s">
        <v>214</v>
      </c>
      <c r="P248" t="s">
        <v>60</v>
      </c>
      <c r="Q248">
        <v>9800</v>
      </c>
      <c r="AG248" t="s">
        <v>5006</v>
      </c>
      <c r="AH248" s="3">
        <v>42913</v>
      </c>
      <c r="AI248">
        <v>11000</v>
      </c>
      <c r="AJ248">
        <v>0</v>
      </c>
      <c r="AS248" t="s">
        <v>4897</v>
      </c>
      <c r="AT248" s="3">
        <v>43045</v>
      </c>
      <c r="AU248">
        <v>53900</v>
      </c>
      <c r="AV248">
        <v>0</v>
      </c>
      <c r="AW248">
        <v>1100</v>
      </c>
      <c r="AX248">
        <v>0</v>
      </c>
    </row>
    <row r="249" spans="1:50" x14ac:dyDescent="0.25">
      <c r="A249" t="s">
        <v>5017</v>
      </c>
      <c r="B249" s="3">
        <v>42892</v>
      </c>
      <c r="C249" t="s">
        <v>4423</v>
      </c>
      <c r="D249" t="s">
        <v>4610</v>
      </c>
      <c r="E249" t="s">
        <v>4425</v>
      </c>
      <c r="F249">
        <v>24000</v>
      </c>
      <c r="G249" t="s">
        <v>5018</v>
      </c>
      <c r="H249" s="3">
        <v>42892</v>
      </c>
      <c r="I249" t="s">
        <v>1375</v>
      </c>
      <c r="J249">
        <v>20000</v>
      </c>
      <c r="K249" s="1"/>
      <c r="M249" s="3">
        <v>42894</v>
      </c>
      <c r="N249" t="s">
        <v>54</v>
      </c>
      <c r="O249" t="s">
        <v>5014</v>
      </c>
      <c r="P249" t="s">
        <v>56</v>
      </c>
      <c r="Q249">
        <v>16700</v>
      </c>
      <c r="R249" s="3">
        <v>43110</v>
      </c>
      <c r="S249" t="s">
        <v>54</v>
      </c>
      <c r="T249" t="s">
        <v>214</v>
      </c>
      <c r="U249" t="s">
        <v>60</v>
      </c>
      <c r="V249">
        <v>2950</v>
      </c>
      <c r="AG249" t="s">
        <v>5009</v>
      </c>
      <c r="AH249" s="3">
        <v>42913</v>
      </c>
      <c r="AI249">
        <v>24000</v>
      </c>
      <c r="AJ249">
        <v>0</v>
      </c>
      <c r="AS249" t="s">
        <v>4699</v>
      </c>
      <c r="AT249" s="3">
        <v>43069</v>
      </c>
      <c r="AU249">
        <v>211680</v>
      </c>
      <c r="AV249">
        <v>0</v>
      </c>
      <c r="AW249">
        <v>4320</v>
      </c>
      <c r="AX249">
        <v>0</v>
      </c>
    </row>
    <row r="250" spans="1:50" x14ac:dyDescent="0.25">
      <c r="A250" t="s">
        <v>5019</v>
      </c>
      <c r="B250" s="3">
        <v>42891</v>
      </c>
      <c r="C250" t="s">
        <v>4459</v>
      </c>
      <c r="D250" t="s">
        <v>4437</v>
      </c>
      <c r="E250" t="s">
        <v>4425</v>
      </c>
      <c r="F250">
        <v>32500</v>
      </c>
      <c r="G250" t="s">
        <v>5020</v>
      </c>
      <c r="H250" s="3">
        <v>42896</v>
      </c>
      <c r="I250" t="s">
        <v>1375</v>
      </c>
      <c r="J250">
        <v>28000</v>
      </c>
      <c r="K250" s="1"/>
      <c r="M250" s="3">
        <v>42902</v>
      </c>
      <c r="N250" t="s">
        <v>54</v>
      </c>
      <c r="O250" t="s">
        <v>1375</v>
      </c>
      <c r="P250" t="s">
        <v>56</v>
      </c>
      <c r="Q250">
        <v>22700</v>
      </c>
      <c r="R250" s="3">
        <v>43166</v>
      </c>
      <c r="S250" t="s">
        <v>54</v>
      </c>
      <c r="T250" t="s">
        <v>4996</v>
      </c>
      <c r="U250" t="s">
        <v>60</v>
      </c>
      <c r="V250">
        <v>4900</v>
      </c>
      <c r="AG250" t="s">
        <v>5001</v>
      </c>
      <c r="AH250" s="3">
        <v>42913</v>
      </c>
      <c r="AI250">
        <v>32500</v>
      </c>
      <c r="AJ250">
        <v>0</v>
      </c>
      <c r="AS250" t="s">
        <v>4897</v>
      </c>
      <c r="AT250" s="3">
        <v>43045</v>
      </c>
      <c r="AU250">
        <v>605150</v>
      </c>
      <c r="AV250">
        <v>0</v>
      </c>
      <c r="AW250">
        <v>12350</v>
      </c>
      <c r="AX250">
        <v>0</v>
      </c>
    </row>
    <row r="251" spans="1:50" x14ac:dyDescent="0.25">
      <c r="A251" t="s">
        <v>5021</v>
      </c>
      <c r="B251" s="3">
        <v>42896</v>
      </c>
      <c r="C251" t="s">
        <v>4423</v>
      </c>
      <c r="D251" t="s">
        <v>4907</v>
      </c>
      <c r="E251" t="s">
        <v>4425</v>
      </c>
      <c r="F251">
        <v>32500</v>
      </c>
      <c r="G251" t="s">
        <v>5022</v>
      </c>
      <c r="H251" s="3">
        <v>42896</v>
      </c>
      <c r="I251" t="s">
        <v>1375</v>
      </c>
      <c r="J251">
        <v>28000</v>
      </c>
      <c r="K251" s="1"/>
      <c r="M251" s="3">
        <v>42902</v>
      </c>
      <c r="N251" t="s">
        <v>54</v>
      </c>
      <c r="O251" t="s">
        <v>1375</v>
      </c>
      <c r="P251" t="s">
        <v>56</v>
      </c>
      <c r="Q251">
        <v>22700</v>
      </c>
      <c r="R251" s="3">
        <v>43110</v>
      </c>
      <c r="S251" t="s">
        <v>54</v>
      </c>
      <c r="T251" t="s">
        <v>214</v>
      </c>
      <c r="U251" t="s">
        <v>60</v>
      </c>
      <c r="V251">
        <v>4900</v>
      </c>
      <c r="AG251" t="s">
        <v>5001</v>
      </c>
      <c r="AH251" s="3">
        <v>42913</v>
      </c>
      <c r="AI251">
        <v>32500</v>
      </c>
      <c r="AJ251">
        <v>0</v>
      </c>
      <c r="AS251" t="s">
        <v>4897</v>
      </c>
      <c r="AT251" s="3">
        <v>43045</v>
      </c>
      <c r="AU251">
        <v>605150</v>
      </c>
      <c r="AV251">
        <v>0</v>
      </c>
      <c r="AW251">
        <v>12350</v>
      </c>
      <c r="AX251">
        <v>0</v>
      </c>
    </row>
    <row r="252" spans="1:50" x14ac:dyDescent="0.25">
      <c r="A252" t="s">
        <v>5023</v>
      </c>
      <c r="B252" s="3">
        <v>42896</v>
      </c>
      <c r="C252" t="s">
        <v>4887</v>
      </c>
      <c r="D252" t="s">
        <v>4437</v>
      </c>
      <c r="E252" t="s">
        <v>4425</v>
      </c>
      <c r="F252">
        <v>32500</v>
      </c>
      <c r="G252" t="s">
        <v>5024</v>
      </c>
      <c r="H252" s="3">
        <v>42896</v>
      </c>
      <c r="I252" t="s">
        <v>1375</v>
      </c>
      <c r="J252">
        <v>28000</v>
      </c>
      <c r="K252" s="1"/>
      <c r="M252" s="3">
        <v>42902</v>
      </c>
      <c r="N252" t="s">
        <v>54</v>
      </c>
      <c r="O252" t="s">
        <v>1375</v>
      </c>
      <c r="P252" t="s">
        <v>56</v>
      </c>
      <c r="Q252">
        <v>22700</v>
      </c>
      <c r="R252" s="3">
        <v>43166</v>
      </c>
      <c r="S252" t="s">
        <v>54</v>
      </c>
      <c r="T252" t="s">
        <v>4996</v>
      </c>
      <c r="U252" t="s">
        <v>60</v>
      </c>
      <c r="V252">
        <v>4900</v>
      </c>
      <c r="AG252" t="s">
        <v>5025</v>
      </c>
      <c r="AH252" s="3">
        <v>42916</v>
      </c>
      <c r="AI252">
        <v>32500</v>
      </c>
      <c r="AJ252">
        <v>0</v>
      </c>
      <c r="AS252" t="s">
        <v>4693</v>
      </c>
      <c r="AT252" s="3">
        <v>42963</v>
      </c>
      <c r="AU252">
        <v>269500</v>
      </c>
      <c r="AV252">
        <v>0</v>
      </c>
      <c r="AW252">
        <v>5500</v>
      </c>
      <c r="AX252">
        <v>0</v>
      </c>
    </row>
    <row r="253" spans="1:50" x14ac:dyDescent="0.25">
      <c r="A253" t="s">
        <v>5026</v>
      </c>
      <c r="B253" s="3">
        <v>42896</v>
      </c>
      <c r="C253" t="s">
        <v>4459</v>
      </c>
      <c r="D253" t="s">
        <v>4437</v>
      </c>
      <c r="E253" t="s">
        <v>4425</v>
      </c>
      <c r="F253">
        <v>32500</v>
      </c>
      <c r="G253" t="s">
        <v>5027</v>
      </c>
      <c r="H253" s="3">
        <v>42896</v>
      </c>
      <c r="I253" t="s">
        <v>1375</v>
      </c>
      <c r="J253">
        <v>28000</v>
      </c>
      <c r="K253" s="1"/>
      <c r="M253" s="3">
        <v>42909</v>
      </c>
      <c r="N253" t="s">
        <v>54</v>
      </c>
      <c r="O253" t="s">
        <v>2737</v>
      </c>
      <c r="P253" t="s">
        <v>56</v>
      </c>
      <c r="Q253">
        <v>22700</v>
      </c>
      <c r="R253" s="3">
        <v>43110</v>
      </c>
      <c r="S253" t="s">
        <v>54</v>
      </c>
      <c r="T253" t="s">
        <v>214</v>
      </c>
      <c r="U253" t="s">
        <v>60</v>
      </c>
      <c r="V253">
        <v>4900</v>
      </c>
      <c r="AG253" t="s">
        <v>5001</v>
      </c>
      <c r="AH253" s="3">
        <v>42913</v>
      </c>
      <c r="AI253">
        <v>32500</v>
      </c>
      <c r="AJ253">
        <v>0</v>
      </c>
      <c r="AS253" t="s">
        <v>4897</v>
      </c>
      <c r="AT253" s="3">
        <v>43045</v>
      </c>
      <c r="AU253">
        <v>605150</v>
      </c>
      <c r="AV253">
        <v>0</v>
      </c>
      <c r="AW253">
        <v>12350</v>
      </c>
      <c r="AX253">
        <v>0</v>
      </c>
    </row>
    <row r="254" spans="1:50" x14ac:dyDescent="0.25">
      <c r="A254" t="s">
        <v>5028</v>
      </c>
      <c r="B254" s="3">
        <v>42896</v>
      </c>
      <c r="C254" t="s">
        <v>4887</v>
      </c>
      <c r="D254" t="s">
        <v>4437</v>
      </c>
      <c r="E254" t="s">
        <v>4425</v>
      </c>
      <c r="F254">
        <v>32500</v>
      </c>
      <c r="G254" t="s">
        <v>5029</v>
      </c>
      <c r="H254" s="3">
        <v>42896</v>
      </c>
      <c r="I254" t="s">
        <v>1375</v>
      </c>
      <c r="J254">
        <v>28000</v>
      </c>
      <c r="K254" s="1"/>
      <c r="M254" s="3">
        <v>42909</v>
      </c>
      <c r="N254" t="s">
        <v>54</v>
      </c>
      <c r="O254" t="s">
        <v>2737</v>
      </c>
      <c r="P254" t="s">
        <v>56</v>
      </c>
      <c r="Q254">
        <v>22700</v>
      </c>
      <c r="R254" s="3">
        <v>43015</v>
      </c>
      <c r="S254" t="s">
        <v>54</v>
      </c>
      <c r="T254" t="s">
        <v>4996</v>
      </c>
      <c r="U254" t="s">
        <v>60</v>
      </c>
      <c r="V254">
        <v>4900</v>
      </c>
      <c r="AG254" t="s">
        <v>5001</v>
      </c>
      <c r="AH254" s="3">
        <v>42913</v>
      </c>
      <c r="AI254">
        <v>32500</v>
      </c>
      <c r="AJ254">
        <v>0</v>
      </c>
      <c r="AS254" t="s">
        <v>4897</v>
      </c>
      <c r="AT254" s="3">
        <v>43045</v>
      </c>
      <c r="AU254">
        <v>605150</v>
      </c>
      <c r="AV254">
        <v>0</v>
      </c>
      <c r="AW254">
        <v>12350</v>
      </c>
      <c r="AX254">
        <v>0</v>
      </c>
    </row>
    <row r="255" spans="1:50" x14ac:dyDescent="0.25">
      <c r="A255" t="s">
        <v>5030</v>
      </c>
      <c r="B255" s="3">
        <v>42896</v>
      </c>
      <c r="C255" t="s">
        <v>4423</v>
      </c>
      <c r="D255" t="s">
        <v>4424</v>
      </c>
      <c r="E255" t="s">
        <v>4425</v>
      </c>
      <c r="F255">
        <v>32500</v>
      </c>
      <c r="G255" t="s">
        <v>5031</v>
      </c>
      <c r="H255" s="3">
        <v>42896</v>
      </c>
      <c r="I255" t="s">
        <v>1375</v>
      </c>
      <c r="J255">
        <v>28000</v>
      </c>
      <c r="K255" s="1"/>
      <c r="M255" s="3">
        <v>42902</v>
      </c>
      <c r="N255" t="s">
        <v>54</v>
      </c>
      <c r="O255" t="s">
        <v>1375</v>
      </c>
      <c r="P255" t="s">
        <v>56</v>
      </c>
      <c r="Q255">
        <v>22700</v>
      </c>
      <c r="R255" s="3">
        <v>43166</v>
      </c>
      <c r="S255" t="s">
        <v>54</v>
      </c>
      <c r="T255" t="s">
        <v>4996</v>
      </c>
      <c r="U255" t="s">
        <v>60</v>
      </c>
      <c r="V255">
        <v>4900</v>
      </c>
      <c r="AG255" t="s">
        <v>5001</v>
      </c>
      <c r="AH255" s="3">
        <v>42913</v>
      </c>
      <c r="AI255">
        <v>32500</v>
      </c>
      <c r="AJ255">
        <v>0</v>
      </c>
      <c r="AS255" t="s">
        <v>4897</v>
      </c>
      <c r="AT255" s="3">
        <v>43045</v>
      </c>
      <c r="AU255">
        <v>605150</v>
      </c>
      <c r="AV255">
        <v>0</v>
      </c>
      <c r="AW255">
        <v>12350</v>
      </c>
      <c r="AX255">
        <v>0</v>
      </c>
    </row>
    <row r="256" spans="1:50" x14ac:dyDescent="0.25">
      <c r="A256" t="s">
        <v>5032</v>
      </c>
      <c r="B256" s="3">
        <v>42896</v>
      </c>
      <c r="C256" t="s">
        <v>4459</v>
      </c>
      <c r="D256" t="s">
        <v>4437</v>
      </c>
      <c r="E256" t="s">
        <v>4425</v>
      </c>
      <c r="F256">
        <v>32500</v>
      </c>
      <c r="G256" t="s">
        <v>5033</v>
      </c>
      <c r="H256" s="3">
        <v>42896</v>
      </c>
      <c r="I256" t="s">
        <v>1375</v>
      </c>
      <c r="J256">
        <v>28000</v>
      </c>
      <c r="K256" s="1"/>
      <c r="M256" s="3">
        <v>42902</v>
      </c>
      <c r="N256" t="s">
        <v>54</v>
      </c>
      <c r="O256" t="s">
        <v>1375</v>
      </c>
      <c r="P256" t="s">
        <v>56</v>
      </c>
      <c r="Q256">
        <v>22700</v>
      </c>
      <c r="R256" s="3">
        <v>43155</v>
      </c>
      <c r="S256" t="s">
        <v>54</v>
      </c>
      <c r="T256" t="s">
        <v>214</v>
      </c>
      <c r="U256" t="s">
        <v>60</v>
      </c>
      <c r="V256">
        <v>4900</v>
      </c>
      <c r="AG256" t="s">
        <v>5001</v>
      </c>
      <c r="AH256" s="3">
        <v>42913</v>
      </c>
      <c r="AI256">
        <v>32500</v>
      </c>
      <c r="AJ256">
        <v>0</v>
      </c>
      <c r="AS256" t="s">
        <v>4897</v>
      </c>
      <c r="AT256" s="3">
        <v>43045</v>
      </c>
      <c r="AU256">
        <v>605150</v>
      </c>
      <c r="AV256">
        <v>0</v>
      </c>
      <c r="AW256">
        <v>12350</v>
      </c>
      <c r="AX256">
        <v>0</v>
      </c>
    </row>
    <row r="257" spans="1:50" x14ac:dyDescent="0.25">
      <c r="A257" t="s">
        <v>5034</v>
      </c>
      <c r="B257" s="3">
        <v>42896</v>
      </c>
      <c r="C257" t="s">
        <v>4459</v>
      </c>
      <c r="D257" t="s">
        <v>4430</v>
      </c>
      <c r="E257" t="s">
        <v>4425</v>
      </c>
      <c r="F257">
        <v>11000</v>
      </c>
      <c r="G257" t="s">
        <v>5035</v>
      </c>
      <c r="H257" s="3">
        <v>42896</v>
      </c>
      <c r="I257" t="s">
        <v>1375</v>
      </c>
      <c r="J257">
        <v>10000</v>
      </c>
      <c r="K257" s="1"/>
      <c r="M257" s="3">
        <v>43155</v>
      </c>
      <c r="N257" t="s">
        <v>54</v>
      </c>
      <c r="O257" t="s">
        <v>214</v>
      </c>
      <c r="P257" t="s">
        <v>60</v>
      </c>
      <c r="Q257">
        <v>9800</v>
      </c>
      <c r="AG257" t="s">
        <v>5006</v>
      </c>
      <c r="AH257" s="3">
        <v>42913</v>
      </c>
      <c r="AI257">
        <v>11000</v>
      </c>
      <c r="AJ257">
        <v>0</v>
      </c>
      <c r="AS257" t="s">
        <v>4897</v>
      </c>
      <c r="AT257" s="3">
        <v>43045</v>
      </c>
      <c r="AU257">
        <v>53900</v>
      </c>
      <c r="AV257">
        <v>0</v>
      </c>
      <c r="AW257">
        <v>1100</v>
      </c>
      <c r="AX257">
        <v>0</v>
      </c>
    </row>
    <row r="258" spans="1:50" x14ac:dyDescent="0.25">
      <c r="A258" t="s">
        <v>5036</v>
      </c>
      <c r="B258" s="3">
        <v>42896</v>
      </c>
      <c r="C258" t="s">
        <v>4423</v>
      </c>
      <c r="D258" t="s">
        <v>4907</v>
      </c>
      <c r="E258" t="s">
        <v>4425</v>
      </c>
      <c r="F258">
        <v>32500</v>
      </c>
      <c r="G258" t="s">
        <v>5037</v>
      </c>
      <c r="H258" s="3">
        <v>42896</v>
      </c>
      <c r="I258" t="s">
        <v>1375</v>
      </c>
      <c r="J258">
        <v>28000</v>
      </c>
      <c r="K258" s="1"/>
      <c r="M258" s="3">
        <v>42909</v>
      </c>
      <c r="N258" t="s">
        <v>54</v>
      </c>
      <c r="O258" t="s">
        <v>2737</v>
      </c>
      <c r="P258" t="s">
        <v>56</v>
      </c>
      <c r="Q258">
        <v>22700</v>
      </c>
      <c r="R258" s="3">
        <v>43110</v>
      </c>
      <c r="S258" t="s">
        <v>54</v>
      </c>
      <c r="T258" t="s">
        <v>214</v>
      </c>
      <c r="U258" t="s">
        <v>60</v>
      </c>
      <c r="V258">
        <v>4900</v>
      </c>
      <c r="AG258" t="s">
        <v>5001</v>
      </c>
      <c r="AH258" s="3">
        <v>42913</v>
      </c>
      <c r="AI258">
        <v>32500</v>
      </c>
      <c r="AJ258">
        <v>0</v>
      </c>
      <c r="AS258" t="s">
        <v>4897</v>
      </c>
      <c r="AT258" s="3">
        <v>43045</v>
      </c>
      <c r="AU258">
        <v>605150</v>
      </c>
      <c r="AV258">
        <v>0</v>
      </c>
      <c r="AW258">
        <v>12350</v>
      </c>
      <c r="AX258">
        <v>0</v>
      </c>
    </row>
    <row r="259" spans="1:50" x14ac:dyDescent="0.25">
      <c r="A259" t="s">
        <v>5038</v>
      </c>
      <c r="B259" s="3">
        <v>42905</v>
      </c>
      <c r="C259" t="s">
        <v>4626</v>
      </c>
      <c r="D259" t="s">
        <v>4424</v>
      </c>
      <c r="E259" t="s">
        <v>4425</v>
      </c>
      <c r="F259">
        <v>11000</v>
      </c>
      <c r="G259" t="s">
        <v>5039</v>
      </c>
      <c r="H259" s="3">
        <v>42905</v>
      </c>
      <c r="I259" t="s">
        <v>1375</v>
      </c>
      <c r="J259">
        <v>10000</v>
      </c>
      <c r="K259" s="1"/>
      <c r="M259" s="3">
        <v>43155</v>
      </c>
      <c r="N259" t="s">
        <v>54</v>
      </c>
      <c r="O259" t="s">
        <v>214</v>
      </c>
      <c r="P259" t="s">
        <v>60</v>
      </c>
      <c r="Q259">
        <v>9800</v>
      </c>
      <c r="AG259" t="s">
        <v>5006</v>
      </c>
      <c r="AH259" s="3">
        <v>42913</v>
      </c>
      <c r="AI259">
        <v>11000</v>
      </c>
      <c r="AJ259">
        <v>0</v>
      </c>
      <c r="AS259" t="s">
        <v>4897</v>
      </c>
      <c r="AT259" s="3">
        <v>43045</v>
      </c>
      <c r="AU259">
        <v>53900</v>
      </c>
      <c r="AV259">
        <v>0</v>
      </c>
      <c r="AW259">
        <v>1100</v>
      </c>
      <c r="AX259">
        <v>0</v>
      </c>
    </row>
    <row r="260" spans="1:50" x14ac:dyDescent="0.25">
      <c r="A260" t="s">
        <v>5040</v>
      </c>
      <c r="B260" s="3">
        <v>42905</v>
      </c>
      <c r="C260" t="s">
        <v>4459</v>
      </c>
      <c r="D260" t="s">
        <v>4437</v>
      </c>
      <c r="E260" t="s">
        <v>4425</v>
      </c>
      <c r="F260">
        <v>32500</v>
      </c>
      <c r="G260" t="s">
        <v>5041</v>
      </c>
      <c r="H260" s="3">
        <v>42905</v>
      </c>
      <c r="I260" t="s">
        <v>1375</v>
      </c>
      <c r="J260">
        <v>28000</v>
      </c>
      <c r="K260" s="1"/>
      <c r="M260" s="3">
        <v>42920</v>
      </c>
      <c r="N260" t="s">
        <v>54</v>
      </c>
      <c r="O260" t="s">
        <v>1375</v>
      </c>
      <c r="P260" t="s">
        <v>56</v>
      </c>
      <c r="Q260">
        <v>22700</v>
      </c>
      <c r="R260" s="3">
        <v>43125</v>
      </c>
      <c r="S260" t="s">
        <v>54</v>
      </c>
      <c r="T260" t="s">
        <v>214</v>
      </c>
      <c r="U260" t="s">
        <v>60</v>
      </c>
      <c r="V260">
        <v>4900</v>
      </c>
      <c r="AG260" t="s">
        <v>5001</v>
      </c>
      <c r="AH260" s="3">
        <v>42913</v>
      </c>
      <c r="AI260">
        <v>32500</v>
      </c>
      <c r="AJ260">
        <v>0</v>
      </c>
      <c r="AS260" t="s">
        <v>4897</v>
      </c>
      <c r="AT260" s="3">
        <v>43045</v>
      </c>
      <c r="AU260">
        <v>605150</v>
      </c>
      <c r="AV260">
        <v>0</v>
      </c>
      <c r="AW260">
        <v>12350</v>
      </c>
      <c r="AX260">
        <v>0</v>
      </c>
    </row>
    <row r="261" spans="1:50" x14ac:dyDescent="0.25">
      <c r="A261" t="s">
        <v>5042</v>
      </c>
      <c r="B261" s="3">
        <v>42905</v>
      </c>
      <c r="C261" t="s">
        <v>4423</v>
      </c>
      <c r="D261" t="s">
        <v>4424</v>
      </c>
      <c r="E261" t="s">
        <v>4425</v>
      </c>
      <c r="F261">
        <v>32500</v>
      </c>
      <c r="G261" t="s">
        <v>5043</v>
      </c>
      <c r="H261" s="3">
        <v>42905</v>
      </c>
      <c r="I261" t="s">
        <v>1375</v>
      </c>
      <c r="J261">
        <v>28000</v>
      </c>
      <c r="K261" s="1"/>
      <c r="M261" s="3">
        <v>42920</v>
      </c>
      <c r="N261" t="s">
        <v>54</v>
      </c>
      <c r="O261" t="s">
        <v>1375</v>
      </c>
      <c r="P261" t="s">
        <v>56</v>
      </c>
      <c r="Q261">
        <v>22700</v>
      </c>
      <c r="R261" s="3">
        <v>43110</v>
      </c>
      <c r="S261" t="s">
        <v>54</v>
      </c>
      <c r="T261" t="s">
        <v>214</v>
      </c>
      <c r="U261" t="s">
        <v>60</v>
      </c>
      <c r="V261">
        <v>4900</v>
      </c>
      <c r="AG261" t="s">
        <v>5001</v>
      </c>
      <c r="AH261" s="3">
        <v>42913</v>
      </c>
      <c r="AI261">
        <v>32500</v>
      </c>
      <c r="AJ261">
        <v>0</v>
      </c>
      <c r="AS261" t="s">
        <v>4897</v>
      </c>
      <c r="AT261" s="3">
        <v>43045</v>
      </c>
      <c r="AU261">
        <v>605150</v>
      </c>
      <c r="AV261">
        <v>0</v>
      </c>
      <c r="AW261">
        <v>12350</v>
      </c>
      <c r="AX261">
        <v>0</v>
      </c>
    </row>
    <row r="262" spans="1:50" x14ac:dyDescent="0.25">
      <c r="A262" t="s">
        <v>5044</v>
      </c>
      <c r="B262" s="3">
        <v>42905</v>
      </c>
      <c r="C262" t="s">
        <v>4423</v>
      </c>
      <c r="D262" t="s">
        <v>4441</v>
      </c>
      <c r="E262" t="s">
        <v>4425</v>
      </c>
      <c r="F262">
        <v>25500</v>
      </c>
      <c r="G262" t="s">
        <v>5045</v>
      </c>
      <c r="H262" s="3">
        <v>42905</v>
      </c>
      <c r="I262" t="s">
        <v>1375</v>
      </c>
      <c r="J262">
        <v>22000</v>
      </c>
      <c r="K262" s="1"/>
      <c r="M262" s="3">
        <v>42920</v>
      </c>
      <c r="N262" t="s">
        <v>54</v>
      </c>
      <c r="O262" t="s">
        <v>1375</v>
      </c>
      <c r="P262" t="s">
        <v>56</v>
      </c>
      <c r="Q262">
        <v>17500</v>
      </c>
      <c r="R262" s="3">
        <v>43166</v>
      </c>
      <c r="S262" t="s">
        <v>54</v>
      </c>
      <c r="T262" t="s">
        <v>4996</v>
      </c>
      <c r="U262" t="s">
        <v>60</v>
      </c>
      <c r="V262">
        <v>3900</v>
      </c>
      <c r="AG262" t="s">
        <v>5046</v>
      </c>
      <c r="AH262" s="3">
        <v>42916</v>
      </c>
      <c r="AI262">
        <v>25500</v>
      </c>
      <c r="AJ262">
        <v>0</v>
      </c>
      <c r="AS262" t="s">
        <v>4693</v>
      </c>
      <c r="AT262" s="3">
        <v>42963</v>
      </c>
      <c r="AU262">
        <v>160720</v>
      </c>
      <c r="AV262">
        <v>0</v>
      </c>
      <c r="AW262">
        <v>3280</v>
      </c>
      <c r="AX262">
        <v>0</v>
      </c>
    </row>
    <row r="263" spans="1:50" x14ac:dyDescent="0.25">
      <c r="A263" t="s">
        <v>5047</v>
      </c>
      <c r="B263" s="3">
        <v>42905</v>
      </c>
      <c r="C263" t="s">
        <v>4887</v>
      </c>
      <c r="D263" t="s">
        <v>4437</v>
      </c>
      <c r="E263" t="s">
        <v>4425</v>
      </c>
      <c r="F263">
        <v>32500</v>
      </c>
      <c r="G263" t="s">
        <v>5048</v>
      </c>
      <c r="H263" s="3">
        <v>42905</v>
      </c>
      <c r="I263" t="s">
        <v>1375</v>
      </c>
      <c r="J263">
        <v>28000</v>
      </c>
      <c r="K263" s="1"/>
      <c r="M263" s="3">
        <v>42920</v>
      </c>
      <c r="N263" t="s">
        <v>54</v>
      </c>
      <c r="O263" t="s">
        <v>1375</v>
      </c>
      <c r="P263" t="s">
        <v>56</v>
      </c>
      <c r="Q263">
        <v>22700</v>
      </c>
      <c r="R263" s="3">
        <v>43015</v>
      </c>
      <c r="S263" t="s">
        <v>54</v>
      </c>
      <c r="T263" t="s">
        <v>4996</v>
      </c>
      <c r="U263" t="s">
        <v>60</v>
      </c>
      <c r="V263">
        <v>4900</v>
      </c>
      <c r="AG263" t="s">
        <v>5001</v>
      </c>
      <c r="AH263" s="3">
        <v>42913</v>
      </c>
      <c r="AI263">
        <v>32500</v>
      </c>
      <c r="AJ263">
        <v>0</v>
      </c>
      <c r="AS263" t="s">
        <v>4897</v>
      </c>
      <c r="AT263" s="3">
        <v>43045</v>
      </c>
      <c r="AU263">
        <v>605150</v>
      </c>
      <c r="AV263">
        <v>0</v>
      </c>
      <c r="AW263">
        <v>12350</v>
      </c>
      <c r="AX263">
        <v>0</v>
      </c>
    </row>
    <row r="264" spans="1:50" x14ac:dyDescent="0.25">
      <c r="A264" t="s">
        <v>5049</v>
      </c>
      <c r="B264" s="3">
        <v>42905</v>
      </c>
      <c r="C264" t="s">
        <v>4423</v>
      </c>
      <c r="D264" t="s">
        <v>4907</v>
      </c>
      <c r="E264" t="s">
        <v>4425</v>
      </c>
      <c r="F264">
        <v>32500</v>
      </c>
      <c r="G264" t="s">
        <v>5050</v>
      </c>
      <c r="H264" s="3">
        <v>42905</v>
      </c>
      <c r="I264" t="s">
        <v>214</v>
      </c>
      <c r="J264">
        <v>28000</v>
      </c>
      <c r="K264" s="1"/>
      <c r="M264" s="3">
        <v>42909</v>
      </c>
      <c r="N264" t="s">
        <v>57</v>
      </c>
      <c r="P264" t="s">
        <v>56</v>
      </c>
      <c r="Q264">
        <v>4000</v>
      </c>
      <c r="R264" s="3">
        <v>42909</v>
      </c>
      <c r="S264" t="s">
        <v>54</v>
      </c>
      <c r="T264" t="s">
        <v>214</v>
      </c>
      <c r="U264" t="s">
        <v>56</v>
      </c>
      <c r="V264">
        <v>18700</v>
      </c>
      <c r="W264" s="3">
        <v>43125</v>
      </c>
      <c r="X264" t="s">
        <v>54</v>
      </c>
      <c r="Y264" t="s">
        <v>214</v>
      </c>
      <c r="Z264" t="s">
        <v>60</v>
      </c>
      <c r="AA264">
        <v>4900</v>
      </c>
      <c r="AG264" t="s">
        <v>5001</v>
      </c>
      <c r="AH264" s="3">
        <v>42913</v>
      </c>
      <c r="AI264">
        <v>32500</v>
      </c>
      <c r="AJ264">
        <v>0</v>
      </c>
      <c r="AS264" t="s">
        <v>4897</v>
      </c>
      <c r="AT264" s="3">
        <v>43045</v>
      </c>
      <c r="AU264">
        <v>605150</v>
      </c>
      <c r="AV264">
        <v>0</v>
      </c>
      <c r="AW264">
        <v>12350</v>
      </c>
      <c r="AX264">
        <v>0</v>
      </c>
    </row>
    <row r="265" spans="1:50" x14ac:dyDescent="0.25">
      <c r="A265" t="s">
        <v>5051</v>
      </c>
      <c r="B265" s="3">
        <v>42905</v>
      </c>
      <c r="C265" t="s">
        <v>4423</v>
      </c>
      <c r="D265" t="s">
        <v>5052</v>
      </c>
      <c r="E265" t="s">
        <v>4425</v>
      </c>
      <c r="F265">
        <v>22000</v>
      </c>
      <c r="G265" t="s">
        <v>5053</v>
      </c>
      <c r="H265" s="3">
        <v>42905</v>
      </c>
      <c r="I265" t="s">
        <v>214</v>
      </c>
      <c r="J265">
        <v>18000</v>
      </c>
      <c r="K265" s="1"/>
      <c r="M265" s="3">
        <v>42907</v>
      </c>
      <c r="N265" t="s">
        <v>54</v>
      </c>
      <c r="O265" t="s">
        <v>214</v>
      </c>
      <c r="P265" t="s">
        <v>56</v>
      </c>
      <c r="Q265">
        <v>14500</v>
      </c>
      <c r="R265" s="3">
        <v>43024</v>
      </c>
      <c r="S265" t="s">
        <v>54</v>
      </c>
      <c r="T265" t="s">
        <v>1672</v>
      </c>
      <c r="U265" t="s">
        <v>60</v>
      </c>
      <c r="V265">
        <v>2950</v>
      </c>
      <c r="AG265" t="s">
        <v>5025</v>
      </c>
      <c r="AH265" s="3">
        <v>42916</v>
      </c>
      <c r="AI265">
        <v>22000</v>
      </c>
      <c r="AJ265">
        <v>0</v>
      </c>
      <c r="AS265" t="s">
        <v>4693</v>
      </c>
      <c r="AT265" s="3">
        <v>42963</v>
      </c>
      <c r="AU265">
        <v>269500</v>
      </c>
      <c r="AV265">
        <v>0</v>
      </c>
      <c r="AW265">
        <v>5500</v>
      </c>
      <c r="AX265">
        <v>0</v>
      </c>
    </row>
    <row r="266" spans="1:50" x14ac:dyDescent="0.25">
      <c r="A266" t="s">
        <v>5054</v>
      </c>
      <c r="B266" s="3">
        <v>42905</v>
      </c>
      <c r="C266" t="s">
        <v>4459</v>
      </c>
      <c r="D266" t="s">
        <v>4437</v>
      </c>
      <c r="E266" t="s">
        <v>4425</v>
      </c>
      <c r="F266">
        <v>32500</v>
      </c>
      <c r="G266" t="s">
        <v>5055</v>
      </c>
      <c r="H266" s="3">
        <v>42905</v>
      </c>
      <c r="I266" t="s">
        <v>1375</v>
      </c>
      <c r="J266">
        <v>28000</v>
      </c>
      <c r="K266" s="1"/>
      <c r="M266" s="3">
        <v>42920</v>
      </c>
      <c r="N266" t="s">
        <v>54</v>
      </c>
      <c r="O266" t="s">
        <v>1375</v>
      </c>
      <c r="P266" t="s">
        <v>56</v>
      </c>
      <c r="Q266">
        <v>22700</v>
      </c>
      <c r="R266" s="3">
        <v>43166</v>
      </c>
      <c r="S266" t="s">
        <v>54</v>
      </c>
      <c r="T266" t="s">
        <v>4996</v>
      </c>
      <c r="U266" t="s">
        <v>60</v>
      </c>
      <c r="V266">
        <v>4900</v>
      </c>
      <c r="AG266" t="s">
        <v>5001</v>
      </c>
      <c r="AH266" s="3">
        <v>42913</v>
      </c>
      <c r="AI266">
        <v>32500</v>
      </c>
      <c r="AJ266">
        <v>0</v>
      </c>
      <c r="AS266" t="s">
        <v>4897</v>
      </c>
      <c r="AT266" s="3">
        <v>43045</v>
      </c>
      <c r="AU266">
        <v>605150</v>
      </c>
      <c r="AV266">
        <v>0</v>
      </c>
      <c r="AW266">
        <v>12350</v>
      </c>
      <c r="AX266">
        <v>0</v>
      </c>
    </row>
    <row r="267" spans="1:50" x14ac:dyDescent="0.25">
      <c r="A267" t="s">
        <v>5056</v>
      </c>
      <c r="B267" s="3">
        <v>42905</v>
      </c>
      <c r="C267" t="s">
        <v>4423</v>
      </c>
      <c r="D267" t="s">
        <v>4907</v>
      </c>
      <c r="E267" t="s">
        <v>4425</v>
      </c>
      <c r="F267">
        <v>32500</v>
      </c>
      <c r="G267" t="s">
        <v>5057</v>
      </c>
      <c r="H267" s="3">
        <v>42905</v>
      </c>
      <c r="I267" t="s">
        <v>1375</v>
      </c>
      <c r="J267">
        <v>28000</v>
      </c>
      <c r="K267" s="1"/>
      <c r="M267" s="3">
        <v>42920</v>
      </c>
      <c r="N267" t="s">
        <v>57</v>
      </c>
      <c r="P267" t="s">
        <v>56</v>
      </c>
      <c r="Q267">
        <v>6000</v>
      </c>
      <c r="R267" s="3">
        <v>42920</v>
      </c>
      <c r="S267" t="s">
        <v>54</v>
      </c>
      <c r="T267" t="s">
        <v>1375</v>
      </c>
      <c r="U267" t="s">
        <v>56</v>
      </c>
      <c r="V267">
        <v>16700</v>
      </c>
      <c r="W267" s="3">
        <v>43166</v>
      </c>
      <c r="X267" t="s">
        <v>54</v>
      </c>
      <c r="Y267" t="s">
        <v>4996</v>
      </c>
      <c r="Z267" t="s">
        <v>60</v>
      </c>
      <c r="AA267">
        <v>4900</v>
      </c>
      <c r="AG267" t="s">
        <v>5001</v>
      </c>
      <c r="AH267" s="3">
        <v>42913</v>
      </c>
      <c r="AI267">
        <v>32500</v>
      </c>
      <c r="AJ267">
        <v>0</v>
      </c>
      <c r="AS267" t="s">
        <v>4897</v>
      </c>
      <c r="AT267" s="3">
        <v>43045</v>
      </c>
      <c r="AU267">
        <v>605150</v>
      </c>
      <c r="AV267">
        <v>0</v>
      </c>
      <c r="AW267">
        <v>12350</v>
      </c>
      <c r="AX267">
        <v>0</v>
      </c>
    </row>
    <row r="268" spans="1:50" x14ac:dyDescent="0.25">
      <c r="A268" t="s">
        <v>5058</v>
      </c>
      <c r="B268" s="3">
        <v>42905</v>
      </c>
      <c r="C268" t="s">
        <v>4423</v>
      </c>
      <c r="D268" t="s">
        <v>4430</v>
      </c>
      <c r="E268" t="s">
        <v>4425</v>
      </c>
      <c r="F268">
        <v>11000</v>
      </c>
      <c r="G268" t="s">
        <v>5059</v>
      </c>
      <c r="H268" s="3">
        <v>42905</v>
      </c>
      <c r="I268" t="s">
        <v>214</v>
      </c>
      <c r="J268">
        <v>10000</v>
      </c>
      <c r="K268" s="1"/>
      <c r="M268" s="3">
        <v>43060</v>
      </c>
      <c r="N268" t="s">
        <v>54</v>
      </c>
      <c r="O268" t="s">
        <v>214</v>
      </c>
      <c r="P268" t="s">
        <v>60</v>
      </c>
      <c r="Q268">
        <v>9800</v>
      </c>
      <c r="AG268" t="s">
        <v>5006</v>
      </c>
      <c r="AH268" s="3">
        <v>42913</v>
      </c>
      <c r="AI268">
        <v>11000</v>
      </c>
      <c r="AJ268">
        <v>0</v>
      </c>
      <c r="AS268" t="s">
        <v>4897</v>
      </c>
      <c r="AT268" s="3">
        <v>43045</v>
      </c>
      <c r="AU268">
        <v>53900</v>
      </c>
      <c r="AV268">
        <v>0</v>
      </c>
      <c r="AW268">
        <v>1100</v>
      </c>
      <c r="AX268">
        <v>0</v>
      </c>
    </row>
    <row r="269" spans="1:50" x14ac:dyDescent="0.25">
      <c r="A269" t="s">
        <v>5060</v>
      </c>
      <c r="B269" s="3">
        <v>42905</v>
      </c>
      <c r="C269" t="s">
        <v>4626</v>
      </c>
      <c r="D269" t="s">
        <v>4437</v>
      </c>
      <c r="E269" t="s">
        <v>4425</v>
      </c>
      <c r="F269">
        <v>24000</v>
      </c>
      <c r="G269" t="s">
        <v>5061</v>
      </c>
      <c r="H269" s="3">
        <v>42905</v>
      </c>
      <c r="I269" t="s">
        <v>214</v>
      </c>
      <c r="J269">
        <v>20000</v>
      </c>
      <c r="K269" s="1"/>
      <c r="M269" s="3">
        <v>42909</v>
      </c>
      <c r="N269" t="s">
        <v>54</v>
      </c>
      <c r="O269" t="s">
        <v>214</v>
      </c>
      <c r="P269" t="s">
        <v>56</v>
      </c>
      <c r="Q269">
        <v>16700</v>
      </c>
      <c r="R269" s="3">
        <v>43060</v>
      </c>
      <c r="S269" t="s">
        <v>54</v>
      </c>
      <c r="T269" t="s">
        <v>214</v>
      </c>
      <c r="U269" t="s">
        <v>60</v>
      </c>
      <c r="V269">
        <v>2950</v>
      </c>
      <c r="AG269" t="s">
        <v>5009</v>
      </c>
      <c r="AH269" s="3">
        <v>42913</v>
      </c>
      <c r="AI269">
        <v>24000</v>
      </c>
      <c r="AJ269">
        <v>0</v>
      </c>
      <c r="AS269" t="s">
        <v>4699</v>
      </c>
      <c r="AT269" s="3">
        <v>43069</v>
      </c>
      <c r="AU269">
        <v>211680</v>
      </c>
      <c r="AV269">
        <v>0</v>
      </c>
      <c r="AW269">
        <v>4320</v>
      </c>
      <c r="AX269">
        <v>0</v>
      </c>
    </row>
    <row r="270" spans="1:50" x14ac:dyDescent="0.25">
      <c r="A270" t="s">
        <v>5062</v>
      </c>
      <c r="B270" s="3">
        <v>42905</v>
      </c>
      <c r="C270" t="s">
        <v>4459</v>
      </c>
      <c r="D270" t="s">
        <v>4437</v>
      </c>
      <c r="E270" t="s">
        <v>4425</v>
      </c>
      <c r="F270">
        <v>32500</v>
      </c>
      <c r="G270" t="s">
        <v>5063</v>
      </c>
      <c r="H270" s="3">
        <v>42905</v>
      </c>
      <c r="I270" t="s">
        <v>214</v>
      </c>
      <c r="J270">
        <v>28000</v>
      </c>
      <c r="K270" s="1"/>
      <c r="M270" s="3">
        <v>42909</v>
      </c>
      <c r="N270" t="s">
        <v>54</v>
      </c>
      <c r="O270" t="s">
        <v>214</v>
      </c>
      <c r="P270" t="s">
        <v>56</v>
      </c>
      <c r="Q270">
        <v>22700</v>
      </c>
      <c r="R270" s="3">
        <v>43166</v>
      </c>
      <c r="S270" t="s">
        <v>54</v>
      </c>
      <c r="T270" t="s">
        <v>4969</v>
      </c>
      <c r="U270" t="s">
        <v>60</v>
      </c>
      <c r="V270">
        <v>4900</v>
      </c>
      <c r="AG270" t="s">
        <v>5001</v>
      </c>
      <c r="AH270" s="3">
        <v>42913</v>
      </c>
      <c r="AI270">
        <v>32500</v>
      </c>
      <c r="AJ270">
        <v>0</v>
      </c>
      <c r="AS270" t="s">
        <v>4897</v>
      </c>
      <c r="AT270" s="3">
        <v>43045</v>
      </c>
      <c r="AU270">
        <v>605150</v>
      </c>
      <c r="AV270">
        <v>0</v>
      </c>
      <c r="AW270">
        <v>12350</v>
      </c>
      <c r="AX270">
        <v>0</v>
      </c>
    </row>
    <row r="271" spans="1:50" x14ac:dyDescent="0.25">
      <c r="A271" t="s">
        <v>5064</v>
      </c>
      <c r="B271" s="3">
        <v>42905</v>
      </c>
      <c r="C271" t="s">
        <v>4887</v>
      </c>
      <c r="D271" t="s">
        <v>4437</v>
      </c>
      <c r="E271" t="s">
        <v>4425</v>
      </c>
      <c r="F271">
        <v>32500</v>
      </c>
      <c r="G271" t="s">
        <v>5065</v>
      </c>
      <c r="H271" s="3">
        <v>42905</v>
      </c>
      <c r="I271" t="s">
        <v>1375</v>
      </c>
      <c r="J271">
        <v>28000</v>
      </c>
      <c r="K271" s="1"/>
      <c r="M271" s="3">
        <v>42909</v>
      </c>
      <c r="N271" t="s">
        <v>57</v>
      </c>
      <c r="P271" t="s">
        <v>56</v>
      </c>
      <c r="Q271">
        <v>6000</v>
      </c>
      <c r="R271" s="3">
        <v>42909</v>
      </c>
      <c r="S271" t="s">
        <v>54</v>
      </c>
      <c r="T271" t="s">
        <v>214</v>
      </c>
      <c r="U271" t="s">
        <v>56</v>
      </c>
      <c r="V271">
        <v>16700</v>
      </c>
      <c r="W271" s="3">
        <v>43166</v>
      </c>
      <c r="X271" t="s">
        <v>54</v>
      </c>
      <c r="Y271" t="s">
        <v>4996</v>
      </c>
      <c r="Z271" t="s">
        <v>60</v>
      </c>
      <c r="AA271">
        <v>4900</v>
      </c>
      <c r="AG271" t="s">
        <v>5001</v>
      </c>
      <c r="AH271" s="3">
        <v>42913</v>
      </c>
      <c r="AI271">
        <v>32500</v>
      </c>
      <c r="AJ271">
        <v>0</v>
      </c>
      <c r="AS271" t="s">
        <v>4897</v>
      </c>
      <c r="AT271" s="3">
        <v>43045</v>
      </c>
      <c r="AU271">
        <v>605150</v>
      </c>
      <c r="AV271">
        <v>0</v>
      </c>
      <c r="AW271">
        <v>12350</v>
      </c>
      <c r="AX271">
        <v>0</v>
      </c>
    </row>
    <row r="272" spans="1:50" x14ac:dyDescent="0.25">
      <c r="A272" t="s">
        <v>5066</v>
      </c>
      <c r="B272" s="3">
        <v>42905</v>
      </c>
      <c r="C272" t="s">
        <v>4423</v>
      </c>
      <c r="D272" t="s">
        <v>4424</v>
      </c>
      <c r="E272" t="s">
        <v>4425</v>
      </c>
      <c r="F272">
        <v>24000</v>
      </c>
      <c r="G272" t="s">
        <v>5067</v>
      </c>
      <c r="H272" s="3">
        <v>42905</v>
      </c>
      <c r="I272" t="s">
        <v>1375</v>
      </c>
      <c r="J272">
        <v>20000</v>
      </c>
      <c r="K272" s="1"/>
      <c r="M272" s="3">
        <v>42909</v>
      </c>
      <c r="N272" t="s">
        <v>54</v>
      </c>
      <c r="O272" t="s">
        <v>214</v>
      </c>
      <c r="P272" t="s">
        <v>56</v>
      </c>
      <c r="Q272">
        <v>16700</v>
      </c>
      <c r="R272" s="3">
        <v>43189</v>
      </c>
      <c r="S272" t="s">
        <v>54</v>
      </c>
      <c r="T272" t="s">
        <v>214</v>
      </c>
      <c r="U272" t="s">
        <v>60</v>
      </c>
      <c r="V272">
        <v>2950</v>
      </c>
      <c r="AG272" t="s">
        <v>5009</v>
      </c>
      <c r="AH272" s="3">
        <v>42913</v>
      </c>
      <c r="AI272">
        <v>24000</v>
      </c>
      <c r="AJ272">
        <v>0</v>
      </c>
      <c r="AS272" t="s">
        <v>4699</v>
      </c>
      <c r="AT272" s="3">
        <v>43069</v>
      </c>
      <c r="AU272">
        <v>211680</v>
      </c>
      <c r="AV272">
        <v>0</v>
      </c>
      <c r="AW272">
        <v>4320</v>
      </c>
      <c r="AX272">
        <v>0</v>
      </c>
    </row>
    <row r="273" spans="1:50" x14ac:dyDescent="0.25">
      <c r="A273" t="s">
        <v>5068</v>
      </c>
      <c r="B273" s="3">
        <v>42905</v>
      </c>
      <c r="C273" t="s">
        <v>4423</v>
      </c>
      <c r="D273" t="s">
        <v>4424</v>
      </c>
      <c r="E273" t="s">
        <v>4425</v>
      </c>
      <c r="F273">
        <v>24000</v>
      </c>
      <c r="G273" t="s">
        <v>5069</v>
      </c>
      <c r="H273" s="3">
        <v>42905</v>
      </c>
      <c r="I273" t="s">
        <v>214</v>
      </c>
      <c r="J273">
        <v>20000</v>
      </c>
      <c r="K273" s="1"/>
      <c r="M273" s="3">
        <v>42909</v>
      </c>
      <c r="N273" t="s">
        <v>54</v>
      </c>
      <c r="O273" t="s">
        <v>214</v>
      </c>
      <c r="P273" t="s">
        <v>56</v>
      </c>
      <c r="Q273">
        <v>16700</v>
      </c>
      <c r="R273" s="3">
        <v>43060</v>
      </c>
      <c r="S273" t="s">
        <v>54</v>
      </c>
      <c r="T273" t="s">
        <v>214</v>
      </c>
      <c r="U273" t="s">
        <v>60</v>
      </c>
      <c r="V273">
        <v>2950</v>
      </c>
      <c r="AG273" t="s">
        <v>5009</v>
      </c>
      <c r="AH273" s="3">
        <v>42913</v>
      </c>
      <c r="AI273">
        <v>24000</v>
      </c>
      <c r="AJ273">
        <v>0</v>
      </c>
      <c r="AS273" t="s">
        <v>4699</v>
      </c>
      <c r="AT273" s="3">
        <v>43069</v>
      </c>
      <c r="AU273">
        <v>211680</v>
      </c>
      <c r="AV273">
        <v>0</v>
      </c>
      <c r="AW273">
        <v>4320</v>
      </c>
      <c r="AX273">
        <v>0</v>
      </c>
    </row>
    <row r="274" spans="1:50" x14ac:dyDescent="0.25">
      <c r="A274" t="s">
        <v>5070</v>
      </c>
      <c r="B274" s="3">
        <v>42905</v>
      </c>
      <c r="C274" t="s">
        <v>4423</v>
      </c>
      <c r="D274" t="s">
        <v>4441</v>
      </c>
      <c r="E274" t="s">
        <v>4425</v>
      </c>
      <c r="F274">
        <v>25500</v>
      </c>
      <c r="G274" t="s">
        <v>5071</v>
      </c>
      <c r="H274" s="3">
        <v>42905</v>
      </c>
      <c r="I274" t="s">
        <v>214</v>
      </c>
      <c r="J274">
        <v>22000</v>
      </c>
      <c r="K274" s="1"/>
      <c r="M274" s="3">
        <v>42909</v>
      </c>
      <c r="N274" t="s">
        <v>54</v>
      </c>
      <c r="O274" t="s">
        <v>214</v>
      </c>
      <c r="P274" t="s">
        <v>56</v>
      </c>
      <c r="Q274">
        <v>17500</v>
      </c>
      <c r="R274" s="3">
        <v>42947</v>
      </c>
      <c r="S274" t="s">
        <v>54</v>
      </c>
      <c r="T274" t="s">
        <v>5072</v>
      </c>
      <c r="U274" t="s">
        <v>60</v>
      </c>
      <c r="V274">
        <v>3900</v>
      </c>
      <c r="AG274" t="s">
        <v>5046</v>
      </c>
      <c r="AH274" s="3">
        <v>42916</v>
      </c>
      <c r="AI274">
        <v>25500</v>
      </c>
      <c r="AJ274">
        <v>0</v>
      </c>
      <c r="AS274" t="s">
        <v>4693</v>
      </c>
      <c r="AT274" s="3">
        <v>42963</v>
      </c>
      <c r="AU274">
        <v>160720</v>
      </c>
      <c r="AV274">
        <v>0</v>
      </c>
      <c r="AW274">
        <v>3280</v>
      </c>
      <c r="AX274">
        <v>0</v>
      </c>
    </row>
    <row r="275" spans="1:50" x14ac:dyDescent="0.25">
      <c r="A275" t="s">
        <v>5073</v>
      </c>
      <c r="B275" s="3">
        <v>42905</v>
      </c>
      <c r="C275" t="s">
        <v>4423</v>
      </c>
      <c r="D275" t="s">
        <v>4424</v>
      </c>
      <c r="E275" t="s">
        <v>4425</v>
      </c>
      <c r="F275">
        <v>24000</v>
      </c>
      <c r="G275" t="s">
        <v>5074</v>
      </c>
      <c r="H275" s="3">
        <v>42905</v>
      </c>
      <c r="I275" t="s">
        <v>214</v>
      </c>
      <c r="J275">
        <v>20000</v>
      </c>
      <c r="K275" s="1"/>
      <c r="M275" s="3">
        <v>42909</v>
      </c>
      <c r="N275" t="s">
        <v>54</v>
      </c>
      <c r="O275" t="s">
        <v>214</v>
      </c>
      <c r="P275" t="s">
        <v>56</v>
      </c>
      <c r="Q275">
        <v>16700</v>
      </c>
      <c r="R275" s="3">
        <v>43189</v>
      </c>
      <c r="S275" t="s">
        <v>54</v>
      </c>
      <c r="T275" t="s">
        <v>214</v>
      </c>
      <c r="U275" t="s">
        <v>60</v>
      </c>
      <c r="V275">
        <v>2950</v>
      </c>
      <c r="AG275" t="s">
        <v>5009</v>
      </c>
      <c r="AH275" s="3">
        <v>42913</v>
      </c>
      <c r="AI275">
        <v>24000</v>
      </c>
      <c r="AJ275">
        <v>0</v>
      </c>
      <c r="AS275" t="s">
        <v>4699</v>
      </c>
      <c r="AT275" s="3">
        <v>43069</v>
      </c>
      <c r="AU275">
        <v>211680</v>
      </c>
      <c r="AV275">
        <v>0</v>
      </c>
      <c r="AW275">
        <v>4320</v>
      </c>
      <c r="AX275">
        <v>0</v>
      </c>
    </row>
    <row r="276" spans="1:50" x14ac:dyDescent="0.25">
      <c r="A276" t="s">
        <v>5075</v>
      </c>
      <c r="B276" s="3">
        <v>42905</v>
      </c>
      <c r="C276" t="s">
        <v>4459</v>
      </c>
      <c r="D276" t="s">
        <v>4437</v>
      </c>
      <c r="E276" t="s">
        <v>4425</v>
      </c>
      <c r="F276">
        <v>32500</v>
      </c>
      <c r="G276" t="s">
        <v>5076</v>
      </c>
      <c r="H276" s="3">
        <v>42905</v>
      </c>
      <c r="I276" t="s">
        <v>1375</v>
      </c>
      <c r="J276">
        <v>28000</v>
      </c>
      <c r="K276" s="1"/>
      <c r="M276" s="3">
        <v>42920</v>
      </c>
      <c r="N276" t="s">
        <v>54</v>
      </c>
      <c r="O276" t="s">
        <v>1375</v>
      </c>
      <c r="P276" t="s">
        <v>56</v>
      </c>
      <c r="Q276">
        <v>22700</v>
      </c>
      <c r="R276" s="3">
        <v>43166</v>
      </c>
      <c r="S276" t="s">
        <v>54</v>
      </c>
      <c r="T276" t="s">
        <v>4996</v>
      </c>
      <c r="U276" t="s">
        <v>60</v>
      </c>
      <c r="V276">
        <v>4900</v>
      </c>
      <c r="AG276" t="s">
        <v>5001</v>
      </c>
      <c r="AH276" s="3">
        <v>42913</v>
      </c>
      <c r="AI276">
        <v>32500</v>
      </c>
      <c r="AJ276">
        <v>0</v>
      </c>
      <c r="AS276" t="s">
        <v>4897</v>
      </c>
      <c r="AT276" s="3">
        <v>43045</v>
      </c>
      <c r="AU276">
        <v>605150</v>
      </c>
      <c r="AV276">
        <v>0</v>
      </c>
      <c r="AW276">
        <v>12350</v>
      </c>
      <c r="AX276">
        <v>0</v>
      </c>
    </row>
    <row r="277" spans="1:50" x14ac:dyDescent="0.25">
      <c r="A277" t="s">
        <v>5077</v>
      </c>
      <c r="B277" s="3">
        <v>42905</v>
      </c>
      <c r="C277" t="s">
        <v>4459</v>
      </c>
      <c r="D277" t="s">
        <v>4437</v>
      </c>
      <c r="E277" t="s">
        <v>4425</v>
      </c>
      <c r="F277">
        <v>24000</v>
      </c>
      <c r="G277" t="s">
        <v>5078</v>
      </c>
      <c r="H277" s="3">
        <v>42905</v>
      </c>
      <c r="I277" t="s">
        <v>214</v>
      </c>
      <c r="J277">
        <v>20000</v>
      </c>
      <c r="K277" s="1"/>
      <c r="M277" s="3">
        <v>42920</v>
      </c>
      <c r="N277" t="s">
        <v>54</v>
      </c>
      <c r="O277" t="s">
        <v>214</v>
      </c>
      <c r="P277" t="s">
        <v>56</v>
      </c>
      <c r="Q277">
        <v>16700</v>
      </c>
      <c r="R277" s="3">
        <v>43060</v>
      </c>
      <c r="S277" t="s">
        <v>54</v>
      </c>
      <c r="T277" t="s">
        <v>214</v>
      </c>
      <c r="U277" t="s">
        <v>60</v>
      </c>
      <c r="V277">
        <v>2950</v>
      </c>
      <c r="AG277" t="s">
        <v>5009</v>
      </c>
      <c r="AH277" s="3">
        <v>42913</v>
      </c>
      <c r="AI277">
        <v>24000</v>
      </c>
      <c r="AJ277">
        <v>0</v>
      </c>
      <c r="AS277" t="s">
        <v>4699</v>
      </c>
      <c r="AT277" s="3">
        <v>43069</v>
      </c>
      <c r="AU277">
        <v>211680</v>
      </c>
      <c r="AV277">
        <v>0</v>
      </c>
      <c r="AW277">
        <v>4320</v>
      </c>
      <c r="AX277">
        <v>0</v>
      </c>
    </row>
    <row r="278" spans="1:50" x14ac:dyDescent="0.25">
      <c r="A278" t="s">
        <v>5079</v>
      </c>
      <c r="B278" s="3">
        <v>42907</v>
      </c>
      <c r="C278" t="s">
        <v>4459</v>
      </c>
      <c r="D278" t="s">
        <v>4437</v>
      </c>
      <c r="E278" t="s">
        <v>4425</v>
      </c>
      <c r="F278">
        <v>24000</v>
      </c>
      <c r="G278" t="s">
        <v>5080</v>
      </c>
      <c r="H278" s="3">
        <v>42907</v>
      </c>
      <c r="I278" t="s">
        <v>214</v>
      </c>
      <c r="J278">
        <v>20000</v>
      </c>
      <c r="K278" s="1"/>
      <c r="M278" s="3">
        <v>42909</v>
      </c>
      <c r="N278" t="s">
        <v>54</v>
      </c>
      <c r="O278" t="s">
        <v>214</v>
      </c>
      <c r="P278" t="s">
        <v>56</v>
      </c>
      <c r="Q278">
        <v>16700</v>
      </c>
      <c r="R278" s="3">
        <v>43189</v>
      </c>
      <c r="S278" t="s">
        <v>54</v>
      </c>
      <c r="T278" t="s">
        <v>214</v>
      </c>
      <c r="U278" t="s">
        <v>60</v>
      </c>
      <c r="V278">
        <v>2950</v>
      </c>
      <c r="AG278" t="s">
        <v>5009</v>
      </c>
      <c r="AH278" s="3">
        <v>42913</v>
      </c>
      <c r="AI278">
        <v>24000</v>
      </c>
      <c r="AJ278">
        <v>0</v>
      </c>
      <c r="AS278" t="s">
        <v>4699</v>
      </c>
      <c r="AT278" s="3">
        <v>43069</v>
      </c>
      <c r="AU278">
        <v>211680</v>
      </c>
      <c r="AV278">
        <v>0</v>
      </c>
      <c r="AW278">
        <v>4320</v>
      </c>
      <c r="AX278">
        <v>0</v>
      </c>
    </row>
    <row r="279" spans="1:50" x14ac:dyDescent="0.25">
      <c r="A279" t="s">
        <v>5081</v>
      </c>
      <c r="B279" s="3">
        <v>42907</v>
      </c>
      <c r="C279" t="s">
        <v>4887</v>
      </c>
      <c r="D279" t="s">
        <v>4437</v>
      </c>
      <c r="E279" t="s">
        <v>4425</v>
      </c>
      <c r="F279">
        <v>24000</v>
      </c>
      <c r="G279" t="s">
        <v>5082</v>
      </c>
      <c r="H279" s="3">
        <v>42912</v>
      </c>
      <c r="I279" t="s">
        <v>1375</v>
      </c>
      <c r="J279">
        <v>20000</v>
      </c>
      <c r="K279" s="1"/>
      <c r="M279" s="3">
        <v>42912</v>
      </c>
      <c r="N279" t="s">
        <v>57</v>
      </c>
      <c r="P279" t="s">
        <v>56</v>
      </c>
      <c r="Q279">
        <v>4000</v>
      </c>
      <c r="R279" s="3">
        <v>42920</v>
      </c>
      <c r="S279" t="s">
        <v>54</v>
      </c>
      <c r="T279" t="s">
        <v>1375</v>
      </c>
      <c r="U279" t="s">
        <v>56</v>
      </c>
      <c r="V279">
        <v>12700</v>
      </c>
      <c r="W279" s="3">
        <v>43189</v>
      </c>
      <c r="X279" t="s">
        <v>54</v>
      </c>
      <c r="Y279" t="s">
        <v>214</v>
      </c>
      <c r="Z279" t="s">
        <v>60</v>
      </c>
      <c r="AA279">
        <v>2950</v>
      </c>
      <c r="AG279" t="s">
        <v>5009</v>
      </c>
      <c r="AH279" s="3">
        <v>42913</v>
      </c>
      <c r="AI279">
        <v>24000</v>
      </c>
      <c r="AJ279">
        <v>0</v>
      </c>
      <c r="AS279" t="s">
        <v>4699</v>
      </c>
      <c r="AT279" s="3">
        <v>43069</v>
      </c>
      <c r="AU279">
        <v>211680</v>
      </c>
      <c r="AV279">
        <v>0</v>
      </c>
      <c r="AW279">
        <v>4320</v>
      </c>
      <c r="AX279">
        <v>0</v>
      </c>
    </row>
    <row r="280" spans="1:50" x14ac:dyDescent="0.25">
      <c r="A280" t="s">
        <v>5083</v>
      </c>
      <c r="B280" s="3">
        <v>42912</v>
      </c>
      <c r="C280" t="s">
        <v>4423</v>
      </c>
      <c r="D280" t="s">
        <v>4907</v>
      </c>
      <c r="E280" t="s">
        <v>4425</v>
      </c>
      <c r="F280">
        <v>32500</v>
      </c>
      <c r="G280" t="s">
        <v>5084</v>
      </c>
      <c r="H280" s="3">
        <v>42912</v>
      </c>
      <c r="I280" t="s">
        <v>214</v>
      </c>
      <c r="J280">
        <v>28000</v>
      </c>
      <c r="K280" s="1"/>
      <c r="M280" s="3">
        <v>43125</v>
      </c>
      <c r="N280" t="s">
        <v>54</v>
      </c>
      <c r="O280" t="s">
        <v>214</v>
      </c>
      <c r="P280" t="s">
        <v>60</v>
      </c>
      <c r="Q280">
        <v>4900</v>
      </c>
      <c r="AG280" t="s">
        <v>5046</v>
      </c>
      <c r="AH280" s="3">
        <v>42916</v>
      </c>
      <c r="AI280">
        <v>32500</v>
      </c>
      <c r="AJ280">
        <v>0</v>
      </c>
      <c r="AS280" t="s">
        <v>4693</v>
      </c>
      <c r="AT280" s="3">
        <v>42963</v>
      </c>
      <c r="AU280">
        <v>160720</v>
      </c>
      <c r="AV280">
        <v>0</v>
      </c>
      <c r="AW280">
        <v>3280</v>
      </c>
      <c r="AX280">
        <v>0</v>
      </c>
    </row>
    <row r="281" spans="1:50" x14ac:dyDescent="0.25">
      <c r="A281" t="s">
        <v>5085</v>
      </c>
      <c r="B281" s="3">
        <v>42912</v>
      </c>
      <c r="C281" t="s">
        <v>4423</v>
      </c>
      <c r="D281" t="s">
        <v>4424</v>
      </c>
      <c r="E281" t="s">
        <v>4425</v>
      </c>
      <c r="F281">
        <v>32500</v>
      </c>
      <c r="G281" t="s">
        <v>5086</v>
      </c>
      <c r="H281" s="3">
        <v>42912</v>
      </c>
      <c r="I281" t="s">
        <v>214</v>
      </c>
      <c r="J281">
        <v>28000</v>
      </c>
      <c r="K281" s="1"/>
      <c r="M281" s="3">
        <v>42916</v>
      </c>
      <c r="N281" t="s">
        <v>54</v>
      </c>
      <c r="O281" t="s">
        <v>214</v>
      </c>
      <c r="P281" t="s">
        <v>56</v>
      </c>
      <c r="Q281">
        <v>6000</v>
      </c>
      <c r="R281" s="3">
        <v>42916</v>
      </c>
      <c r="S281" t="s">
        <v>54</v>
      </c>
      <c r="T281" t="s">
        <v>214</v>
      </c>
      <c r="U281" t="s">
        <v>56</v>
      </c>
      <c r="V281">
        <v>16700</v>
      </c>
      <c r="W281" s="3">
        <v>43060</v>
      </c>
      <c r="X281" t="s">
        <v>54</v>
      </c>
      <c r="Y281" t="s">
        <v>214</v>
      </c>
      <c r="Z281" t="s">
        <v>60</v>
      </c>
      <c r="AA281">
        <v>4900</v>
      </c>
      <c r="AG281" t="s">
        <v>5046</v>
      </c>
      <c r="AH281" s="3">
        <v>42916</v>
      </c>
      <c r="AI281">
        <v>32500</v>
      </c>
      <c r="AJ281">
        <v>0</v>
      </c>
      <c r="AS281" t="s">
        <v>4693</v>
      </c>
      <c r="AT281" s="3">
        <v>42963</v>
      </c>
      <c r="AU281">
        <v>160720</v>
      </c>
      <c r="AV281">
        <v>0</v>
      </c>
      <c r="AW281">
        <v>3280</v>
      </c>
      <c r="AX281">
        <v>0</v>
      </c>
    </row>
    <row r="282" spans="1:50" x14ac:dyDescent="0.25">
      <c r="A282" t="s">
        <v>5087</v>
      </c>
      <c r="B282" s="3">
        <v>42912</v>
      </c>
      <c r="C282" t="s">
        <v>4459</v>
      </c>
      <c r="D282" t="s">
        <v>4437</v>
      </c>
      <c r="E282" t="s">
        <v>4425</v>
      </c>
      <c r="F282">
        <v>24000</v>
      </c>
      <c r="G282" t="s">
        <v>5088</v>
      </c>
      <c r="H282" s="3">
        <v>42912</v>
      </c>
      <c r="I282" t="s">
        <v>214</v>
      </c>
      <c r="J282">
        <v>20000</v>
      </c>
      <c r="K282" s="1"/>
      <c r="M282" s="3">
        <v>42916</v>
      </c>
      <c r="N282" t="s">
        <v>54</v>
      </c>
      <c r="O282" t="s">
        <v>214</v>
      </c>
      <c r="P282" t="s">
        <v>56</v>
      </c>
      <c r="Q282">
        <v>16700</v>
      </c>
      <c r="R282" s="3">
        <v>43015</v>
      </c>
      <c r="S282" t="s">
        <v>54</v>
      </c>
      <c r="T282" t="s">
        <v>4996</v>
      </c>
      <c r="U282" t="s">
        <v>60</v>
      </c>
      <c r="V282">
        <v>2950</v>
      </c>
      <c r="AG282" t="s">
        <v>5089</v>
      </c>
      <c r="AH282" s="3">
        <v>42916</v>
      </c>
      <c r="AI282">
        <v>24000</v>
      </c>
      <c r="AJ282">
        <v>0</v>
      </c>
      <c r="AS282" t="s">
        <v>4693</v>
      </c>
      <c r="AT282" s="3">
        <v>42963</v>
      </c>
      <c r="AU282">
        <v>110740</v>
      </c>
      <c r="AV282">
        <v>0</v>
      </c>
      <c r="AW282">
        <v>2260</v>
      </c>
      <c r="AX282">
        <v>0</v>
      </c>
    </row>
    <row r="283" spans="1:50" x14ac:dyDescent="0.25">
      <c r="A283" t="s">
        <v>5090</v>
      </c>
      <c r="B283" s="3">
        <v>42912</v>
      </c>
      <c r="C283" t="s">
        <v>4423</v>
      </c>
      <c r="D283" t="s">
        <v>4430</v>
      </c>
      <c r="E283" t="s">
        <v>4425</v>
      </c>
      <c r="F283">
        <v>24000</v>
      </c>
      <c r="G283" t="s">
        <v>5091</v>
      </c>
      <c r="H283" s="3">
        <v>42912</v>
      </c>
      <c r="I283" t="s">
        <v>214</v>
      </c>
      <c r="J283">
        <v>20000</v>
      </c>
      <c r="K283" s="1"/>
      <c r="M283" s="3">
        <v>42912</v>
      </c>
      <c r="N283" t="s">
        <v>57</v>
      </c>
      <c r="P283" t="s">
        <v>56</v>
      </c>
      <c r="Q283">
        <v>6000</v>
      </c>
      <c r="R283" s="3">
        <v>42916</v>
      </c>
      <c r="S283" t="s">
        <v>54</v>
      </c>
      <c r="T283" t="s">
        <v>214</v>
      </c>
      <c r="U283" t="s">
        <v>56</v>
      </c>
      <c r="V283">
        <v>10700</v>
      </c>
      <c r="W283" s="3">
        <v>43189</v>
      </c>
      <c r="X283" t="s">
        <v>54</v>
      </c>
      <c r="Y283" t="s">
        <v>214</v>
      </c>
      <c r="Z283" t="s">
        <v>60</v>
      </c>
      <c r="AA283">
        <v>2950</v>
      </c>
      <c r="AG283" t="s">
        <v>5046</v>
      </c>
      <c r="AH283" s="3">
        <v>42916</v>
      </c>
      <c r="AI283">
        <v>24000</v>
      </c>
      <c r="AJ283">
        <v>0</v>
      </c>
      <c r="AS283" t="s">
        <v>4693</v>
      </c>
      <c r="AT283" s="3">
        <v>42963</v>
      </c>
      <c r="AU283">
        <v>160720</v>
      </c>
      <c r="AV283">
        <v>0</v>
      </c>
      <c r="AW283">
        <v>3280</v>
      </c>
      <c r="AX283">
        <v>0</v>
      </c>
    </row>
    <row r="284" spans="1:50" x14ac:dyDescent="0.25">
      <c r="A284" t="s">
        <v>5092</v>
      </c>
      <c r="B284" s="3">
        <v>42912</v>
      </c>
      <c r="C284" t="s">
        <v>4423</v>
      </c>
      <c r="D284" t="s">
        <v>4424</v>
      </c>
      <c r="E284" t="s">
        <v>4425</v>
      </c>
      <c r="F284">
        <v>24000</v>
      </c>
      <c r="G284" t="s">
        <v>5093</v>
      </c>
      <c r="H284" s="3">
        <v>42912</v>
      </c>
      <c r="I284" t="s">
        <v>1375</v>
      </c>
      <c r="J284">
        <v>20000</v>
      </c>
      <c r="K284" s="1"/>
      <c r="M284" s="3">
        <v>42920</v>
      </c>
      <c r="N284" t="s">
        <v>54</v>
      </c>
      <c r="O284" t="s">
        <v>1375</v>
      </c>
      <c r="P284" t="s">
        <v>56</v>
      </c>
      <c r="Q284">
        <v>16700</v>
      </c>
      <c r="R284" s="3">
        <v>43189</v>
      </c>
      <c r="S284" t="s">
        <v>54</v>
      </c>
      <c r="T284" t="s">
        <v>214</v>
      </c>
      <c r="U284" t="s">
        <v>60</v>
      </c>
      <c r="V284">
        <v>2950</v>
      </c>
      <c r="AG284" t="s">
        <v>5046</v>
      </c>
      <c r="AH284" s="3">
        <v>42916</v>
      </c>
      <c r="AI284">
        <v>24000</v>
      </c>
      <c r="AJ284">
        <v>0</v>
      </c>
      <c r="AS284" t="s">
        <v>4693</v>
      </c>
      <c r="AT284" s="3">
        <v>42963</v>
      </c>
      <c r="AU284">
        <v>160720</v>
      </c>
      <c r="AV284">
        <v>0</v>
      </c>
      <c r="AW284">
        <v>3280</v>
      </c>
      <c r="AX284">
        <v>0</v>
      </c>
    </row>
    <row r="285" spans="1:50" x14ac:dyDescent="0.25">
      <c r="A285" t="s">
        <v>5094</v>
      </c>
      <c r="B285" s="3">
        <v>42912</v>
      </c>
      <c r="C285" t="s">
        <v>4423</v>
      </c>
      <c r="D285" t="s">
        <v>4424</v>
      </c>
      <c r="E285" t="s">
        <v>4425</v>
      </c>
      <c r="F285">
        <v>24000</v>
      </c>
      <c r="G285" t="s">
        <v>5095</v>
      </c>
      <c r="H285" s="3">
        <v>42912</v>
      </c>
      <c r="I285" t="s">
        <v>1375</v>
      </c>
      <c r="J285">
        <v>20000</v>
      </c>
      <c r="K285" s="1"/>
      <c r="M285" s="3">
        <v>42920</v>
      </c>
      <c r="N285" t="s">
        <v>54</v>
      </c>
      <c r="O285" t="s">
        <v>1375</v>
      </c>
      <c r="P285" t="s">
        <v>56</v>
      </c>
      <c r="Q285">
        <v>16700</v>
      </c>
      <c r="R285" s="3">
        <v>43189</v>
      </c>
      <c r="S285" t="s">
        <v>54</v>
      </c>
      <c r="T285" t="s">
        <v>214</v>
      </c>
      <c r="U285" t="s">
        <v>60</v>
      </c>
      <c r="V285">
        <v>2950</v>
      </c>
      <c r="AG285" t="s">
        <v>5089</v>
      </c>
      <c r="AH285" s="3">
        <v>42916</v>
      </c>
      <c r="AI285">
        <v>24000</v>
      </c>
      <c r="AJ285">
        <v>0</v>
      </c>
      <c r="AS285" t="s">
        <v>4693</v>
      </c>
      <c r="AT285" s="3">
        <v>42963</v>
      </c>
      <c r="AU285">
        <v>110740</v>
      </c>
      <c r="AV285">
        <v>0</v>
      </c>
      <c r="AW285">
        <v>2260</v>
      </c>
      <c r="AX285">
        <v>0</v>
      </c>
    </row>
    <row r="286" spans="1:50" x14ac:dyDescent="0.25">
      <c r="A286" t="s">
        <v>5096</v>
      </c>
      <c r="B286" s="3">
        <v>42915</v>
      </c>
      <c r="C286" t="s">
        <v>4459</v>
      </c>
      <c r="D286" t="s">
        <v>4437</v>
      </c>
      <c r="E286" t="s">
        <v>4425</v>
      </c>
      <c r="F286">
        <v>32500</v>
      </c>
      <c r="G286" t="s">
        <v>5097</v>
      </c>
      <c r="H286" s="3">
        <v>42915</v>
      </c>
      <c r="I286" t="s">
        <v>214</v>
      </c>
      <c r="J286">
        <v>28000</v>
      </c>
      <c r="K286" s="1"/>
      <c r="M286" s="3">
        <v>42920</v>
      </c>
      <c r="N286" t="s">
        <v>54</v>
      </c>
      <c r="O286" t="s">
        <v>214</v>
      </c>
      <c r="P286" t="s">
        <v>56</v>
      </c>
      <c r="Q286">
        <v>22700</v>
      </c>
      <c r="R286" s="3">
        <v>43024</v>
      </c>
      <c r="S286" t="s">
        <v>54</v>
      </c>
      <c r="T286" t="s">
        <v>1672</v>
      </c>
      <c r="U286" t="s">
        <v>60</v>
      </c>
      <c r="V286">
        <v>4900</v>
      </c>
      <c r="AG286" t="s">
        <v>5025</v>
      </c>
      <c r="AH286" s="3">
        <v>42916</v>
      </c>
      <c r="AI286">
        <v>32500</v>
      </c>
      <c r="AJ286">
        <v>0</v>
      </c>
      <c r="AS286" t="s">
        <v>4693</v>
      </c>
      <c r="AT286" s="3">
        <v>42963</v>
      </c>
      <c r="AU286">
        <v>269500</v>
      </c>
      <c r="AV286">
        <v>0</v>
      </c>
      <c r="AW286">
        <v>5500</v>
      </c>
      <c r="AX286">
        <v>0</v>
      </c>
    </row>
    <row r="287" spans="1:50" x14ac:dyDescent="0.25">
      <c r="A287" t="s">
        <v>5098</v>
      </c>
      <c r="B287" s="3">
        <v>42915</v>
      </c>
      <c r="C287" t="s">
        <v>4423</v>
      </c>
      <c r="D287" t="s">
        <v>4907</v>
      </c>
      <c r="E287" t="s">
        <v>4425</v>
      </c>
      <c r="F287">
        <v>32500</v>
      </c>
      <c r="G287" t="s">
        <v>5099</v>
      </c>
      <c r="H287" s="3">
        <v>42915</v>
      </c>
      <c r="I287" t="s">
        <v>1375</v>
      </c>
      <c r="J287">
        <v>28000</v>
      </c>
      <c r="K287" s="1"/>
      <c r="M287" s="3">
        <v>42920</v>
      </c>
      <c r="N287" t="s">
        <v>54</v>
      </c>
      <c r="O287" t="s">
        <v>1375</v>
      </c>
      <c r="P287" t="s">
        <v>56</v>
      </c>
      <c r="Q287">
        <v>22700</v>
      </c>
      <c r="R287" s="3">
        <v>43125</v>
      </c>
      <c r="S287" t="s">
        <v>54</v>
      </c>
      <c r="T287" t="s">
        <v>214</v>
      </c>
      <c r="U287" t="s">
        <v>60</v>
      </c>
      <c r="V287">
        <v>4900</v>
      </c>
      <c r="AG287" t="s">
        <v>5025</v>
      </c>
      <c r="AH287" s="3">
        <v>42916</v>
      </c>
      <c r="AI287">
        <v>32500</v>
      </c>
      <c r="AJ287">
        <v>0</v>
      </c>
      <c r="AS287" t="s">
        <v>4693</v>
      </c>
      <c r="AT287" s="3">
        <v>42963</v>
      </c>
      <c r="AU287">
        <v>269500</v>
      </c>
      <c r="AV287">
        <v>0</v>
      </c>
      <c r="AW287">
        <v>5500</v>
      </c>
      <c r="AX287">
        <v>0</v>
      </c>
    </row>
    <row r="288" spans="1:50" x14ac:dyDescent="0.25">
      <c r="A288" t="s">
        <v>5100</v>
      </c>
      <c r="B288" s="3">
        <v>42915</v>
      </c>
      <c r="C288" t="s">
        <v>4423</v>
      </c>
      <c r="D288" t="s">
        <v>4424</v>
      </c>
      <c r="E288" t="s">
        <v>4425</v>
      </c>
      <c r="F288">
        <v>24000</v>
      </c>
      <c r="G288" t="s">
        <v>5101</v>
      </c>
      <c r="H288" s="3">
        <v>42915</v>
      </c>
      <c r="I288" t="s">
        <v>214</v>
      </c>
      <c r="J288">
        <v>20000</v>
      </c>
      <c r="K288" s="1"/>
      <c r="M288" s="3">
        <v>42916</v>
      </c>
      <c r="N288" t="s">
        <v>54</v>
      </c>
      <c r="O288" t="s">
        <v>214</v>
      </c>
      <c r="P288" t="s">
        <v>56</v>
      </c>
      <c r="Q288">
        <v>16700</v>
      </c>
      <c r="R288" s="3">
        <v>43024</v>
      </c>
      <c r="S288" t="s">
        <v>54</v>
      </c>
      <c r="T288" t="s">
        <v>1672</v>
      </c>
      <c r="U288" t="s">
        <v>60</v>
      </c>
      <c r="V288">
        <v>2950</v>
      </c>
      <c r="AG288" t="s">
        <v>5025</v>
      </c>
      <c r="AH288" s="3">
        <v>42916</v>
      </c>
      <c r="AI288">
        <v>24000</v>
      </c>
      <c r="AJ288">
        <v>0</v>
      </c>
      <c r="AS288" t="s">
        <v>4693</v>
      </c>
      <c r="AT288" s="3">
        <v>42963</v>
      </c>
      <c r="AU288">
        <v>269500</v>
      </c>
      <c r="AV288">
        <v>0</v>
      </c>
      <c r="AW288">
        <v>5500</v>
      </c>
      <c r="AX288">
        <v>0</v>
      </c>
    </row>
    <row r="289" spans="1:50" x14ac:dyDescent="0.25">
      <c r="A289" t="s">
        <v>5102</v>
      </c>
      <c r="B289" s="3">
        <v>42915</v>
      </c>
      <c r="C289" t="s">
        <v>4887</v>
      </c>
      <c r="D289" t="s">
        <v>4437</v>
      </c>
      <c r="E289" t="s">
        <v>4425</v>
      </c>
      <c r="F289">
        <v>32500</v>
      </c>
      <c r="G289" t="s">
        <v>5103</v>
      </c>
      <c r="H289" s="3">
        <v>42915</v>
      </c>
      <c r="I289" t="s">
        <v>214</v>
      </c>
      <c r="J289">
        <v>28000</v>
      </c>
      <c r="K289" s="1"/>
      <c r="M289" s="3">
        <v>42916</v>
      </c>
      <c r="N289" t="s">
        <v>54</v>
      </c>
      <c r="O289" t="s">
        <v>214</v>
      </c>
      <c r="P289" t="s">
        <v>56</v>
      </c>
      <c r="Q289">
        <v>22700</v>
      </c>
      <c r="R289" s="3">
        <v>43024</v>
      </c>
      <c r="S289" t="s">
        <v>54</v>
      </c>
      <c r="T289" t="s">
        <v>1672</v>
      </c>
      <c r="U289" t="s">
        <v>60</v>
      </c>
      <c r="V289">
        <v>4900</v>
      </c>
      <c r="AG289" t="s">
        <v>5104</v>
      </c>
      <c r="AH289" s="3">
        <v>42916</v>
      </c>
      <c r="AI289">
        <v>32500</v>
      </c>
      <c r="AJ289">
        <v>0</v>
      </c>
      <c r="AS289" t="s">
        <v>4693</v>
      </c>
      <c r="AT289" s="3">
        <v>42963</v>
      </c>
      <c r="AU289">
        <v>115640</v>
      </c>
      <c r="AV289">
        <v>0</v>
      </c>
      <c r="AW289">
        <v>2360</v>
      </c>
      <c r="AX289">
        <v>0</v>
      </c>
    </row>
    <row r="290" spans="1:50" x14ac:dyDescent="0.25">
      <c r="A290" t="s">
        <v>5105</v>
      </c>
      <c r="B290" s="3">
        <v>42915</v>
      </c>
      <c r="C290" t="s">
        <v>4459</v>
      </c>
      <c r="D290" t="s">
        <v>4430</v>
      </c>
      <c r="E290" t="s">
        <v>4425</v>
      </c>
      <c r="F290">
        <v>11000</v>
      </c>
      <c r="G290" t="s">
        <v>5106</v>
      </c>
      <c r="H290" s="3">
        <v>42915</v>
      </c>
      <c r="I290" t="s">
        <v>214</v>
      </c>
      <c r="J290">
        <v>10000</v>
      </c>
      <c r="K290" s="1"/>
      <c r="M290" s="3">
        <v>43060</v>
      </c>
      <c r="N290" t="s">
        <v>54</v>
      </c>
      <c r="O290" t="s">
        <v>214</v>
      </c>
      <c r="P290" t="s">
        <v>60</v>
      </c>
      <c r="Q290">
        <v>9800</v>
      </c>
      <c r="AG290" t="s">
        <v>5107</v>
      </c>
      <c r="AH290" s="3">
        <v>42916</v>
      </c>
      <c r="AI290">
        <v>11000</v>
      </c>
      <c r="AJ290">
        <v>0</v>
      </c>
      <c r="AS290" t="s">
        <v>4693</v>
      </c>
      <c r="AT290" s="3">
        <v>42963</v>
      </c>
      <c r="AU290">
        <v>10780</v>
      </c>
      <c r="AV290">
        <v>0</v>
      </c>
      <c r="AW290">
        <v>220</v>
      </c>
      <c r="AX290">
        <v>0</v>
      </c>
    </row>
    <row r="291" spans="1:50" x14ac:dyDescent="0.25">
      <c r="A291" t="s">
        <v>5108</v>
      </c>
      <c r="B291" s="3">
        <v>42915</v>
      </c>
      <c r="C291" t="s">
        <v>4887</v>
      </c>
      <c r="D291" t="s">
        <v>4437</v>
      </c>
      <c r="E291" t="s">
        <v>4425</v>
      </c>
      <c r="F291">
        <v>32500</v>
      </c>
      <c r="G291" t="s">
        <v>5109</v>
      </c>
      <c r="H291" s="3">
        <v>42915</v>
      </c>
      <c r="I291" t="s">
        <v>1375</v>
      </c>
      <c r="J291">
        <v>28000</v>
      </c>
      <c r="K291" s="1"/>
      <c r="M291" s="3">
        <v>42920</v>
      </c>
      <c r="N291" t="s">
        <v>54</v>
      </c>
      <c r="O291" t="s">
        <v>1375</v>
      </c>
      <c r="P291" t="s">
        <v>56</v>
      </c>
      <c r="Q291">
        <v>22700</v>
      </c>
      <c r="R291" s="3">
        <v>43015</v>
      </c>
      <c r="S291" t="s">
        <v>54</v>
      </c>
      <c r="T291" t="s">
        <v>4996</v>
      </c>
      <c r="U291" t="s">
        <v>60</v>
      </c>
      <c r="V291">
        <v>4900</v>
      </c>
      <c r="AG291" t="s">
        <v>5104</v>
      </c>
      <c r="AH291" s="3">
        <v>42916</v>
      </c>
      <c r="AI291">
        <v>32500</v>
      </c>
      <c r="AJ291">
        <v>0</v>
      </c>
      <c r="AS291" t="s">
        <v>4693</v>
      </c>
      <c r="AT291" s="3">
        <v>42963</v>
      </c>
      <c r="AU291">
        <v>115640</v>
      </c>
      <c r="AV291">
        <v>0</v>
      </c>
      <c r="AW291">
        <v>2360</v>
      </c>
      <c r="AX291">
        <v>0</v>
      </c>
    </row>
    <row r="292" spans="1:50" x14ac:dyDescent="0.25">
      <c r="A292" t="s">
        <v>5110</v>
      </c>
      <c r="B292" s="3">
        <v>42915</v>
      </c>
      <c r="C292" t="s">
        <v>4423</v>
      </c>
      <c r="D292" t="s">
        <v>4424</v>
      </c>
      <c r="E292" t="s">
        <v>4425</v>
      </c>
      <c r="F292">
        <v>24000</v>
      </c>
      <c r="G292" t="s">
        <v>5111</v>
      </c>
      <c r="H292" s="3">
        <v>42915</v>
      </c>
      <c r="I292" t="s">
        <v>1375</v>
      </c>
      <c r="J292">
        <v>20000</v>
      </c>
      <c r="K292" s="1"/>
      <c r="M292" s="3">
        <v>42920</v>
      </c>
      <c r="N292" t="s">
        <v>54</v>
      </c>
      <c r="O292" t="s">
        <v>1375</v>
      </c>
      <c r="P292" t="s">
        <v>56</v>
      </c>
      <c r="Q292">
        <v>16700</v>
      </c>
      <c r="R292" s="3">
        <v>43015</v>
      </c>
      <c r="S292" t="s">
        <v>54</v>
      </c>
      <c r="T292" t="s">
        <v>4996</v>
      </c>
      <c r="U292" t="s">
        <v>60</v>
      </c>
      <c r="V292">
        <v>2950</v>
      </c>
      <c r="AG292" t="s">
        <v>5025</v>
      </c>
      <c r="AH292" s="3">
        <v>42916</v>
      </c>
      <c r="AI292">
        <v>24000</v>
      </c>
      <c r="AJ292">
        <v>0</v>
      </c>
      <c r="AS292" t="s">
        <v>4693</v>
      </c>
      <c r="AT292" s="3">
        <v>42963</v>
      </c>
      <c r="AU292">
        <v>269500</v>
      </c>
      <c r="AV292">
        <v>0</v>
      </c>
      <c r="AW292">
        <v>5500</v>
      </c>
      <c r="AX292">
        <v>0</v>
      </c>
    </row>
    <row r="293" spans="1:50" x14ac:dyDescent="0.25">
      <c r="A293" t="s">
        <v>5112</v>
      </c>
      <c r="B293" s="3">
        <v>42912</v>
      </c>
      <c r="C293" t="s">
        <v>4423</v>
      </c>
      <c r="D293" t="s">
        <v>4441</v>
      </c>
      <c r="E293" t="s">
        <v>4425</v>
      </c>
      <c r="F293">
        <v>25500</v>
      </c>
      <c r="G293" t="s">
        <v>5113</v>
      </c>
      <c r="H293" s="3">
        <v>42916</v>
      </c>
      <c r="I293" t="s">
        <v>214</v>
      </c>
      <c r="J293">
        <v>22000</v>
      </c>
      <c r="K293" s="1"/>
      <c r="M293" s="3">
        <v>42920</v>
      </c>
      <c r="N293" t="s">
        <v>57</v>
      </c>
      <c r="P293" t="s">
        <v>56</v>
      </c>
      <c r="Q293">
        <v>4000</v>
      </c>
      <c r="R293" s="3">
        <v>42920</v>
      </c>
      <c r="S293" t="s">
        <v>54</v>
      </c>
      <c r="T293" t="s">
        <v>214</v>
      </c>
      <c r="U293" t="s">
        <v>56</v>
      </c>
      <c r="V293">
        <v>13500</v>
      </c>
      <c r="W293" s="3">
        <v>43015</v>
      </c>
      <c r="X293" t="s">
        <v>54</v>
      </c>
      <c r="Y293" t="s">
        <v>1596</v>
      </c>
      <c r="Z293" t="s">
        <v>60</v>
      </c>
      <c r="AA293">
        <v>3900</v>
      </c>
      <c r="AG293" t="s">
        <v>5025</v>
      </c>
      <c r="AH293" s="3">
        <v>42916</v>
      </c>
      <c r="AI293">
        <v>25500</v>
      </c>
      <c r="AJ293">
        <v>0</v>
      </c>
      <c r="AS293" t="s">
        <v>4693</v>
      </c>
      <c r="AT293" s="3">
        <v>42963</v>
      </c>
      <c r="AU293">
        <v>269500</v>
      </c>
      <c r="AV293">
        <v>0</v>
      </c>
      <c r="AW293">
        <v>5500</v>
      </c>
      <c r="AX293">
        <v>0</v>
      </c>
    </row>
    <row r="294" spans="1:50" x14ac:dyDescent="0.25">
      <c r="A294" t="s">
        <v>5114</v>
      </c>
      <c r="B294" s="3">
        <v>42915</v>
      </c>
      <c r="C294" t="s">
        <v>4626</v>
      </c>
      <c r="D294" t="s">
        <v>4437</v>
      </c>
      <c r="E294" t="s">
        <v>4425</v>
      </c>
      <c r="F294">
        <v>32500</v>
      </c>
      <c r="G294" t="s">
        <v>5115</v>
      </c>
      <c r="H294" s="3">
        <v>42916</v>
      </c>
      <c r="I294" t="s">
        <v>214</v>
      </c>
      <c r="J294">
        <v>28000</v>
      </c>
      <c r="K294" s="1"/>
      <c r="M294" s="3">
        <v>42920</v>
      </c>
      <c r="N294" t="s">
        <v>54</v>
      </c>
      <c r="O294" t="s">
        <v>214</v>
      </c>
      <c r="P294" t="s">
        <v>56</v>
      </c>
      <c r="Q294">
        <v>22700</v>
      </c>
      <c r="R294" s="3">
        <v>43166</v>
      </c>
      <c r="S294" t="s">
        <v>54</v>
      </c>
      <c r="T294" t="s">
        <v>4969</v>
      </c>
      <c r="U294" t="s">
        <v>60</v>
      </c>
      <c r="V294">
        <v>4900</v>
      </c>
      <c r="AG294" t="s">
        <v>5089</v>
      </c>
      <c r="AH294" s="3">
        <v>42916</v>
      </c>
      <c r="AI294">
        <v>32500</v>
      </c>
      <c r="AJ294">
        <v>0</v>
      </c>
      <c r="AS294" t="s">
        <v>4693</v>
      </c>
      <c r="AT294" s="3">
        <v>42963</v>
      </c>
      <c r="AU294">
        <v>110740</v>
      </c>
      <c r="AV294">
        <v>0</v>
      </c>
      <c r="AW294">
        <v>2260</v>
      </c>
      <c r="AX294">
        <v>0</v>
      </c>
    </row>
    <row r="295" spans="1:50" x14ac:dyDescent="0.25">
      <c r="A295" t="s">
        <v>5116</v>
      </c>
      <c r="B295" s="3">
        <v>42916</v>
      </c>
      <c r="C295" t="s">
        <v>4459</v>
      </c>
      <c r="D295" t="s">
        <v>4437</v>
      </c>
      <c r="E295" t="s">
        <v>4425</v>
      </c>
      <c r="F295">
        <v>0</v>
      </c>
      <c r="K295" s="1"/>
      <c r="AG295" t="s">
        <v>5089</v>
      </c>
      <c r="AH295" s="3">
        <v>42916</v>
      </c>
      <c r="AI295">
        <v>0</v>
      </c>
      <c r="AJ295">
        <v>0</v>
      </c>
      <c r="AS295" t="s">
        <v>4693</v>
      </c>
      <c r="AT295" s="3">
        <v>42963</v>
      </c>
      <c r="AU295">
        <v>110740</v>
      </c>
      <c r="AV295">
        <v>0</v>
      </c>
      <c r="AW295">
        <v>2260</v>
      </c>
      <c r="AX295">
        <v>0</v>
      </c>
    </row>
    <row r="296" spans="1:50" x14ac:dyDescent="0.25">
      <c r="A296" t="s">
        <v>5117</v>
      </c>
      <c r="B296" s="3">
        <v>42916</v>
      </c>
      <c r="C296" t="s">
        <v>4423</v>
      </c>
      <c r="D296" t="s">
        <v>4441</v>
      </c>
      <c r="E296" t="s">
        <v>4425</v>
      </c>
      <c r="F296">
        <v>25500</v>
      </c>
      <c r="G296" t="s">
        <v>5118</v>
      </c>
      <c r="H296" s="3">
        <v>42916</v>
      </c>
      <c r="I296" t="s">
        <v>214</v>
      </c>
      <c r="J296">
        <v>22000</v>
      </c>
      <c r="K296" s="1"/>
      <c r="M296" s="3">
        <v>42920</v>
      </c>
      <c r="N296" t="s">
        <v>54</v>
      </c>
      <c r="O296" t="s">
        <v>214</v>
      </c>
      <c r="P296" t="s">
        <v>56</v>
      </c>
      <c r="Q296">
        <v>17500</v>
      </c>
      <c r="R296" s="3">
        <v>43024</v>
      </c>
      <c r="S296" t="s">
        <v>54</v>
      </c>
      <c r="T296" t="s">
        <v>1672</v>
      </c>
      <c r="U296" t="s">
        <v>60</v>
      </c>
      <c r="V296">
        <v>3900</v>
      </c>
      <c r="AG296" t="s">
        <v>5025</v>
      </c>
      <c r="AH296" s="3">
        <v>42916</v>
      </c>
      <c r="AI296">
        <v>25500</v>
      </c>
      <c r="AJ296">
        <v>0</v>
      </c>
      <c r="AS296" t="s">
        <v>4693</v>
      </c>
      <c r="AT296" s="3">
        <v>42963</v>
      </c>
      <c r="AU296">
        <v>269500</v>
      </c>
      <c r="AV296">
        <v>0</v>
      </c>
      <c r="AW296">
        <v>5500</v>
      </c>
      <c r="AX296">
        <v>0</v>
      </c>
    </row>
    <row r="297" spans="1:50" x14ac:dyDescent="0.25">
      <c r="A297" t="s">
        <v>5119</v>
      </c>
      <c r="B297" s="3">
        <v>42916</v>
      </c>
      <c r="C297" t="s">
        <v>4423</v>
      </c>
      <c r="D297" t="s">
        <v>4424</v>
      </c>
      <c r="E297" t="s">
        <v>4425</v>
      </c>
      <c r="F297">
        <v>24000</v>
      </c>
      <c r="G297" t="s">
        <v>5120</v>
      </c>
      <c r="H297" s="3">
        <v>42916</v>
      </c>
      <c r="I297" t="s">
        <v>214</v>
      </c>
      <c r="J297">
        <v>20000</v>
      </c>
      <c r="K297" s="1"/>
      <c r="M297" s="3">
        <v>42920</v>
      </c>
      <c r="N297" t="s">
        <v>54</v>
      </c>
      <c r="O297" t="s">
        <v>214</v>
      </c>
      <c r="P297" t="s">
        <v>56</v>
      </c>
      <c r="Q297">
        <v>16700</v>
      </c>
      <c r="R297" s="3">
        <v>43024</v>
      </c>
      <c r="S297" t="s">
        <v>54</v>
      </c>
      <c r="T297" t="s">
        <v>1672</v>
      </c>
      <c r="U297" t="s">
        <v>60</v>
      </c>
      <c r="V297">
        <v>2950</v>
      </c>
      <c r="AG297" t="s">
        <v>5025</v>
      </c>
      <c r="AH297" s="3">
        <v>42916</v>
      </c>
      <c r="AI297">
        <v>24000</v>
      </c>
      <c r="AJ297">
        <v>0</v>
      </c>
      <c r="AS297" t="s">
        <v>4693</v>
      </c>
      <c r="AT297" s="3">
        <v>42963</v>
      </c>
      <c r="AU297">
        <v>269500</v>
      </c>
      <c r="AV297">
        <v>0</v>
      </c>
      <c r="AW297">
        <v>5500</v>
      </c>
      <c r="AX297">
        <v>0</v>
      </c>
    </row>
    <row r="298" spans="1:50" x14ac:dyDescent="0.25">
      <c r="A298" t="s">
        <v>5121</v>
      </c>
      <c r="B298" s="3">
        <v>42916</v>
      </c>
      <c r="C298" t="s">
        <v>4423</v>
      </c>
      <c r="D298" t="s">
        <v>4907</v>
      </c>
      <c r="E298" t="s">
        <v>4425</v>
      </c>
      <c r="F298">
        <v>32500</v>
      </c>
      <c r="G298" t="s">
        <v>5122</v>
      </c>
      <c r="H298" s="3">
        <v>42916</v>
      </c>
      <c r="I298" t="s">
        <v>214</v>
      </c>
      <c r="J298">
        <v>28000</v>
      </c>
      <c r="K298" s="1"/>
      <c r="M298" s="3">
        <v>42920</v>
      </c>
      <c r="N298" t="s">
        <v>54</v>
      </c>
      <c r="O298" t="s">
        <v>214</v>
      </c>
      <c r="P298" t="s">
        <v>56</v>
      </c>
      <c r="Q298">
        <v>22700</v>
      </c>
      <c r="R298" s="3">
        <v>43015</v>
      </c>
      <c r="S298" t="s">
        <v>54</v>
      </c>
      <c r="T298" t="s">
        <v>4996</v>
      </c>
      <c r="U298" t="s">
        <v>60</v>
      </c>
      <c r="V298">
        <v>4900</v>
      </c>
      <c r="AG298" t="s">
        <v>5025</v>
      </c>
      <c r="AH298" s="3">
        <v>42916</v>
      </c>
      <c r="AI298">
        <v>32500</v>
      </c>
      <c r="AJ298">
        <v>0</v>
      </c>
      <c r="AS298" t="s">
        <v>4693</v>
      </c>
      <c r="AT298" s="3">
        <v>42963</v>
      </c>
      <c r="AU298">
        <v>269500</v>
      </c>
      <c r="AV298">
        <v>0</v>
      </c>
      <c r="AW298">
        <v>5500</v>
      </c>
      <c r="AX298">
        <v>0</v>
      </c>
    </row>
    <row r="299" spans="1:50" x14ac:dyDescent="0.25">
      <c r="A299" t="s">
        <v>5123</v>
      </c>
      <c r="B299" s="3">
        <v>42920</v>
      </c>
      <c r="C299" t="s">
        <v>4423</v>
      </c>
      <c r="D299" t="s">
        <v>5124</v>
      </c>
      <c r="E299" t="s">
        <v>4425</v>
      </c>
      <c r="F299">
        <v>24000</v>
      </c>
      <c r="G299" t="s">
        <v>5125</v>
      </c>
      <c r="H299" s="3">
        <v>42920</v>
      </c>
      <c r="I299" t="s">
        <v>214</v>
      </c>
      <c r="J299">
        <v>20000</v>
      </c>
      <c r="K299" s="1"/>
      <c r="M299" s="3">
        <v>42929</v>
      </c>
      <c r="N299" t="s">
        <v>54</v>
      </c>
      <c r="P299" t="s">
        <v>56</v>
      </c>
      <c r="Q299">
        <v>16700</v>
      </c>
      <c r="R299" s="3">
        <v>43060</v>
      </c>
      <c r="S299" t="s">
        <v>54</v>
      </c>
      <c r="T299" t="s">
        <v>214</v>
      </c>
      <c r="U299" t="s">
        <v>60</v>
      </c>
      <c r="V299">
        <v>2950</v>
      </c>
      <c r="AG299" t="s">
        <v>5126</v>
      </c>
      <c r="AH299" s="3">
        <v>42943</v>
      </c>
      <c r="AI299">
        <v>24000</v>
      </c>
      <c r="AJ299">
        <v>0</v>
      </c>
      <c r="AS299" t="s">
        <v>5127</v>
      </c>
      <c r="AT299" s="3">
        <v>43110</v>
      </c>
      <c r="AU299">
        <v>119070</v>
      </c>
      <c r="AV299">
        <v>0</v>
      </c>
      <c r="AW299">
        <v>2430</v>
      </c>
      <c r="AX299">
        <v>0</v>
      </c>
    </row>
    <row r="300" spans="1:50" x14ac:dyDescent="0.25">
      <c r="A300" t="s">
        <v>5128</v>
      </c>
      <c r="B300" s="3">
        <v>42920</v>
      </c>
      <c r="C300" t="s">
        <v>4423</v>
      </c>
      <c r="D300" t="s">
        <v>5124</v>
      </c>
      <c r="E300" t="s">
        <v>4425</v>
      </c>
      <c r="F300">
        <v>24000</v>
      </c>
      <c r="G300" t="s">
        <v>5129</v>
      </c>
      <c r="H300" s="3">
        <v>42920</v>
      </c>
      <c r="I300" t="s">
        <v>1375</v>
      </c>
      <c r="J300">
        <v>20000</v>
      </c>
      <c r="K300" s="1"/>
      <c r="M300" s="3">
        <v>42929</v>
      </c>
      <c r="N300" t="s">
        <v>54</v>
      </c>
      <c r="O300" t="s">
        <v>2737</v>
      </c>
      <c r="P300" t="s">
        <v>56</v>
      </c>
      <c r="Q300">
        <v>16700</v>
      </c>
      <c r="R300" s="3">
        <v>43024</v>
      </c>
      <c r="S300" t="s">
        <v>54</v>
      </c>
      <c r="T300" t="s">
        <v>1672</v>
      </c>
      <c r="U300" t="s">
        <v>60</v>
      </c>
      <c r="V300">
        <v>2950</v>
      </c>
      <c r="AG300" t="s">
        <v>5126</v>
      </c>
      <c r="AH300" s="3">
        <v>42943</v>
      </c>
      <c r="AI300">
        <v>24000</v>
      </c>
      <c r="AJ300">
        <v>0</v>
      </c>
      <c r="AS300" t="s">
        <v>5127</v>
      </c>
      <c r="AT300" s="3">
        <v>43110</v>
      </c>
      <c r="AU300">
        <v>119070</v>
      </c>
      <c r="AV300">
        <v>0</v>
      </c>
      <c r="AW300">
        <v>2430</v>
      </c>
      <c r="AX300">
        <v>0</v>
      </c>
    </row>
    <row r="301" spans="1:50" x14ac:dyDescent="0.25">
      <c r="A301" t="s">
        <v>5130</v>
      </c>
      <c r="B301" s="3">
        <v>42920</v>
      </c>
      <c r="C301" t="s">
        <v>4459</v>
      </c>
      <c r="D301" t="s">
        <v>5131</v>
      </c>
      <c r="E301" t="s">
        <v>4425</v>
      </c>
      <c r="F301">
        <v>24000</v>
      </c>
      <c r="G301" t="s">
        <v>5132</v>
      </c>
      <c r="H301" s="3">
        <v>42920</v>
      </c>
      <c r="I301" t="s">
        <v>214</v>
      </c>
      <c r="J301">
        <v>20000</v>
      </c>
      <c r="K301" s="1"/>
      <c r="M301" s="3">
        <v>42929</v>
      </c>
      <c r="N301" t="s">
        <v>54</v>
      </c>
      <c r="P301" t="s">
        <v>56</v>
      </c>
      <c r="Q301">
        <v>16700</v>
      </c>
      <c r="AG301" t="s">
        <v>5133</v>
      </c>
      <c r="AH301" s="3">
        <v>42943</v>
      </c>
      <c r="AI301">
        <v>24000</v>
      </c>
      <c r="AJ301">
        <v>0</v>
      </c>
      <c r="AS301" t="s">
        <v>5134</v>
      </c>
      <c r="AT301" s="3">
        <v>43252</v>
      </c>
      <c r="AU301">
        <v>321930</v>
      </c>
      <c r="AV301">
        <v>0</v>
      </c>
      <c r="AW301">
        <v>6570</v>
      </c>
      <c r="AX301">
        <v>0</v>
      </c>
    </row>
    <row r="302" spans="1:50" x14ac:dyDescent="0.25">
      <c r="A302" t="s">
        <v>5135</v>
      </c>
      <c r="B302" s="3">
        <v>42920</v>
      </c>
      <c r="C302" t="s">
        <v>4423</v>
      </c>
      <c r="D302" t="s">
        <v>5136</v>
      </c>
      <c r="E302" t="s">
        <v>4425</v>
      </c>
      <c r="F302">
        <v>25500</v>
      </c>
      <c r="G302" t="s">
        <v>5137</v>
      </c>
      <c r="H302" s="3">
        <v>42920</v>
      </c>
      <c r="I302" t="s">
        <v>214</v>
      </c>
      <c r="J302">
        <v>22000</v>
      </c>
      <c r="K302" s="1"/>
      <c r="M302" s="3">
        <v>42929</v>
      </c>
      <c r="N302" t="s">
        <v>57</v>
      </c>
      <c r="P302" t="s">
        <v>56</v>
      </c>
      <c r="Q302">
        <v>4000</v>
      </c>
      <c r="R302" s="3">
        <v>42931</v>
      </c>
      <c r="S302" t="s">
        <v>54</v>
      </c>
      <c r="T302" t="s">
        <v>214</v>
      </c>
      <c r="U302" t="s">
        <v>56</v>
      </c>
      <c r="V302">
        <v>13700</v>
      </c>
      <c r="W302" s="3">
        <v>43024</v>
      </c>
      <c r="X302" t="s">
        <v>54</v>
      </c>
      <c r="Y302" t="s">
        <v>1672</v>
      </c>
      <c r="Z302" t="s">
        <v>60</v>
      </c>
      <c r="AA302">
        <v>3900</v>
      </c>
      <c r="AG302" t="s">
        <v>5138</v>
      </c>
      <c r="AH302" s="3">
        <v>42963</v>
      </c>
      <c r="AI302">
        <v>25500</v>
      </c>
      <c r="AJ302">
        <v>0</v>
      </c>
      <c r="AS302" t="s">
        <v>5127</v>
      </c>
      <c r="AT302" s="3">
        <v>43110</v>
      </c>
      <c r="AU302">
        <v>54390</v>
      </c>
      <c r="AV302">
        <v>0</v>
      </c>
      <c r="AW302">
        <v>1110</v>
      </c>
      <c r="AX302">
        <v>0</v>
      </c>
    </row>
    <row r="303" spans="1:50" x14ac:dyDescent="0.25">
      <c r="A303" t="s">
        <v>5139</v>
      </c>
      <c r="B303" s="3">
        <v>42921</v>
      </c>
      <c r="C303" t="s">
        <v>4459</v>
      </c>
      <c r="D303" t="s">
        <v>5131</v>
      </c>
      <c r="E303" t="s">
        <v>4425</v>
      </c>
      <c r="F303">
        <v>24000</v>
      </c>
      <c r="G303" t="s">
        <v>5140</v>
      </c>
      <c r="H303" s="3">
        <v>42921</v>
      </c>
      <c r="I303" t="s">
        <v>214</v>
      </c>
      <c r="J303">
        <v>20000</v>
      </c>
      <c r="K303" s="1"/>
      <c r="M303" s="3">
        <v>42929</v>
      </c>
      <c r="N303" t="s">
        <v>54</v>
      </c>
      <c r="P303" t="s">
        <v>56</v>
      </c>
      <c r="Q303">
        <v>16700</v>
      </c>
      <c r="R303" s="3">
        <v>43060</v>
      </c>
      <c r="S303" t="s">
        <v>54</v>
      </c>
      <c r="T303" t="s">
        <v>214</v>
      </c>
      <c r="U303" t="s">
        <v>60</v>
      </c>
      <c r="V303">
        <v>2950</v>
      </c>
      <c r="AG303" t="s">
        <v>5133</v>
      </c>
      <c r="AH303" s="3">
        <v>42943</v>
      </c>
      <c r="AI303">
        <v>24000</v>
      </c>
      <c r="AJ303">
        <v>0</v>
      </c>
      <c r="AS303" t="s">
        <v>5134</v>
      </c>
      <c r="AT303" s="3">
        <v>43252</v>
      </c>
      <c r="AU303">
        <v>321930</v>
      </c>
      <c r="AV303">
        <v>0</v>
      </c>
      <c r="AW303">
        <v>6570</v>
      </c>
      <c r="AX303">
        <v>0</v>
      </c>
    </row>
    <row r="304" spans="1:50" x14ac:dyDescent="0.25">
      <c r="A304" t="s">
        <v>5141</v>
      </c>
      <c r="B304" s="3">
        <v>42921</v>
      </c>
      <c r="C304" t="s">
        <v>4887</v>
      </c>
      <c r="D304" t="s">
        <v>5131</v>
      </c>
      <c r="E304" t="s">
        <v>4425</v>
      </c>
      <c r="F304">
        <v>32500</v>
      </c>
      <c r="G304" t="s">
        <v>5142</v>
      </c>
      <c r="H304" s="3">
        <v>42921</v>
      </c>
      <c r="I304" t="s">
        <v>1375</v>
      </c>
      <c r="J304">
        <v>28000</v>
      </c>
      <c r="K304" s="1"/>
      <c r="M304" s="3">
        <v>42929</v>
      </c>
      <c r="N304" t="s">
        <v>57</v>
      </c>
      <c r="P304" t="s">
        <v>56</v>
      </c>
      <c r="Q304">
        <v>4000</v>
      </c>
      <c r="R304" s="3">
        <v>42929</v>
      </c>
      <c r="S304" t="s">
        <v>54</v>
      </c>
      <c r="T304" t="s">
        <v>2737</v>
      </c>
      <c r="U304" t="s">
        <v>56</v>
      </c>
      <c r="V304">
        <v>18700</v>
      </c>
      <c r="W304" s="3">
        <v>43015</v>
      </c>
      <c r="X304" t="s">
        <v>54</v>
      </c>
      <c r="Y304" t="s">
        <v>4996</v>
      </c>
      <c r="Z304" t="s">
        <v>60</v>
      </c>
      <c r="AA304">
        <v>4900</v>
      </c>
      <c r="AG304" t="s">
        <v>5133</v>
      </c>
      <c r="AH304" s="3">
        <v>42943</v>
      </c>
      <c r="AI304">
        <v>32500</v>
      </c>
      <c r="AJ304">
        <v>0</v>
      </c>
      <c r="AS304" t="s">
        <v>5134</v>
      </c>
      <c r="AT304" s="3">
        <v>43252</v>
      </c>
      <c r="AU304">
        <v>321930</v>
      </c>
      <c r="AV304">
        <v>0</v>
      </c>
      <c r="AW304">
        <v>6570</v>
      </c>
      <c r="AX304">
        <v>0</v>
      </c>
    </row>
    <row r="305" spans="1:50" x14ac:dyDescent="0.25">
      <c r="A305" t="s">
        <v>5143</v>
      </c>
      <c r="B305" s="3">
        <v>42922</v>
      </c>
      <c r="C305" t="s">
        <v>4423</v>
      </c>
      <c r="D305" t="s">
        <v>5124</v>
      </c>
      <c r="E305" t="s">
        <v>4425</v>
      </c>
      <c r="F305">
        <v>24000</v>
      </c>
      <c r="G305" t="s">
        <v>5144</v>
      </c>
      <c r="H305" s="3">
        <v>42922</v>
      </c>
      <c r="I305" t="s">
        <v>1375</v>
      </c>
      <c r="J305">
        <v>20000</v>
      </c>
      <c r="K305" s="1"/>
      <c r="M305" s="3">
        <v>42929</v>
      </c>
      <c r="N305" t="s">
        <v>54</v>
      </c>
      <c r="O305" t="s">
        <v>2737</v>
      </c>
      <c r="P305" t="s">
        <v>56</v>
      </c>
      <c r="Q305">
        <v>16700</v>
      </c>
      <c r="R305" s="3">
        <v>43015</v>
      </c>
      <c r="S305" t="s">
        <v>54</v>
      </c>
      <c r="T305" t="s">
        <v>4996</v>
      </c>
      <c r="U305" t="s">
        <v>60</v>
      </c>
      <c r="V305">
        <v>2950</v>
      </c>
      <c r="AG305" t="s">
        <v>5126</v>
      </c>
      <c r="AH305" s="3">
        <v>42943</v>
      </c>
      <c r="AI305">
        <v>24000</v>
      </c>
      <c r="AJ305">
        <v>0</v>
      </c>
      <c r="AS305" t="s">
        <v>5127</v>
      </c>
      <c r="AT305" s="3">
        <v>43110</v>
      </c>
      <c r="AU305">
        <v>119070</v>
      </c>
      <c r="AV305">
        <v>0</v>
      </c>
      <c r="AW305">
        <v>2430</v>
      </c>
      <c r="AX305">
        <v>0</v>
      </c>
    </row>
    <row r="306" spans="1:50" x14ac:dyDescent="0.25">
      <c r="A306" t="s">
        <v>5145</v>
      </c>
      <c r="B306" s="3">
        <v>42923</v>
      </c>
      <c r="C306" t="s">
        <v>4423</v>
      </c>
      <c r="D306" t="s">
        <v>5124</v>
      </c>
      <c r="E306" t="s">
        <v>4425</v>
      </c>
      <c r="F306">
        <v>24000</v>
      </c>
      <c r="G306" t="s">
        <v>5146</v>
      </c>
      <c r="H306" s="3">
        <v>42923</v>
      </c>
      <c r="I306" t="s">
        <v>214</v>
      </c>
      <c r="J306">
        <v>20000</v>
      </c>
      <c r="K306" s="1"/>
      <c r="M306" s="3">
        <v>42929</v>
      </c>
      <c r="N306" t="s">
        <v>54</v>
      </c>
      <c r="P306" t="s">
        <v>56</v>
      </c>
      <c r="Q306">
        <v>16700</v>
      </c>
      <c r="R306" s="3">
        <v>43060</v>
      </c>
      <c r="S306" t="s">
        <v>54</v>
      </c>
      <c r="T306" t="s">
        <v>214</v>
      </c>
      <c r="U306" t="s">
        <v>60</v>
      </c>
      <c r="V306">
        <v>2950</v>
      </c>
      <c r="AG306" t="s">
        <v>5126</v>
      </c>
      <c r="AH306" s="3">
        <v>42943</v>
      </c>
      <c r="AI306">
        <v>24000</v>
      </c>
      <c r="AJ306">
        <v>0</v>
      </c>
      <c r="AS306" t="s">
        <v>5127</v>
      </c>
      <c r="AT306" s="3">
        <v>43110</v>
      </c>
      <c r="AU306">
        <v>119070</v>
      </c>
      <c r="AV306">
        <v>0</v>
      </c>
      <c r="AW306">
        <v>2430</v>
      </c>
      <c r="AX306">
        <v>0</v>
      </c>
    </row>
    <row r="307" spans="1:50" x14ac:dyDescent="0.25">
      <c r="A307" t="s">
        <v>5147</v>
      </c>
      <c r="B307" s="3">
        <v>42923</v>
      </c>
      <c r="C307" t="s">
        <v>4423</v>
      </c>
      <c r="D307" t="s">
        <v>5136</v>
      </c>
      <c r="E307" t="s">
        <v>4425</v>
      </c>
      <c r="F307">
        <v>25500</v>
      </c>
      <c r="G307" t="s">
        <v>5148</v>
      </c>
      <c r="H307" s="3">
        <v>42923</v>
      </c>
      <c r="I307" t="s">
        <v>214</v>
      </c>
      <c r="J307">
        <v>22000</v>
      </c>
      <c r="K307" s="1"/>
      <c r="M307" s="3">
        <v>42929</v>
      </c>
      <c r="N307" t="s">
        <v>57</v>
      </c>
      <c r="P307" t="s">
        <v>56</v>
      </c>
      <c r="Q307">
        <v>4000</v>
      </c>
      <c r="R307" s="3">
        <v>42929</v>
      </c>
      <c r="S307" t="s">
        <v>54</v>
      </c>
      <c r="U307" t="s">
        <v>56</v>
      </c>
      <c r="V307">
        <v>13300</v>
      </c>
      <c r="W307" s="3">
        <v>43060</v>
      </c>
      <c r="X307" t="s">
        <v>54</v>
      </c>
      <c r="Y307" t="s">
        <v>214</v>
      </c>
      <c r="Z307" t="s">
        <v>60</v>
      </c>
      <c r="AA307">
        <v>3900</v>
      </c>
      <c r="AG307" t="s">
        <v>5126</v>
      </c>
      <c r="AH307" s="3">
        <v>42943</v>
      </c>
      <c r="AI307">
        <v>25500</v>
      </c>
      <c r="AJ307">
        <v>0</v>
      </c>
      <c r="AS307" t="s">
        <v>5127</v>
      </c>
      <c r="AT307" s="3">
        <v>43110</v>
      </c>
      <c r="AU307">
        <v>119070</v>
      </c>
      <c r="AV307">
        <v>0</v>
      </c>
      <c r="AW307">
        <v>2430</v>
      </c>
      <c r="AX307">
        <v>0</v>
      </c>
    </row>
    <row r="308" spans="1:50" x14ac:dyDescent="0.25">
      <c r="A308" t="s">
        <v>5149</v>
      </c>
      <c r="B308" s="3">
        <v>42923</v>
      </c>
      <c r="C308" t="s">
        <v>4626</v>
      </c>
      <c r="D308" t="s">
        <v>5131</v>
      </c>
      <c r="E308" t="s">
        <v>4425</v>
      </c>
      <c r="F308">
        <v>24000</v>
      </c>
      <c r="G308" t="s">
        <v>5150</v>
      </c>
      <c r="H308" s="3">
        <v>42923</v>
      </c>
      <c r="I308" t="s">
        <v>214</v>
      </c>
      <c r="J308">
        <v>20000</v>
      </c>
      <c r="K308" s="1"/>
      <c r="M308" s="3">
        <v>42935</v>
      </c>
      <c r="N308" t="s">
        <v>57</v>
      </c>
      <c r="P308" t="s">
        <v>56</v>
      </c>
      <c r="Q308">
        <v>3000</v>
      </c>
      <c r="R308" s="3">
        <v>42937</v>
      </c>
      <c r="S308" t="s">
        <v>54</v>
      </c>
      <c r="T308" t="s">
        <v>214</v>
      </c>
      <c r="U308" t="s">
        <v>56</v>
      </c>
      <c r="V308">
        <v>13700</v>
      </c>
      <c r="W308" s="3">
        <v>43024</v>
      </c>
      <c r="X308" t="s">
        <v>54</v>
      </c>
      <c r="Y308" t="s">
        <v>1672</v>
      </c>
      <c r="Z308" t="s">
        <v>60</v>
      </c>
      <c r="AA308">
        <v>2950</v>
      </c>
      <c r="AG308" t="s">
        <v>5133</v>
      </c>
      <c r="AH308" s="3">
        <v>42943</v>
      </c>
      <c r="AI308">
        <v>24000</v>
      </c>
      <c r="AJ308">
        <v>0</v>
      </c>
      <c r="AS308" t="s">
        <v>5134</v>
      </c>
      <c r="AT308" s="3">
        <v>43252</v>
      </c>
      <c r="AU308">
        <v>321930</v>
      </c>
      <c r="AV308">
        <v>0</v>
      </c>
      <c r="AW308">
        <v>6570</v>
      </c>
      <c r="AX308">
        <v>0</v>
      </c>
    </row>
    <row r="309" spans="1:50" x14ac:dyDescent="0.25">
      <c r="A309" t="s">
        <v>5151</v>
      </c>
      <c r="B309" s="3">
        <v>42924</v>
      </c>
      <c r="C309" t="s">
        <v>4459</v>
      </c>
      <c r="D309" t="s">
        <v>5131</v>
      </c>
      <c r="E309" t="s">
        <v>4425</v>
      </c>
      <c r="F309">
        <v>32500</v>
      </c>
      <c r="G309" t="s">
        <v>5152</v>
      </c>
      <c r="H309" s="3">
        <v>42924</v>
      </c>
      <c r="I309" t="s">
        <v>1375</v>
      </c>
      <c r="J309">
        <v>28000</v>
      </c>
      <c r="K309" s="1"/>
      <c r="M309" s="3">
        <v>42935</v>
      </c>
      <c r="N309" t="s">
        <v>54</v>
      </c>
      <c r="O309" t="s">
        <v>1375</v>
      </c>
      <c r="P309" t="s">
        <v>56</v>
      </c>
      <c r="Q309">
        <v>22700</v>
      </c>
      <c r="R309" s="3">
        <v>43015</v>
      </c>
      <c r="S309" t="s">
        <v>54</v>
      </c>
      <c r="T309" t="s">
        <v>4996</v>
      </c>
      <c r="U309" t="s">
        <v>60</v>
      </c>
      <c r="V309">
        <v>4900</v>
      </c>
      <c r="AG309" t="s">
        <v>5133</v>
      </c>
      <c r="AH309" s="3">
        <v>42943</v>
      </c>
      <c r="AI309">
        <v>32500</v>
      </c>
      <c r="AJ309">
        <v>0</v>
      </c>
      <c r="AS309" t="s">
        <v>5134</v>
      </c>
      <c r="AT309" s="3">
        <v>43252</v>
      </c>
      <c r="AU309">
        <v>321930</v>
      </c>
      <c r="AV309">
        <v>0</v>
      </c>
      <c r="AW309">
        <v>6570</v>
      </c>
      <c r="AX309">
        <v>0</v>
      </c>
    </row>
    <row r="310" spans="1:50" x14ac:dyDescent="0.25">
      <c r="A310" t="s">
        <v>5153</v>
      </c>
      <c r="B310" s="3">
        <v>42924</v>
      </c>
      <c r="C310" t="s">
        <v>4887</v>
      </c>
      <c r="D310" t="s">
        <v>5131</v>
      </c>
      <c r="E310" t="s">
        <v>4425</v>
      </c>
      <c r="F310">
        <v>32500</v>
      </c>
      <c r="G310" t="s">
        <v>5154</v>
      </c>
      <c r="H310" s="3">
        <v>42924</v>
      </c>
      <c r="I310" t="s">
        <v>1375</v>
      </c>
      <c r="J310">
        <v>28000</v>
      </c>
      <c r="K310" s="1"/>
      <c r="M310" s="3">
        <v>42935</v>
      </c>
      <c r="N310" t="s">
        <v>54</v>
      </c>
      <c r="O310" t="s">
        <v>1375</v>
      </c>
      <c r="P310" t="s">
        <v>56</v>
      </c>
      <c r="Q310">
        <v>22700</v>
      </c>
      <c r="R310" s="3">
        <v>43015</v>
      </c>
      <c r="S310" t="s">
        <v>54</v>
      </c>
      <c r="T310" t="s">
        <v>4996</v>
      </c>
      <c r="U310" t="s">
        <v>60</v>
      </c>
      <c r="V310">
        <v>4900</v>
      </c>
      <c r="AG310" t="s">
        <v>5133</v>
      </c>
      <c r="AH310" s="3">
        <v>42943</v>
      </c>
      <c r="AI310">
        <v>32500</v>
      </c>
      <c r="AJ310">
        <v>0</v>
      </c>
      <c r="AS310" t="s">
        <v>5134</v>
      </c>
      <c r="AT310" s="3">
        <v>43252</v>
      </c>
      <c r="AU310">
        <v>321930</v>
      </c>
      <c r="AV310">
        <v>0</v>
      </c>
      <c r="AW310">
        <v>6570</v>
      </c>
      <c r="AX310">
        <v>0</v>
      </c>
    </row>
    <row r="311" spans="1:50" x14ac:dyDescent="0.25">
      <c r="A311" t="s">
        <v>5155</v>
      </c>
      <c r="B311" s="3">
        <v>42927</v>
      </c>
      <c r="C311" t="s">
        <v>4459</v>
      </c>
      <c r="D311" t="s">
        <v>5131</v>
      </c>
      <c r="E311" t="s">
        <v>4425</v>
      </c>
      <c r="F311">
        <v>32500</v>
      </c>
      <c r="G311" t="s">
        <v>5156</v>
      </c>
      <c r="H311" s="3">
        <v>42927</v>
      </c>
      <c r="I311" t="s">
        <v>1375</v>
      </c>
      <c r="J311">
        <v>28000</v>
      </c>
      <c r="K311" s="1"/>
      <c r="M311" s="3">
        <v>42935</v>
      </c>
      <c r="N311" t="s">
        <v>54</v>
      </c>
      <c r="O311" t="s">
        <v>1375</v>
      </c>
      <c r="P311" t="s">
        <v>56</v>
      </c>
      <c r="Q311">
        <v>22700</v>
      </c>
      <c r="R311" s="3">
        <v>43015</v>
      </c>
      <c r="S311" t="s">
        <v>54</v>
      </c>
      <c r="T311" t="s">
        <v>4996</v>
      </c>
      <c r="U311" t="s">
        <v>60</v>
      </c>
      <c r="V311">
        <v>4900</v>
      </c>
      <c r="AG311" t="s">
        <v>5133</v>
      </c>
      <c r="AH311" s="3">
        <v>42943</v>
      </c>
      <c r="AI311">
        <v>32500</v>
      </c>
      <c r="AJ311">
        <v>0</v>
      </c>
      <c r="AS311" t="s">
        <v>5134</v>
      </c>
      <c r="AT311" s="3">
        <v>43252</v>
      </c>
      <c r="AU311">
        <v>321930</v>
      </c>
      <c r="AV311">
        <v>0</v>
      </c>
      <c r="AW311">
        <v>6570</v>
      </c>
      <c r="AX311">
        <v>0</v>
      </c>
    </row>
    <row r="312" spans="1:50" x14ac:dyDescent="0.25">
      <c r="A312" t="s">
        <v>5157</v>
      </c>
      <c r="B312" s="3">
        <v>42928</v>
      </c>
      <c r="C312" t="s">
        <v>4626</v>
      </c>
      <c r="D312" t="s">
        <v>5131</v>
      </c>
      <c r="E312" t="s">
        <v>4425</v>
      </c>
      <c r="F312">
        <v>24000</v>
      </c>
      <c r="G312" t="s">
        <v>5158</v>
      </c>
      <c r="H312" s="3">
        <v>42928</v>
      </c>
      <c r="I312" t="s">
        <v>214</v>
      </c>
      <c r="J312">
        <v>20000</v>
      </c>
      <c r="K312" s="1"/>
      <c r="M312" s="3">
        <v>42937</v>
      </c>
      <c r="N312" t="s">
        <v>54</v>
      </c>
      <c r="O312" t="s">
        <v>214</v>
      </c>
      <c r="P312" t="s">
        <v>56</v>
      </c>
      <c r="Q312">
        <v>16700</v>
      </c>
      <c r="R312" s="3">
        <v>43166</v>
      </c>
      <c r="S312" t="s">
        <v>54</v>
      </c>
      <c r="T312" t="s">
        <v>4969</v>
      </c>
      <c r="U312" t="s">
        <v>60</v>
      </c>
      <c r="V312">
        <v>2950</v>
      </c>
      <c r="AG312" t="s">
        <v>5133</v>
      </c>
      <c r="AH312" s="3">
        <v>42943</v>
      </c>
      <c r="AI312">
        <v>24000</v>
      </c>
      <c r="AJ312">
        <v>0</v>
      </c>
      <c r="AS312" t="s">
        <v>5134</v>
      </c>
      <c r="AT312" s="3">
        <v>43252</v>
      </c>
      <c r="AU312">
        <v>321930</v>
      </c>
      <c r="AV312">
        <v>0</v>
      </c>
      <c r="AW312">
        <v>6570</v>
      </c>
      <c r="AX312">
        <v>0</v>
      </c>
    </row>
    <row r="313" spans="1:50" x14ac:dyDescent="0.25">
      <c r="A313" t="s">
        <v>5159</v>
      </c>
      <c r="B313" s="3">
        <v>42933</v>
      </c>
      <c r="C313" t="s">
        <v>4423</v>
      </c>
      <c r="D313" t="s">
        <v>5136</v>
      </c>
      <c r="E313" t="s">
        <v>4425</v>
      </c>
      <c r="F313">
        <v>0</v>
      </c>
      <c r="G313" t="s">
        <v>5160</v>
      </c>
      <c r="H313" s="3">
        <v>42933</v>
      </c>
      <c r="I313" t="s">
        <v>214</v>
      </c>
      <c r="J313">
        <v>22000</v>
      </c>
      <c r="K313" s="1"/>
      <c r="M313" s="3">
        <v>42942</v>
      </c>
      <c r="N313" t="s">
        <v>54</v>
      </c>
      <c r="O313" t="s">
        <v>214</v>
      </c>
      <c r="P313" t="s">
        <v>56</v>
      </c>
      <c r="Q313">
        <v>17500</v>
      </c>
      <c r="R313" s="3">
        <v>43024</v>
      </c>
      <c r="S313" t="s">
        <v>54</v>
      </c>
      <c r="T313" t="s">
        <v>1672</v>
      </c>
      <c r="U313" t="s">
        <v>60</v>
      </c>
      <c r="V313">
        <v>3900</v>
      </c>
      <c r="AG313" t="s">
        <v>5138</v>
      </c>
      <c r="AH313" s="3">
        <v>42963</v>
      </c>
      <c r="AI313">
        <v>0</v>
      </c>
      <c r="AJ313">
        <v>0</v>
      </c>
      <c r="AS313" t="s">
        <v>5127</v>
      </c>
      <c r="AT313" s="3">
        <v>43110</v>
      </c>
      <c r="AU313">
        <v>54390</v>
      </c>
      <c r="AV313">
        <v>0</v>
      </c>
      <c r="AW313">
        <v>1110</v>
      </c>
      <c r="AX313">
        <v>0</v>
      </c>
    </row>
    <row r="314" spans="1:50" x14ac:dyDescent="0.25">
      <c r="A314" t="s">
        <v>5161</v>
      </c>
      <c r="B314" s="3">
        <v>42933</v>
      </c>
      <c r="C314" t="s">
        <v>4423</v>
      </c>
      <c r="D314" t="s">
        <v>5162</v>
      </c>
      <c r="E314" t="s">
        <v>4425</v>
      </c>
      <c r="F314">
        <v>30000</v>
      </c>
      <c r="K314" s="1"/>
      <c r="AG314" t="s">
        <v>5138</v>
      </c>
      <c r="AH314" s="3">
        <v>42963</v>
      </c>
      <c r="AI314">
        <v>30000</v>
      </c>
      <c r="AJ314">
        <v>0</v>
      </c>
      <c r="AS314" t="s">
        <v>5127</v>
      </c>
      <c r="AT314" s="3">
        <v>43110</v>
      </c>
      <c r="AU314">
        <v>54390</v>
      </c>
      <c r="AV314">
        <v>0</v>
      </c>
      <c r="AW314">
        <v>1110</v>
      </c>
      <c r="AX314">
        <v>0</v>
      </c>
    </row>
    <row r="315" spans="1:50" x14ac:dyDescent="0.25">
      <c r="A315" t="s">
        <v>5163</v>
      </c>
      <c r="B315" s="3">
        <v>42933</v>
      </c>
      <c r="C315" t="s">
        <v>4459</v>
      </c>
      <c r="D315" t="s">
        <v>5131</v>
      </c>
      <c r="E315" t="s">
        <v>4425</v>
      </c>
      <c r="F315">
        <v>24000</v>
      </c>
      <c r="G315" t="s">
        <v>5164</v>
      </c>
      <c r="H315" s="3">
        <v>42933</v>
      </c>
      <c r="I315" t="s">
        <v>214</v>
      </c>
      <c r="J315">
        <v>20000</v>
      </c>
      <c r="K315" s="1"/>
      <c r="M315" s="3">
        <v>42935</v>
      </c>
      <c r="N315" t="s">
        <v>57</v>
      </c>
      <c r="P315" t="s">
        <v>56</v>
      </c>
      <c r="Q315">
        <v>3000</v>
      </c>
      <c r="R315" s="3">
        <v>42937</v>
      </c>
      <c r="S315" t="s">
        <v>54</v>
      </c>
      <c r="T315" t="s">
        <v>214</v>
      </c>
      <c r="U315" t="s">
        <v>56</v>
      </c>
      <c r="V315">
        <v>13700</v>
      </c>
      <c r="W315" s="3">
        <v>43060</v>
      </c>
      <c r="X315" t="s">
        <v>54</v>
      </c>
      <c r="Y315" t="s">
        <v>214</v>
      </c>
      <c r="Z315" t="s">
        <v>60</v>
      </c>
      <c r="AA315">
        <v>2950</v>
      </c>
      <c r="AG315" t="s">
        <v>5133</v>
      </c>
      <c r="AH315" s="3">
        <v>42943</v>
      </c>
      <c r="AI315">
        <v>24000</v>
      </c>
      <c r="AJ315">
        <v>0</v>
      </c>
      <c r="AS315" t="s">
        <v>5134</v>
      </c>
      <c r="AT315" s="3">
        <v>43252</v>
      </c>
      <c r="AU315">
        <v>321930</v>
      </c>
      <c r="AV315">
        <v>0</v>
      </c>
      <c r="AW315">
        <v>6570</v>
      </c>
      <c r="AX315">
        <v>0</v>
      </c>
    </row>
    <row r="316" spans="1:50" x14ac:dyDescent="0.25">
      <c r="A316" t="s">
        <v>5165</v>
      </c>
      <c r="B316" s="3">
        <v>42949</v>
      </c>
      <c r="C316" t="s">
        <v>4459</v>
      </c>
      <c r="D316" t="s">
        <v>5131</v>
      </c>
      <c r="E316" t="s">
        <v>4425</v>
      </c>
      <c r="F316">
        <v>32500</v>
      </c>
      <c r="G316" t="s">
        <v>5166</v>
      </c>
      <c r="H316" s="3">
        <v>42949</v>
      </c>
      <c r="I316" t="s">
        <v>214</v>
      </c>
      <c r="J316">
        <v>20000</v>
      </c>
      <c r="K316" s="1"/>
      <c r="M316" s="3">
        <v>42952</v>
      </c>
      <c r="N316" t="s">
        <v>54</v>
      </c>
      <c r="O316" t="s">
        <v>1596</v>
      </c>
      <c r="P316" t="s">
        <v>56</v>
      </c>
      <c r="Q316">
        <v>16700</v>
      </c>
      <c r="R316" s="3">
        <v>43015</v>
      </c>
      <c r="S316" t="s">
        <v>54</v>
      </c>
      <c r="T316" t="s">
        <v>1596</v>
      </c>
      <c r="U316" t="s">
        <v>60</v>
      </c>
      <c r="V316">
        <v>2950</v>
      </c>
      <c r="AG316" t="s">
        <v>5167</v>
      </c>
      <c r="AH316" s="3">
        <v>42993</v>
      </c>
      <c r="AI316">
        <v>32500</v>
      </c>
      <c r="AJ316">
        <v>0</v>
      </c>
      <c r="AS316" t="s">
        <v>5127</v>
      </c>
      <c r="AT316" s="3">
        <v>43110</v>
      </c>
      <c r="AU316">
        <v>87220</v>
      </c>
      <c r="AV316">
        <v>0</v>
      </c>
      <c r="AW316">
        <v>1780</v>
      </c>
      <c r="AX316">
        <v>0</v>
      </c>
    </row>
    <row r="317" spans="1:50" x14ac:dyDescent="0.25">
      <c r="A317" t="s">
        <v>5168</v>
      </c>
      <c r="B317" s="3">
        <v>42952</v>
      </c>
      <c r="C317" t="s">
        <v>5169</v>
      </c>
      <c r="D317" t="s">
        <v>5131</v>
      </c>
      <c r="E317" t="s">
        <v>4425</v>
      </c>
      <c r="F317">
        <v>32500</v>
      </c>
      <c r="G317" t="s">
        <v>5170</v>
      </c>
      <c r="H317" s="3">
        <v>42952</v>
      </c>
      <c r="I317" t="s">
        <v>214</v>
      </c>
      <c r="J317">
        <v>28000</v>
      </c>
      <c r="K317" s="1"/>
      <c r="M317" s="3">
        <v>42952</v>
      </c>
      <c r="N317" t="s">
        <v>57</v>
      </c>
      <c r="P317" t="s">
        <v>56</v>
      </c>
      <c r="Q317">
        <v>2000</v>
      </c>
      <c r="R317" s="3">
        <v>42952</v>
      </c>
      <c r="S317" t="s">
        <v>54</v>
      </c>
      <c r="T317" t="s">
        <v>214</v>
      </c>
      <c r="U317" t="s">
        <v>56</v>
      </c>
      <c r="V317">
        <v>20700</v>
      </c>
      <c r="W317" s="3">
        <v>43015</v>
      </c>
      <c r="X317" t="s">
        <v>54</v>
      </c>
      <c r="Y317" t="s">
        <v>1596</v>
      </c>
      <c r="Z317" t="s">
        <v>60</v>
      </c>
      <c r="AA317">
        <v>4900</v>
      </c>
      <c r="AG317" t="s">
        <v>5167</v>
      </c>
      <c r="AH317" s="3">
        <v>42993</v>
      </c>
      <c r="AI317">
        <v>32500</v>
      </c>
      <c r="AJ317">
        <v>0</v>
      </c>
      <c r="AS317" t="s">
        <v>5127</v>
      </c>
      <c r="AT317" s="3">
        <v>43110</v>
      </c>
      <c r="AU317">
        <v>87220</v>
      </c>
      <c r="AV317">
        <v>0</v>
      </c>
      <c r="AW317">
        <v>1780</v>
      </c>
      <c r="AX317">
        <v>0</v>
      </c>
    </row>
    <row r="318" spans="1:50" x14ac:dyDescent="0.25">
      <c r="A318" t="s">
        <v>5171</v>
      </c>
      <c r="B318" s="3">
        <v>42964</v>
      </c>
      <c r="C318" t="s">
        <v>4887</v>
      </c>
      <c r="D318" t="s">
        <v>5131</v>
      </c>
      <c r="E318" t="s">
        <v>4425</v>
      </c>
      <c r="F318">
        <v>24000</v>
      </c>
      <c r="G318" t="s">
        <v>5172</v>
      </c>
      <c r="H318" s="3">
        <v>42964</v>
      </c>
      <c r="I318" t="s">
        <v>214</v>
      </c>
      <c r="J318">
        <v>20000</v>
      </c>
      <c r="K318" s="1"/>
      <c r="M318" s="3">
        <v>42968</v>
      </c>
      <c r="N318" t="s">
        <v>54</v>
      </c>
      <c r="O318" t="s">
        <v>5173</v>
      </c>
      <c r="P318" t="s">
        <v>56</v>
      </c>
      <c r="Q318">
        <v>16700</v>
      </c>
      <c r="R318" s="3">
        <v>43015</v>
      </c>
      <c r="S318" t="s">
        <v>54</v>
      </c>
      <c r="T318" t="s">
        <v>1596</v>
      </c>
      <c r="U318" t="s">
        <v>60</v>
      </c>
      <c r="V318">
        <v>2950</v>
      </c>
      <c r="AG318" t="s">
        <v>5167</v>
      </c>
      <c r="AH318" s="3">
        <v>42993</v>
      </c>
      <c r="AI318">
        <v>24000</v>
      </c>
      <c r="AJ318">
        <v>0</v>
      </c>
      <c r="AS318" t="s">
        <v>5127</v>
      </c>
      <c r="AT318" s="3">
        <v>43110</v>
      </c>
      <c r="AU318">
        <v>87220</v>
      </c>
      <c r="AV318">
        <v>0</v>
      </c>
      <c r="AW318">
        <v>1780</v>
      </c>
      <c r="AX318">
        <v>0</v>
      </c>
    </row>
    <row r="319" spans="1:50" x14ac:dyDescent="0.25">
      <c r="A319" t="s">
        <v>5174</v>
      </c>
      <c r="B319" s="3">
        <v>42964</v>
      </c>
      <c r="C319" t="s">
        <v>4626</v>
      </c>
      <c r="D319" t="s">
        <v>5131</v>
      </c>
      <c r="E319" t="s">
        <v>4425</v>
      </c>
      <c r="F319">
        <v>0</v>
      </c>
      <c r="K319" s="1"/>
      <c r="AG319" t="s">
        <v>5167</v>
      </c>
      <c r="AH319" s="3">
        <v>42993</v>
      </c>
      <c r="AI319">
        <v>0</v>
      </c>
      <c r="AJ319">
        <v>0</v>
      </c>
      <c r="AS319" t="s">
        <v>5127</v>
      </c>
      <c r="AT319" s="3">
        <v>43110</v>
      </c>
      <c r="AU319">
        <v>87220</v>
      </c>
      <c r="AV319">
        <v>0</v>
      </c>
      <c r="AW319">
        <v>1780</v>
      </c>
      <c r="AX319">
        <v>0</v>
      </c>
    </row>
    <row r="320" spans="1:50" x14ac:dyDescent="0.25">
      <c r="A320" t="s">
        <v>5175</v>
      </c>
      <c r="B320" s="3">
        <v>42983</v>
      </c>
      <c r="C320" t="s">
        <v>4423</v>
      </c>
      <c r="D320" t="s">
        <v>5176</v>
      </c>
      <c r="E320" t="s">
        <v>4425</v>
      </c>
      <c r="F320">
        <v>9000</v>
      </c>
      <c r="G320" t="s">
        <v>5177</v>
      </c>
      <c r="H320" s="3">
        <v>42983</v>
      </c>
      <c r="I320" t="s">
        <v>230</v>
      </c>
      <c r="J320">
        <v>7500</v>
      </c>
      <c r="K320" s="1"/>
      <c r="M320" s="3">
        <v>42984</v>
      </c>
      <c r="N320" t="s">
        <v>54</v>
      </c>
      <c r="O320" t="s">
        <v>4193</v>
      </c>
      <c r="P320" t="s">
        <v>56</v>
      </c>
      <c r="Q320">
        <v>6350</v>
      </c>
      <c r="R320" s="3">
        <v>42997</v>
      </c>
      <c r="S320" t="s">
        <v>54</v>
      </c>
      <c r="T320" t="s">
        <v>305</v>
      </c>
      <c r="U320" t="s">
        <v>60</v>
      </c>
      <c r="V320">
        <v>970</v>
      </c>
      <c r="AG320" t="s">
        <v>5178</v>
      </c>
      <c r="AH320" s="3">
        <v>42997</v>
      </c>
      <c r="AI320">
        <v>9000</v>
      </c>
      <c r="AJ320">
        <v>0</v>
      </c>
      <c r="AS320" t="s">
        <v>5134</v>
      </c>
      <c r="AT320" s="3">
        <v>43252</v>
      </c>
      <c r="AU320">
        <v>8330</v>
      </c>
      <c r="AV320">
        <v>0</v>
      </c>
      <c r="AW320">
        <v>670</v>
      </c>
      <c r="AX320">
        <v>0</v>
      </c>
    </row>
    <row r="321" spans="1:50" x14ac:dyDescent="0.25">
      <c r="A321" t="s">
        <v>5179</v>
      </c>
      <c r="B321" s="3">
        <v>43123</v>
      </c>
      <c r="C321" t="s">
        <v>4626</v>
      </c>
      <c r="D321" t="s">
        <v>5131</v>
      </c>
      <c r="E321" t="s">
        <v>4425</v>
      </c>
      <c r="F321">
        <v>26000</v>
      </c>
      <c r="G321" t="s">
        <v>5180</v>
      </c>
      <c r="H321" s="3">
        <v>43123</v>
      </c>
      <c r="I321" t="s">
        <v>214</v>
      </c>
      <c r="J321">
        <v>21000</v>
      </c>
      <c r="K321" s="1"/>
      <c r="M321" s="3">
        <v>43155</v>
      </c>
      <c r="N321" t="s">
        <v>54</v>
      </c>
      <c r="O321" t="s">
        <v>1672</v>
      </c>
      <c r="P321" t="s">
        <v>60</v>
      </c>
      <c r="Q321">
        <v>20600</v>
      </c>
      <c r="AG321" t="s">
        <v>5181</v>
      </c>
      <c r="AH321" s="3">
        <v>43159</v>
      </c>
      <c r="AI321">
        <v>26000</v>
      </c>
      <c r="AJ321">
        <v>0</v>
      </c>
      <c r="AS321" t="s">
        <v>5182</v>
      </c>
      <c r="AT321" s="3">
        <v>43533</v>
      </c>
      <c r="AU321">
        <v>25480</v>
      </c>
      <c r="AV321">
        <v>0</v>
      </c>
      <c r="AW321">
        <v>520</v>
      </c>
      <c r="AX32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"/>
  <sheetViews>
    <sheetView workbookViewId="0">
      <selection activeCell="A4" sqref="A4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s="7" t="s">
        <v>5183</v>
      </c>
      <c r="B2" s="3">
        <v>43281</v>
      </c>
      <c r="C2" t="s">
        <v>50</v>
      </c>
      <c r="D2" t="s">
        <v>3879</v>
      </c>
      <c r="E2" t="s">
        <v>5184</v>
      </c>
      <c r="F2">
        <v>115000</v>
      </c>
      <c r="G2" t="s">
        <v>5185</v>
      </c>
      <c r="H2" s="3">
        <v>43281</v>
      </c>
      <c r="I2" t="s">
        <v>1328</v>
      </c>
      <c r="J2">
        <v>103000</v>
      </c>
      <c r="K2" s="1" t="s">
        <v>67</v>
      </c>
      <c r="M2" s="3">
        <v>43281</v>
      </c>
      <c r="N2" t="s">
        <v>1336</v>
      </c>
      <c r="O2" t="s">
        <v>1330</v>
      </c>
      <c r="P2" t="s">
        <v>56</v>
      </c>
      <c r="Q2">
        <v>20000</v>
      </c>
      <c r="R2" s="3">
        <v>43285</v>
      </c>
      <c r="S2" t="s">
        <v>54</v>
      </c>
      <c r="T2" t="s">
        <v>1330</v>
      </c>
      <c r="U2" t="s">
        <v>56</v>
      </c>
      <c r="V2">
        <v>73000</v>
      </c>
      <c r="W2" s="3">
        <v>43307</v>
      </c>
      <c r="X2" t="s">
        <v>54</v>
      </c>
      <c r="Y2" t="s">
        <v>1330</v>
      </c>
      <c r="Z2" t="s">
        <v>60</v>
      </c>
      <c r="AA2">
        <v>9100</v>
      </c>
      <c r="AG2" s="7" t="s">
        <v>5186</v>
      </c>
      <c r="AH2" s="3">
        <v>43321</v>
      </c>
      <c r="AI2" s="7">
        <v>45000</v>
      </c>
      <c r="AJ2">
        <v>45000</v>
      </c>
      <c r="AS2" t="s">
        <v>5187</v>
      </c>
      <c r="AT2" s="3">
        <v>43292</v>
      </c>
      <c r="AU2">
        <v>70000</v>
      </c>
      <c r="AV2">
        <v>0</v>
      </c>
      <c r="AW2">
        <v>0</v>
      </c>
      <c r="AX2">
        <v>0</v>
      </c>
    </row>
    <row r="3" spans="1:74" x14ac:dyDescent="0.25">
      <c r="A3" s="7" t="s">
        <v>5188</v>
      </c>
      <c r="B3" s="3">
        <v>43423</v>
      </c>
      <c r="C3" t="s">
        <v>50</v>
      </c>
      <c r="D3" t="s">
        <v>3879</v>
      </c>
      <c r="E3" t="s">
        <v>5184</v>
      </c>
      <c r="F3">
        <v>95000</v>
      </c>
      <c r="G3" t="s">
        <v>5189</v>
      </c>
      <c r="H3" s="3">
        <v>43423</v>
      </c>
      <c r="I3" t="s">
        <v>66</v>
      </c>
      <c r="J3">
        <v>87000</v>
      </c>
      <c r="K3" s="1" t="s">
        <v>67</v>
      </c>
      <c r="M3" s="3">
        <v>43424</v>
      </c>
      <c r="N3" t="s">
        <v>54</v>
      </c>
      <c r="O3" t="s">
        <v>5190</v>
      </c>
      <c r="P3" t="s">
        <v>56</v>
      </c>
      <c r="Q3">
        <v>76250</v>
      </c>
      <c r="R3" s="3">
        <v>43476</v>
      </c>
      <c r="S3" t="s">
        <v>54</v>
      </c>
      <c r="T3" t="s">
        <v>66</v>
      </c>
      <c r="U3" t="s">
        <v>60</v>
      </c>
      <c r="V3">
        <v>9800</v>
      </c>
      <c r="AG3" s="7" t="s">
        <v>5191</v>
      </c>
      <c r="AH3" s="3">
        <v>43477</v>
      </c>
      <c r="AI3" s="7">
        <v>95000</v>
      </c>
      <c r="AJ3">
        <v>95000</v>
      </c>
    </row>
    <row r="4" spans="1:74" x14ac:dyDescent="0.25">
      <c r="A4" s="7" t="s">
        <v>5192</v>
      </c>
      <c r="B4" s="3">
        <v>43423</v>
      </c>
      <c r="C4" t="s">
        <v>50</v>
      </c>
      <c r="D4" t="s">
        <v>3879</v>
      </c>
      <c r="E4" t="s">
        <v>5184</v>
      </c>
      <c r="F4">
        <v>105000</v>
      </c>
      <c r="G4" t="s">
        <v>5193</v>
      </c>
      <c r="H4" s="3">
        <v>43423</v>
      </c>
      <c r="I4" t="s">
        <v>66</v>
      </c>
      <c r="J4">
        <v>95000</v>
      </c>
      <c r="K4" s="1" t="s">
        <v>67</v>
      </c>
      <c r="M4" s="3">
        <v>43424</v>
      </c>
      <c r="N4" t="s">
        <v>54</v>
      </c>
      <c r="O4" t="s">
        <v>5190</v>
      </c>
      <c r="P4" t="s">
        <v>56</v>
      </c>
      <c r="Q4">
        <v>79200</v>
      </c>
      <c r="R4" s="3">
        <v>43476</v>
      </c>
      <c r="S4" t="s">
        <v>54</v>
      </c>
      <c r="T4" t="s">
        <v>66</v>
      </c>
      <c r="U4" t="s">
        <v>60</v>
      </c>
      <c r="V4">
        <v>14700</v>
      </c>
      <c r="AG4" s="7" t="s">
        <v>5194</v>
      </c>
      <c r="AH4" s="3">
        <v>43477</v>
      </c>
      <c r="AI4" s="7">
        <v>105000</v>
      </c>
      <c r="AJ4">
        <v>105000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14" sqref="F14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  <row r="2" spans="1:74" x14ac:dyDescent="0.25">
      <c r="A2" t="s">
        <v>5195</v>
      </c>
      <c r="B2" s="3">
        <v>43446</v>
      </c>
      <c r="C2" t="s">
        <v>50</v>
      </c>
      <c r="D2" t="s">
        <v>5196</v>
      </c>
      <c r="E2" t="s">
        <v>5196</v>
      </c>
      <c r="F2">
        <v>68000</v>
      </c>
      <c r="G2" t="s">
        <v>5197</v>
      </c>
      <c r="H2" s="3">
        <v>43447</v>
      </c>
      <c r="I2" t="s">
        <v>1328</v>
      </c>
      <c r="J2">
        <v>63000</v>
      </c>
      <c r="K2" s="1"/>
      <c r="M2" s="3">
        <v>43449</v>
      </c>
      <c r="N2" t="s">
        <v>1336</v>
      </c>
      <c r="P2" t="s">
        <v>56</v>
      </c>
      <c r="Q2">
        <v>25000</v>
      </c>
      <c r="R2" s="3">
        <v>43455</v>
      </c>
      <c r="S2" t="s">
        <v>54</v>
      </c>
      <c r="T2" t="s">
        <v>2125</v>
      </c>
      <c r="U2" t="s">
        <v>56</v>
      </c>
      <c r="V2">
        <v>32400</v>
      </c>
      <c r="AG2" t="s">
        <v>5198</v>
      </c>
      <c r="AH2" s="3">
        <v>43453</v>
      </c>
      <c r="AI2">
        <v>18000</v>
      </c>
      <c r="AJ2">
        <v>18000</v>
      </c>
      <c r="AS2" t="s">
        <v>5199</v>
      </c>
      <c r="AT2" s="3">
        <v>43515</v>
      </c>
      <c r="AU2">
        <v>50000</v>
      </c>
      <c r="AV2">
        <v>0</v>
      </c>
      <c r="AW2">
        <v>0</v>
      </c>
      <c r="AX2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"/>
  <sheetViews>
    <sheetView workbookViewId="0">
      <selection activeCell="A2" sqref="A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"/>
  <sheetViews>
    <sheetView workbookViewId="0">
      <selection activeCell="A2" sqref="A2"/>
    </sheetView>
  </sheetViews>
  <sheetFormatPr defaultRowHeight="15" x14ac:dyDescent="0.25"/>
  <sheetData>
    <row r="1" spans="1:74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1977</v>
      </c>
      <c r="AP1" t="s">
        <v>1978</v>
      </c>
      <c r="AQ1" t="s">
        <v>1979</v>
      </c>
      <c r="AR1" t="s">
        <v>1980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1981</v>
      </c>
      <c r="BA1" t="s">
        <v>1982</v>
      </c>
      <c r="BB1" t="s">
        <v>1983</v>
      </c>
      <c r="BC1" t="s">
        <v>1984</v>
      </c>
      <c r="BD1" t="s">
        <v>1985</v>
      </c>
      <c r="BE1" t="s">
        <v>1986</v>
      </c>
      <c r="BF1" t="s">
        <v>1987</v>
      </c>
      <c r="BG1" t="s">
        <v>1988</v>
      </c>
      <c r="BH1" t="s">
        <v>1989</v>
      </c>
      <c r="BI1" t="s">
        <v>1990</v>
      </c>
      <c r="BJ1" t="s">
        <v>1991</v>
      </c>
      <c r="BK1" t="s">
        <v>1992</v>
      </c>
      <c r="BL1" t="s">
        <v>1993</v>
      </c>
      <c r="BM1" t="s">
        <v>1994</v>
      </c>
      <c r="BN1" t="s">
        <v>1995</v>
      </c>
      <c r="BO1" t="s">
        <v>1996</v>
      </c>
      <c r="BP1" t="s">
        <v>1997</v>
      </c>
      <c r="BQ1" s="2" t="s">
        <v>45</v>
      </c>
      <c r="BR1" s="2" t="s">
        <v>46</v>
      </c>
      <c r="BS1" s="2" t="s">
        <v>47</v>
      </c>
      <c r="BT1" s="2" t="s">
        <v>46</v>
      </c>
      <c r="BU1" s="2" t="s">
        <v>48</v>
      </c>
      <c r="BV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</vt:i4>
      </vt:variant>
    </vt:vector>
  </HeadingPairs>
  <TitlesOfParts>
    <vt:vector size="43" baseType="lpstr">
      <vt:lpstr>R1</vt:lpstr>
      <vt:lpstr>ADAPT</vt:lpstr>
      <vt:lpstr>BALMER</vt:lpstr>
      <vt:lpstr>BDI</vt:lpstr>
      <vt:lpstr>BEST HEAT</vt:lpstr>
      <vt:lpstr>CB STONE</vt:lpstr>
      <vt:lpstr>COIMBATORE MURUGAN</vt:lpstr>
      <vt:lpstr>D P JAIN</vt:lpstr>
      <vt:lpstr>EXCEL</vt:lpstr>
      <vt:lpstr>HINDUSTAN PRODUCT</vt:lpstr>
      <vt:lpstr>HLE ENGG</vt:lpstr>
      <vt:lpstr>HYDAC</vt:lpstr>
      <vt:lpstr>JAY STONE</vt:lpstr>
      <vt:lpstr>JAYCHANDRAN ALLOYS</vt:lpstr>
      <vt:lpstr>KANNAPIRAN</vt:lpstr>
      <vt:lpstr>KRISHNA ENTP</vt:lpstr>
      <vt:lpstr>LARSEN &amp; T </vt:lpstr>
      <vt:lpstr>LINNHOFF</vt:lpstr>
      <vt:lpstr>MARINI</vt:lpstr>
      <vt:lpstr>MOHAMMED JAVED</vt:lpstr>
      <vt:lpstr>N G PROJECTS</vt:lpstr>
      <vt:lpstr>NARENDRA SHARMA</vt:lpstr>
      <vt:lpstr>NATIONAL TEXTILE</vt:lpstr>
      <vt:lpstr>NEELAM STONE</vt:lpstr>
      <vt:lpstr>Sheet3</vt:lpstr>
      <vt:lpstr>ONSHORE</vt:lpstr>
      <vt:lpstr>ORIENTAL</vt:lpstr>
      <vt:lpstr>PENTAFLO</vt:lpstr>
      <vt:lpstr>PRASHANT</vt:lpstr>
      <vt:lpstr>PROPEL</vt:lpstr>
      <vt:lpstr>PUS STONE</vt:lpstr>
      <vt:lpstr>ROSSI GEAR</vt:lpstr>
      <vt:lpstr>SAI ENTP</vt:lpstr>
      <vt:lpstr>SAM TURBO</vt:lpstr>
      <vt:lpstr>SAND STONE</vt:lpstr>
      <vt:lpstr>SANDFITS</vt:lpstr>
      <vt:lpstr>SE FORGE</vt:lpstr>
      <vt:lpstr>SHIVA KRIPA</vt:lpstr>
      <vt:lpstr>SHREE BUILDERS</vt:lpstr>
      <vt:lpstr>Sheet19</vt:lpstr>
      <vt:lpstr>Sheet20</vt:lpstr>
      <vt:lpstr>'R1'!Print_Area</vt:lpstr>
      <vt:lpstr>'R1'!Print_Titles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2023-05-24T09:06:22Z</dcterms:modified>
</cp:coreProperties>
</file>