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2330"/>
  </bookViews>
  <sheets>
    <sheet name="MAXWELL EMPLOYEE PAY SHEET" sheetId="1" r:id="rId1"/>
    <sheet name="Table 2" sheetId="2" r:id="rId2"/>
    <sheet name="Table 3" sheetId="3" r:id="rId3"/>
  </sheets>
  <calcPr calcId="162913"/>
</workbook>
</file>

<file path=xl/calcChain.xml><?xml version="1.0" encoding="utf-8"?>
<calcChain xmlns="http://schemas.openxmlformats.org/spreadsheetml/2006/main">
  <c r="AC25" i="1" l="1"/>
  <c r="AB25" i="1"/>
  <c r="AA25" i="1"/>
  <c r="Y25" i="1"/>
  <c r="X25" i="1"/>
  <c r="W25" i="1"/>
  <c r="V25" i="1"/>
  <c r="U25" i="1"/>
  <c r="T25" i="1"/>
  <c r="S25" i="1"/>
  <c r="R25" i="1"/>
  <c r="Q25" i="1"/>
  <c r="P25" i="1"/>
  <c r="R12" i="2" l="1"/>
  <c r="S12" i="2"/>
  <c r="T12" i="2"/>
  <c r="U12" i="2"/>
  <c r="V12" i="2"/>
  <c r="W12" i="2"/>
  <c r="X12" i="2"/>
  <c r="Y12" i="2"/>
  <c r="Z12" i="2"/>
  <c r="AA12" i="2"/>
  <c r="AC12" i="2"/>
  <c r="AD12" i="2"/>
  <c r="AE12" i="2"/>
  <c r="AF12" i="2"/>
  <c r="R12" i="3"/>
  <c r="S12" i="3"/>
  <c r="T12" i="3"/>
  <c r="U12" i="3"/>
  <c r="V12" i="3"/>
  <c r="W12" i="3"/>
  <c r="X12" i="3"/>
  <c r="Y12" i="3"/>
  <c r="Z12" i="3"/>
  <c r="AA12" i="3"/>
  <c r="AC12" i="3"/>
  <c r="AD12" i="3"/>
  <c r="AE12" i="3"/>
  <c r="AF12" i="3"/>
  <c r="Q12" i="1"/>
  <c r="R12" i="1"/>
  <c r="S12" i="1"/>
  <c r="T12" i="1"/>
  <c r="U12" i="1"/>
  <c r="V12" i="1"/>
  <c r="W12" i="1"/>
  <c r="X12" i="1"/>
  <c r="Y12" i="1"/>
  <c r="AA12" i="1"/>
  <c r="AB12" i="1"/>
  <c r="AC12" i="1"/>
  <c r="Q12" i="2"/>
  <c r="Q12" i="3"/>
  <c r="P12" i="1"/>
</calcChain>
</file>

<file path=xl/sharedStrings.xml><?xml version="1.0" encoding="utf-8"?>
<sst xmlns="http://schemas.openxmlformats.org/spreadsheetml/2006/main" count="149" uniqueCount="85">
  <si>
    <r>
      <rPr>
        <sz val="10"/>
        <rFont val="Times New Roman"/>
        <family val="1"/>
      </rPr>
      <t>MAXWELL-F03/HRD/PAYS/00</t>
    </r>
  </si>
  <si>
    <r>
      <rPr>
        <sz val="10"/>
        <rFont val="Arial MT"/>
        <family val="2"/>
      </rPr>
      <t xml:space="preserve">PAYSHEET FOR:
</t>
    </r>
    <r>
      <rPr>
        <sz val="10"/>
        <rFont val="Arial MT"/>
        <family val="2"/>
      </rPr>
      <t xml:space="preserve">TOTAL WORKING DAYS:
</t>
    </r>
    <r>
      <rPr>
        <sz val="10"/>
        <rFont val="Arial MT"/>
        <family val="2"/>
      </rPr>
      <t>Company PF Code:</t>
    </r>
  </si>
  <si>
    <r>
      <rPr>
        <sz val="8"/>
        <rFont val="Arial MT"/>
        <family val="2"/>
      </rPr>
      <t>EMP NAME</t>
    </r>
  </si>
  <si>
    <r>
      <rPr>
        <sz val="8"/>
        <rFont val="Arial MT"/>
        <family val="2"/>
      </rPr>
      <t>NO. OF DAYS WOR KED</t>
    </r>
  </si>
  <si>
    <r>
      <rPr>
        <sz val="8"/>
        <rFont val="Arial MT"/>
        <family val="2"/>
      </rPr>
      <t>S U N D A Y S</t>
    </r>
  </si>
  <si>
    <r>
      <rPr>
        <sz val="8"/>
        <rFont val="Arial MT"/>
        <family val="2"/>
      </rPr>
      <t>PUB LIC/ OH HOLI DAY S</t>
    </r>
  </si>
  <si>
    <r>
      <rPr>
        <sz val="8"/>
        <rFont val="Arial MT"/>
        <family val="2"/>
      </rPr>
      <t>LEAVE WITH PAY</t>
    </r>
  </si>
  <si>
    <r>
      <rPr>
        <sz val="8"/>
        <rFont val="Arial MT"/>
        <family val="2"/>
      </rPr>
      <t>WITH OUT PAY</t>
    </r>
  </si>
  <si>
    <r>
      <rPr>
        <sz val="8"/>
        <rFont val="Arial MT"/>
        <family val="2"/>
      </rPr>
      <t>TOT AL PAY DAYS</t>
    </r>
  </si>
  <si>
    <r>
      <rPr>
        <sz val="8"/>
        <rFont val="Arial MT"/>
        <family val="2"/>
      </rPr>
      <t>RATE OF</t>
    </r>
  </si>
  <si>
    <r>
      <rPr>
        <sz val="8"/>
        <rFont val="Arial MT"/>
        <family val="2"/>
      </rPr>
      <t>EARNINGS</t>
    </r>
  </si>
  <si>
    <r>
      <rPr>
        <sz val="8"/>
        <rFont val="Arial MT"/>
        <family val="2"/>
      </rPr>
      <t>TOTAL EARN INGS</t>
    </r>
  </si>
  <si>
    <r>
      <rPr>
        <sz val="8"/>
        <rFont val="Arial MT"/>
        <family val="2"/>
      </rPr>
      <t>DEDUCTIONS</t>
    </r>
  </si>
  <si>
    <r>
      <rPr>
        <sz val="8"/>
        <rFont val="Arial MT"/>
        <family val="2"/>
      </rPr>
      <t>NET AMT PAID</t>
    </r>
  </si>
  <si>
    <r>
      <rPr>
        <sz val="8"/>
        <rFont val="Arial MT"/>
        <family val="2"/>
      </rPr>
      <t>BALANCE</t>
    </r>
  </si>
  <si>
    <r>
      <rPr>
        <sz val="8"/>
        <rFont val="Arial MT"/>
        <family val="2"/>
      </rPr>
      <t>SL</t>
    </r>
  </si>
  <si>
    <r>
      <rPr>
        <sz val="8"/>
        <rFont val="Arial MT"/>
        <family val="2"/>
      </rPr>
      <t>EL</t>
    </r>
  </si>
  <si>
    <r>
      <rPr>
        <sz val="8"/>
        <rFont val="Arial MT"/>
        <family val="2"/>
      </rPr>
      <t>CL</t>
    </r>
  </si>
  <si>
    <r>
      <rPr>
        <sz val="8"/>
        <rFont val="Arial MT"/>
        <family val="2"/>
      </rPr>
      <t>BASIC</t>
    </r>
  </si>
  <si>
    <r>
      <rPr>
        <sz val="8"/>
        <rFont val="Arial MT"/>
        <family val="2"/>
      </rPr>
      <t>HRA</t>
    </r>
  </si>
  <si>
    <r>
      <rPr>
        <sz val="8"/>
        <rFont val="Arial MT"/>
        <family val="2"/>
      </rPr>
      <t>OTH ER</t>
    </r>
  </si>
  <si>
    <r>
      <rPr>
        <sz val="8"/>
        <rFont val="Arial MT"/>
        <family val="2"/>
      </rPr>
      <t>PF</t>
    </r>
  </si>
  <si>
    <r>
      <rPr>
        <sz val="8"/>
        <rFont val="Arial MT"/>
        <family val="2"/>
      </rPr>
      <t>ESI</t>
    </r>
  </si>
  <si>
    <r>
      <rPr>
        <sz val="8"/>
        <rFont val="Arial MT"/>
        <family val="2"/>
      </rPr>
      <t>PR. TAX</t>
    </r>
  </si>
  <si>
    <r>
      <rPr>
        <sz val="8"/>
        <rFont val="Arial MT"/>
        <family val="2"/>
      </rPr>
      <t>TDS</t>
    </r>
  </si>
  <si>
    <r>
      <rPr>
        <sz val="8"/>
        <rFont val="Arial MT"/>
        <family val="2"/>
      </rPr>
      <t>M TW</t>
    </r>
  </si>
  <si>
    <r>
      <rPr>
        <sz val="8"/>
        <rFont val="Arial MT"/>
        <family val="2"/>
      </rPr>
      <t>ST.AD V</t>
    </r>
  </si>
  <si>
    <r>
      <rPr>
        <sz val="8"/>
        <rFont val="Arial MT"/>
        <family val="2"/>
      </rPr>
      <t>Staff Adv</t>
    </r>
  </si>
  <si>
    <r>
      <rPr>
        <sz val="8"/>
        <rFont val="Arial MT"/>
        <family val="2"/>
      </rPr>
      <t>SIGN OF EMP</t>
    </r>
  </si>
  <si>
    <r>
      <rPr>
        <sz val="8"/>
        <rFont val="Arial MT"/>
        <family val="2"/>
      </rPr>
      <t>M1052</t>
    </r>
  </si>
  <si>
    <r>
      <rPr>
        <sz val="8"/>
        <rFont val="Arial MT"/>
        <family val="2"/>
      </rPr>
      <t>NEERAJ KUMAR</t>
    </r>
  </si>
  <si>
    <r>
      <rPr>
        <sz val="8"/>
        <rFont val="Arial MT"/>
        <family val="2"/>
      </rPr>
      <t>MANOJ KUMAR SONI</t>
    </r>
  </si>
  <si>
    <r>
      <rPr>
        <b/>
        <sz val="7"/>
        <rFont val="Times New Roman"/>
        <family val="1"/>
      </rPr>
      <t>31920              0           44080             0            76000            3830       233            0             0        0               0            4063         71937</t>
    </r>
  </si>
  <si>
    <r>
      <rPr>
        <sz val="10"/>
        <rFont val="Arial MT"/>
        <family val="2"/>
      </rPr>
      <t>Page 1 of 1</t>
    </r>
  </si>
  <si>
    <t>June-2024                           30.00                                                                                                  AP/HYD/59887</t>
  </si>
  <si>
    <t>PAY SHEET FOR ON ROLL EMPLOYEES</t>
  </si>
  <si>
    <t>EMP CODE
/ UAN NO</t>
  </si>
  <si>
    <t>SL</t>
  </si>
  <si>
    <t>TOTAL DEDUCTIONS</t>
  </si>
  <si>
    <t>MISC DEDUCTIONS</t>
  </si>
  <si>
    <t>MISC. INCOME</t>
  </si>
  <si>
    <t>BRANCH CODE: 
BRANCH NAME:              CBS DATE:</t>
  </si>
  <si>
    <t>BRD BARODA                               BRD                                                      01.07.20204</t>
  </si>
  <si>
    <t>DIVISION</t>
  </si>
  <si>
    <t>LOGISTICS / RELOCATION</t>
  </si>
  <si>
    <t>MAXWELL LOGISTICS PRIVATE LIMITED</t>
  </si>
  <si>
    <t>M1055</t>
  </si>
  <si>
    <t>F3</t>
  </si>
  <si>
    <t>EMP MASTER</t>
  </si>
  <si>
    <t>G3</t>
  </si>
  <si>
    <t>S3</t>
  </si>
  <si>
    <t>T3</t>
  </si>
  <si>
    <t>Y3</t>
  </si>
  <si>
    <t>W3</t>
  </si>
  <si>
    <t>X3</t>
  </si>
  <si>
    <t>AA1</t>
  </si>
  <si>
    <t>AB3</t>
  </si>
  <si>
    <t>AC3</t>
  </si>
  <si>
    <t>AD3</t>
  </si>
  <si>
    <t>AE3</t>
  </si>
  <si>
    <t>AF3</t>
  </si>
  <si>
    <t>AG3</t>
  </si>
  <si>
    <t>AI3</t>
  </si>
  <si>
    <t>AJ3</t>
  </si>
  <si>
    <t>AK3</t>
  </si>
  <si>
    <t>AL3</t>
  </si>
  <si>
    <t>LWF</t>
  </si>
  <si>
    <t>AM3</t>
  </si>
  <si>
    <t>AH3</t>
  </si>
  <si>
    <t>AP3</t>
  </si>
  <si>
    <t>AQ3</t>
  </si>
  <si>
    <t>AN3</t>
  </si>
  <si>
    <t>AR3</t>
  </si>
  <si>
    <t>LOAN MASTER</t>
  </si>
  <si>
    <t>LEAVE MASTER</t>
  </si>
  <si>
    <t>TOTAL</t>
  </si>
  <si>
    <t>BRANCH CODE: 
BRANCH NAME:                  CBS DATE:</t>
  </si>
  <si>
    <t>ISO CERTIFICATE NUMBER AS PER FORMATT</t>
  </si>
  <si>
    <t>U3</t>
  </si>
  <si>
    <t>ML</t>
  </si>
  <si>
    <t>Z3</t>
  </si>
  <si>
    <t>AS3</t>
  </si>
  <si>
    <t>June-2024                           R3                                                                                                  AP/HYD/59887</t>
  </si>
  <si>
    <t>ACTULA SHEET</t>
  </si>
  <si>
    <t xml:space="preserve">FOR SFOTWARED DEVLOPMENT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</si>
</sst>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4">
    <font>
      <sz val="10"/>
      <color rgb="FF000000"/>
      <name val="Times New Roman"/>
      <charset val="204"/>
    </font>
    <font>
      <sz val="10"/>
      <name val="Times New Roman"/>
    </font>
    <font>
      <sz val="10"/>
      <name val="Arial MT"/>
    </font>
    <font>
      <sz val="8"/>
      <name val="Arial MT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sz val="7"/>
      <color rgb="FF000000"/>
      <name val="Arial MT"/>
      <family val="2"/>
    </font>
    <font>
      <b/>
      <sz val="7"/>
      <name val="Times New Roman"/>
    </font>
    <font>
      <sz val="10"/>
      <name val="Times New Roman"/>
      <family val="1"/>
    </font>
    <font>
      <sz val="10"/>
      <name val="Arial MT"/>
      <family val="2"/>
    </font>
    <font>
      <sz val="8"/>
      <name val="Arial MT"/>
      <family val="2"/>
    </font>
    <font>
      <b/>
      <sz val="7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2" fontId="4" fillId="0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 indent="68"/>
    </xf>
    <xf numFmtId="1" fontId="0" fillId="0" borderId="0" xfId="0" applyNumberForma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164" fontId="0" fillId="0" borderId="1" xfId="0" applyNumberForma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2" fontId="4" fillId="2" borderId="1" xfId="0" applyNumberFormat="1" applyFont="1" applyFill="1" applyBorder="1" applyAlignment="1">
      <alignment horizontal="left" vertical="top" shrinkToFi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2" fontId="6" fillId="2" borderId="1" xfId="0" applyNumberFormat="1" applyFont="1" applyFill="1" applyBorder="1" applyAlignment="1">
      <alignment horizontal="left" vertical="top" wrapText="1" shrinkToFit="1"/>
    </xf>
    <xf numFmtId="0" fontId="3" fillId="2" borderId="1" xfId="0" applyFont="1" applyFill="1" applyBorder="1" applyAlignment="1">
      <alignment horizontal="left" vertical="top" wrapText="1"/>
    </xf>
    <xf numFmtId="1" fontId="4" fillId="2" borderId="1" xfId="0" applyNumberFormat="1" applyFont="1" applyFill="1" applyBorder="1" applyAlignment="1">
      <alignment horizontal="right" vertical="top" shrinkToFit="1"/>
    </xf>
    <xf numFmtId="1" fontId="13" fillId="2" borderId="1" xfId="0" applyNumberFormat="1" applyFont="1" applyFill="1" applyBorder="1" applyAlignment="1">
      <alignment horizontal="left" vertical="top" indent="1" shrinkToFit="1"/>
    </xf>
    <xf numFmtId="1" fontId="4" fillId="2" borderId="6" xfId="0" applyNumberFormat="1" applyFont="1" applyFill="1" applyBorder="1" applyAlignment="1">
      <alignment horizontal="center" vertical="top" shrinkToFit="1"/>
    </xf>
    <xf numFmtId="1" fontId="4" fillId="2" borderId="7" xfId="0" applyNumberFormat="1" applyFont="1" applyFill="1" applyBorder="1" applyAlignment="1">
      <alignment horizontal="center" vertical="top" shrinkToFit="1"/>
    </xf>
    <xf numFmtId="1" fontId="4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left" vertical="top" indent="1" shrinkToFit="1"/>
    </xf>
    <xf numFmtId="1" fontId="6" fillId="2" borderId="1" xfId="0" applyNumberFormat="1" applyFont="1" applyFill="1" applyBorder="1" applyAlignment="1">
      <alignment horizontal="right" vertical="top" wrapText="1" shrinkToFi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2" fontId="4" fillId="2" borderId="1" xfId="0" applyNumberFormat="1" applyFont="1" applyFill="1" applyBorder="1" applyAlignment="1">
      <alignment horizontal="left" vertical="top" shrinkToFit="1"/>
    </xf>
    <xf numFmtId="1" fontId="4" fillId="2" borderId="1" xfId="0" applyNumberFormat="1" applyFont="1" applyFill="1" applyBorder="1" applyAlignment="1">
      <alignment horizontal="left" vertical="top" indent="1" shrinkToFit="1"/>
    </xf>
    <xf numFmtId="2" fontId="4" fillId="2" borderId="1" xfId="0" applyNumberFormat="1" applyFont="1" applyFill="1" applyBorder="1" applyAlignment="1">
      <alignment horizontal="left" vertical="top" indent="1" shrinkToFit="1"/>
    </xf>
    <xf numFmtId="0" fontId="3" fillId="0" borderId="1" xfId="0" applyFont="1" applyFill="1" applyBorder="1" applyAlignment="1">
      <alignment horizontal="left" vertical="top" wrapText="1" indent="5"/>
    </xf>
    <xf numFmtId="0" fontId="10" fillId="0" borderId="2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10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3"/>
    </xf>
    <xf numFmtId="0" fontId="10" fillId="0" borderId="1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2" fontId="6" fillId="0" borderId="1" xfId="0" applyNumberFormat="1" applyFont="1" applyFill="1" applyBorder="1" applyAlignment="1">
      <alignment horizontal="lef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0" fontId="12" fillId="0" borderId="10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top"/>
    </xf>
    <xf numFmtId="0" fontId="0" fillId="0" borderId="13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indent="1" shrinkToFit="1"/>
    </xf>
    <xf numFmtId="1" fontId="4" fillId="0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Fill="1" applyBorder="1" applyAlignment="1">
      <alignment horizontal="left" vertical="top" indent="1" shrinkToFit="1"/>
    </xf>
    <xf numFmtId="1" fontId="6" fillId="0" borderId="1" xfId="0" applyNumberFormat="1" applyFont="1" applyFill="1" applyBorder="1" applyAlignment="1">
      <alignment horizontal="right" vertical="top" shrinkToFit="1"/>
    </xf>
    <xf numFmtId="2" fontId="6" fillId="0" borderId="1" xfId="0" applyNumberFormat="1" applyFont="1" applyFill="1" applyBorder="1" applyAlignment="1">
      <alignment horizontal="left" vertical="top" indent="1" shrinkToFit="1"/>
    </xf>
    <xf numFmtId="2" fontId="4" fillId="0" borderId="1" xfId="0" applyNumberFormat="1" applyFont="1" applyFill="1" applyBorder="1" applyAlignment="1">
      <alignment horizontal="left" vertical="top" shrinkToFit="1"/>
    </xf>
    <xf numFmtId="2" fontId="4" fillId="0" borderId="1" xfId="0" applyNumberFormat="1" applyFont="1" applyFill="1" applyBorder="1" applyAlignment="1">
      <alignment horizontal="left" vertical="top" indent="1" shrinkToFit="1"/>
    </xf>
    <xf numFmtId="1" fontId="4" fillId="0" borderId="6" xfId="0" applyNumberFormat="1" applyFont="1" applyFill="1" applyBorder="1" applyAlignment="1">
      <alignment horizontal="center" vertical="top" shrinkToFit="1"/>
    </xf>
    <xf numFmtId="1" fontId="4" fillId="0" borderId="7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0" fillId="0" borderId="9" xfId="0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114300</xdr:rowOff>
    </xdr:from>
    <xdr:ext cx="1674875" cy="408431"/>
    <xdr:pic>
      <xdr:nvPicPr>
        <xdr:cNvPr id="3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419100"/>
          <a:ext cx="1674875" cy="408431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114300</xdr:rowOff>
    </xdr:from>
    <xdr:ext cx="1674875" cy="408431"/>
    <xdr:pic>
      <xdr:nvPicPr>
        <xdr:cNvPr id="4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419100"/>
          <a:ext cx="1674875" cy="4084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topLeftCell="A3" workbookViewId="0">
      <selection activeCell="AI23" sqref="AI23"/>
    </sheetView>
  </sheetViews>
  <sheetFormatPr defaultRowHeight="12.75"/>
  <cols>
    <col min="1" max="1" width="13.6640625" customWidth="1"/>
    <col min="2" max="2" width="20" customWidth="1"/>
    <col min="3" max="3" width="8.6640625" customWidth="1"/>
    <col min="4" max="4" width="6.1640625" customWidth="1"/>
    <col min="5" max="5" width="5.6640625" customWidth="1"/>
    <col min="6" max="6" width="6.6640625" customWidth="1"/>
    <col min="7" max="7" width="6" customWidth="1"/>
    <col min="8" max="10" width="5.83203125" customWidth="1"/>
    <col min="11" max="11" width="6" customWidth="1"/>
    <col min="12" max="12" width="5.83203125" customWidth="1"/>
    <col min="13" max="13" width="7.5" customWidth="1"/>
    <col min="14" max="14" width="7.83203125" customWidth="1"/>
    <col min="15" max="15" width="6.5" customWidth="1"/>
    <col min="16" max="16" width="8.5" customWidth="1"/>
    <col min="17" max="17" width="8.1640625" customWidth="1"/>
    <col min="18" max="18" width="8" customWidth="1"/>
    <col min="19" max="19" width="8.5" customWidth="1"/>
    <col min="20" max="20" width="8" customWidth="1"/>
    <col min="21" max="21" width="5.33203125" customWidth="1"/>
    <col min="22" max="22" width="3.33203125" customWidth="1"/>
    <col min="23" max="23" width="2" customWidth="1"/>
    <col min="24" max="24" width="6.5" customWidth="1"/>
    <col min="25" max="26" width="5.1640625" customWidth="1"/>
    <col min="27" max="27" width="6.33203125" bestFit="1" customWidth="1"/>
    <col min="28" max="28" width="7.33203125" customWidth="1"/>
    <col min="29" max="29" width="7.5" customWidth="1"/>
    <col min="30" max="30" width="6.5" customWidth="1"/>
    <col min="31" max="31" width="5.83203125" customWidth="1"/>
    <col min="32" max="32" width="5.1640625" customWidth="1"/>
    <col min="33" max="33" width="5.6640625" customWidth="1"/>
  </cols>
  <sheetData>
    <row r="1" spans="1:35" ht="24.2" customHeight="1">
      <c r="A1" s="56" t="s">
        <v>43</v>
      </c>
      <c r="B1" s="56"/>
      <c r="C1" s="56" t="s">
        <v>44</v>
      </c>
      <c r="D1" s="56"/>
      <c r="E1" s="56"/>
      <c r="F1" s="56"/>
      <c r="G1" s="57" t="s">
        <v>35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61" t="s">
        <v>0</v>
      </c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spans="1:35" ht="58.5" customHeight="1">
      <c r="A2" s="34" t="s">
        <v>1</v>
      </c>
      <c r="B2" s="34"/>
      <c r="C2" s="62" t="s">
        <v>34</v>
      </c>
      <c r="D2" s="63"/>
      <c r="E2" s="63"/>
      <c r="F2" s="63"/>
      <c r="G2" s="53" t="s">
        <v>45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62" t="s">
        <v>41</v>
      </c>
      <c r="X2" s="34"/>
      <c r="Y2" s="34"/>
      <c r="Z2" s="34"/>
      <c r="AA2" s="34"/>
      <c r="AB2" s="34"/>
      <c r="AC2" s="63"/>
      <c r="AD2" s="63"/>
      <c r="AE2" s="63"/>
      <c r="AF2" s="63"/>
      <c r="AG2" s="63"/>
    </row>
    <row r="3" spans="1:35" ht="17.45" customHeight="1">
      <c r="A3" s="45" t="s">
        <v>36</v>
      </c>
      <c r="B3" s="32" t="s">
        <v>2</v>
      </c>
      <c r="C3" s="32"/>
      <c r="D3" s="43" t="s">
        <v>3</v>
      </c>
      <c r="E3" s="31" t="s">
        <v>4</v>
      </c>
      <c r="F3" s="32" t="s">
        <v>5</v>
      </c>
      <c r="G3" s="32" t="s">
        <v>6</v>
      </c>
      <c r="H3" s="32"/>
      <c r="I3" s="32"/>
      <c r="J3" s="1"/>
      <c r="K3" s="32" t="s">
        <v>7</v>
      </c>
      <c r="L3" s="43" t="s">
        <v>8</v>
      </c>
      <c r="M3" s="43" t="s">
        <v>9</v>
      </c>
      <c r="N3" s="43"/>
      <c r="O3" s="43"/>
      <c r="P3" s="39" t="s">
        <v>10</v>
      </c>
      <c r="Q3" s="39"/>
      <c r="R3" s="39"/>
      <c r="S3" s="31" t="s">
        <v>11</v>
      </c>
      <c r="T3" s="39" t="s">
        <v>12</v>
      </c>
      <c r="U3" s="39"/>
      <c r="V3" s="39"/>
      <c r="W3" s="39"/>
      <c r="X3" s="39"/>
      <c r="Y3" s="39"/>
      <c r="Z3" s="39"/>
      <c r="AA3" s="39"/>
      <c r="AB3" s="40" t="s">
        <v>38</v>
      </c>
      <c r="AC3" s="43" t="s">
        <v>13</v>
      </c>
      <c r="AD3" s="43" t="s">
        <v>14</v>
      </c>
      <c r="AE3" s="43"/>
      <c r="AF3" s="43"/>
      <c r="AG3" s="43"/>
    </row>
    <row r="4" spans="1:35" ht="3.2" customHeight="1">
      <c r="A4" s="50"/>
      <c r="B4" s="32"/>
      <c r="C4" s="32"/>
      <c r="D4" s="43"/>
      <c r="E4" s="31"/>
      <c r="F4" s="32"/>
      <c r="G4" s="31" t="s">
        <v>16</v>
      </c>
      <c r="H4" s="31" t="s">
        <v>17</v>
      </c>
      <c r="I4" s="31" t="s">
        <v>15</v>
      </c>
      <c r="J4" s="2"/>
      <c r="K4" s="32"/>
      <c r="L4" s="43"/>
      <c r="M4" s="31" t="s">
        <v>18</v>
      </c>
      <c r="N4" s="44" t="s">
        <v>19</v>
      </c>
      <c r="O4" s="32" t="s">
        <v>20</v>
      </c>
      <c r="P4" s="31" t="s">
        <v>18</v>
      </c>
      <c r="Q4" s="44" t="s">
        <v>19</v>
      </c>
      <c r="R4" s="45" t="s">
        <v>40</v>
      </c>
      <c r="S4" s="31"/>
      <c r="T4" s="46" t="s">
        <v>21</v>
      </c>
      <c r="U4" s="31" t="s">
        <v>22</v>
      </c>
      <c r="V4" s="31" t="s">
        <v>23</v>
      </c>
      <c r="W4" s="31"/>
      <c r="X4" s="31" t="s">
        <v>24</v>
      </c>
      <c r="Y4" s="32" t="s">
        <v>25</v>
      </c>
      <c r="Z4" s="48" t="s">
        <v>39</v>
      </c>
      <c r="AA4" s="32" t="s">
        <v>26</v>
      </c>
      <c r="AB4" s="41"/>
      <c r="AC4" s="43"/>
      <c r="AD4" s="31" t="s">
        <v>27</v>
      </c>
      <c r="AE4" s="31" t="s">
        <v>16</v>
      </c>
      <c r="AF4" s="32" t="s">
        <v>17</v>
      </c>
      <c r="AG4" s="33" t="s">
        <v>37</v>
      </c>
    </row>
    <row r="5" spans="1:35" ht="51.2" customHeight="1">
      <c r="A5" s="50"/>
      <c r="B5" s="32"/>
      <c r="C5" s="32"/>
      <c r="D5" s="43"/>
      <c r="E5" s="31"/>
      <c r="F5" s="32"/>
      <c r="G5" s="31"/>
      <c r="H5" s="31"/>
      <c r="I5" s="31"/>
      <c r="J5" s="2"/>
      <c r="K5" s="32"/>
      <c r="L5" s="43"/>
      <c r="M5" s="31"/>
      <c r="N5" s="44"/>
      <c r="O5" s="32"/>
      <c r="P5" s="31"/>
      <c r="Q5" s="44"/>
      <c r="R5" s="31"/>
      <c r="S5" s="31"/>
      <c r="T5" s="46"/>
      <c r="U5" s="31"/>
      <c r="V5" s="31"/>
      <c r="W5" s="31"/>
      <c r="X5" s="31"/>
      <c r="Y5" s="32"/>
      <c r="Z5" s="49"/>
      <c r="AA5" s="32"/>
      <c r="AB5" s="42"/>
      <c r="AC5" s="43"/>
      <c r="AD5" s="31"/>
      <c r="AE5" s="31"/>
      <c r="AF5" s="32"/>
      <c r="AG5" s="34"/>
    </row>
    <row r="6" spans="1:35" ht="14.1" customHeight="1">
      <c r="A6" s="11" t="s">
        <v>29</v>
      </c>
      <c r="B6" s="32" t="s">
        <v>30</v>
      </c>
      <c r="C6" s="32"/>
      <c r="D6" s="69">
        <v>25</v>
      </c>
      <c r="E6" s="64">
        <v>5</v>
      </c>
      <c r="F6" s="69">
        <v>0</v>
      </c>
      <c r="G6" s="70">
        <v>0</v>
      </c>
      <c r="H6" s="69">
        <v>0</v>
      </c>
      <c r="I6" s="69">
        <v>0</v>
      </c>
      <c r="J6" s="3"/>
      <c r="K6" s="69">
        <v>0</v>
      </c>
      <c r="L6" s="69">
        <v>30</v>
      </c>
      <c r="M6" s="65">
        <v>6300</v>
      </c>
      <c r="N6" s="65">
        <v>8700</v>
      </c>
      <c r="O6" s="52">
        <v>0</v>
      </c>
      <c r="P6" s="65">
        <v>6300</v>
      </c>
      <c r="Q6" s="65">
        <v>8700</v>
      </c>
      <c r="R6" s="52">
        <v>0</v>
      </c>
      <c r="S6" s="65">
        <v>15000</v>
      </c>
      <c r="T6" s="65">
        <v>756</v>
      </c>
      <c r="U6" s="64">
        <v>113</v>
      </c>
      <c r="V6" s="52">
        <v>0</v>
      </c>
      <c r="W6" s="52"/>
      <c r="X6" s="52">
        <v>0</v>
      </c>
      <c r="Y6" s="64">
        <v>0</v>
      </c>
      <c r="Z6" s="71"/>
      <c r="AA6" s="52">
        <v>0</v>
      </c>
      <c r="AB6" s="65">
        <v>869</v>
      </c>
      <c r="AC6" s="66">
        <v>14131</v>
      </c>
      <c r="AD6" s="67">
        <v>0</v>
      </c>
      <c r="AE6" s="68">
        <v>6</v>
      </c>
      <c r="AF6" s="51">
        <v>1.5</v>
      </c>
      <c r="AG6" s="68">
        <v>1.5</v>
      </c>
    </row>
    <row r="7" spans="1:35" ht="30.75" customHeight="1">
      <c r="A7" s="12">
        <v>221100354678</v>
      </c>
      <c r="B7" s="32" t="s">
        <v>28</v>
      </c>
      <c r="C7" s="32"/>
      <c r="D7" s="69"/>
      <c r="E7" s="64"/>
      <c r="F7" s="69"/>
      <c r="G7" s="70"/>
      <c r="H7" s="69"/>
      <c r="I7" s="69"/>
      <c r="J7" s="3"/>
      <c r="K7" s="69"/>
      <c r="L7" s="69"/>
      <c r="M7" s="65"/>
      <c r="N7" s="65"/>
      <c r="O7" s="52"/>
      <c r="P7" s="65"/>
      <c r="Q7" s="65"/>
      <c r="R7" s="52"/>
      <c r="S7" s="65"/>
      <c r="T7" s="65"/>
      <c r="U7" s="64"/>
      <c r="V7" s="52"/>
      <c r="W7" s="52"/>
      <c r="X7" s="52"/>
      <c r="Y7" s="64"/>
      <c r="Z7" s="72"/>
      <c r="AA7" s="52"/>
      <c r="AB7" s="65"/>
      <c r="AC7" s="66"/>
      <c r="AD7" s="67"/>
      <c r="AE7" s="68"/>
      <c r="AF7" s="51"/>
      <c r="AG7" s="68"/>
      <c r="AI7" t="s">
        <v>83</v>
      </c>
    </row>
    <row r="8" spans="1:35" ht="14.1" customHeight="1">
      <c r="A8" s="14" t="s">
        <v>46</v>
      </c>
      <c r="B8" s="32" t="s">
        <v>31</v>
      </c>
      <c r="C8" s="32"/>
      <c r="D8" s="69">
        <v>25</v>
      </c>
      <c r="E8" s="64">
        <v>5</v>
      </c>
      <c r="F8" s="69">
        <v>0</v>
      </c>
      <c r="G8" s="70">
        <v>0</v>
      </c>
      <c r="H8" s="69">
        <v>0</v>
      </c>
      <c r="I8" s="69">
        <v>0</v>
      </c>
      <c r="J8" s="3"/>
      <c r="K8" s="69">
        <v>0</v>
      </c>
      <c r="L8" s="69">
        <v>30</v>
      </c>
      <c r="M8" s="64">
        <v>18900</v>
      </c>
      <c r="N8" s="64">
        <v>26100</v>
      </c>
      <c r="O8" s="52">
        <v>0</v>
      </c>
      <c r="P8" s="64">
        <v>18900</v>
      </c>
      <c r="Q8" s="64">
        <v>26100</v>
      </c>
      <c r="R8" s="52">
        <v>0</v>
      </c>
      <c r="S8" s="65">
        <v>45000</v>
      </c>
      <c r="T8" s="65">
        <v>2268</v>
      </c>
      <c r="U8" s="52">
        <v>0</v>
      </c>
      <c r="V8" s="52">
        <v>0</v>
      </c>
      <c r="W8" s="52"/>
      <c r="X8" s="52">
        <v>0</v>
      </c>
      <c r="Y8" s="64">
        <v>0</v>
      </c>
      <c r="Z8" s="71"/>
      <c r="AA8" s="52">
        <v>0</v>
      </c>
      <c r="AB8" s="65">
        <v>2268</v>
      </c>
      <c r="AC8" s="66">
        <v>42732</v>
      </c>
      <c r="AD8" s="67">
        <v>0</v>
      </c>
      <c r="AE8" s="68">
        <v>2.5</v>
      </c>
      <c r="AF8" s="51">
        <v>1.5</v>
      </c>
      <c r="AG8" s="68">
        <v>1.5</v>
      </c>
    </row>
    <row r="9" spans="1:35" ht="30.75" customHeight="1">
      <c r="A9" s="12">
        <v>221100354678</v>
      </c>
      <c r="B9" s="32" t="s">
        <v>28</v>
      </c>
      <c r="C9" s="32"/>
      <c r="D9" s="69"/>
      <c r="E9" s="64"/>
      <c r="F9" s="69"/>
      <c r="G9" s="70"/>
      <c r="H9" s="69"/>
      <c r="I9" s="69"/>
      <c r="J9" s="3"/>
      <c r="K9" s="69"/>
      <c r="L9" s="69"/>
      <c r="M9" s="64"/>
      <c r="N9" s="64"/>
      <c r="O9" s="52"/>
      <c r="P9" s="64"/>
      <c r="Q9" s="64"/>
      <c r="R9" s="52"/>
      <c r="S9" s="65"/>
      <c r="T9" s="65"/>
      <c r="U9" s="52"/>
      <c r="V9" s="52"/>
      <c r="W9" s="52"/>
      <c r="X9" s="52"/>
      <c r="Y9" s="64"/>
      <c r="Z9" s="72"/>
      <c r="AA9" s="52"/>
      <c r="AB9" s="65"/>
      <c r="AC9" s="66"/>
      <c r="AD9" s="67"/>
      <c r="AE9" s="68"/>
      <c r="AF9" s="51"/>
      <c r="AG9" s="68"/>
    </row>
    <row r="10" spans="1:35" ht="14.1" customHeight="1">
      <c r="A10" s="14"/>
      <c r="B10" s="32"/>
      <c r="C10" s="32"/>
      <c r="D10" s="69"/>
      <c r="E10" s="64"/>
      <c r="F10" s="69"/>
      <c r="G10" s="70"/>
      <c r="H10" s="69"/>
      <c r="I10" s="69"/>
      <c r="J10" s="3"/>
      <c r="K10" s="69"/>
      <c r="L10" s="69"/>
      <c r="M10" s="65"/>
      <c r="N10" s="65"/>
      <c r="O10" s="52"/>
      <c r="P10" s="65"/>
      <c r="Q10" s="65"/>
      <c r="R10" s="52"/>
      <c r="S10" s="65"/>
      <c r="T10" s="65"/>
      <c r="U10" s="64"/>
      <c r="V10" s="52"/>
      <c r="W10" s="52"/>
      <c r="X10" s="52"/>
      <c r="Y10" s="64"/>
      <c r="Z10" s="71"/>
      <c r="AA10" s="52"/>
      <c r="AB10" s="65"/>
      <c r="AC10" s="66"/>
      <c r="AD10" s="67"/>
      <c r="AE10" s="68"/>
      <c r="AF10" s="51"/>
      <c r="AG10" s="68"/>
    </row>
    <row r="11" spans="1:35" ht="32.25" customHeight="1">
      <c r="A11" s="12"/>
      <c r="B11" s="32"/>
      <c r="C11" s="32"/>
      <c r="D11" s="69"/>
      <c r="E11" s="64"/>
      <c r="F11" s="69"/>
      <c r="G11" s="70"/>
      <c r="H11" s="69"/>
      <c r="I11" s="69"/>
      <c r="J11" s="3"/>
      <c r="K11" s="69"/>
      <c r="L11" s="69"/>
      <c r="M11" s="65"/>
      <c r="N11" s="65"/>
      <c r="O11" s="52"/>
      <c r="P11" s="65"/>
      <c r="Q11" s="65"/>
      <c r="R11" s="52"/>
      <c r="S11" s="65"/>
      <c r="T11" s="65"/>
      <c r="U11" s="64"/>
      <c r="V11" s="52"/>
      <c r="W11" s="52"/>
      <c r="X11" s="52"/>
      <c r="Y11" s="64"/>
      <c r="Z11" s="72"/>
      <c r="AA11" s="52"/>
      <c r="AB11" s="65"/>
      <c r="AC11" s="66"/>
      <c r="AD11" s="67"/>
      <c r="AE11" s="68"/>
      <c r="AF11" s="51"/>
      <c r="AG11" s="68"/>
    </row>
    <row r="12" spans="1:35">
      <c r="P12" s="9">
        <f>SUM(P6:P11)</f>
        <v>25200</v>
      </c>
      <c r="Q12" s="9">
        <f t="shared" ref="Q12:AC12" si="0">SUM(Q6:Q11)</f>
        <v>34800</v>
      </c>
      <c r="R12" s="9">
        <f t="shared" si="0"/>
        <v>0</v>
      </c>
      <c r="S12" s="9">
        <f t="shared" si="0"/>
        <v>60000</v>
      </c>
      <c r="T12" s="9">
        <f t="shared" si="0"/>
        <v>3024</v>
      </c>
      <c r="U12" s="9">
        <f t="shared" si="0"/>
        <v>113</v>
      </c>
      <c r="V12" s="9">
        <f t="shared" si="0"/>
        <v>0</v>
      </c>
      <c r="W12" s="9">
        <f t="shared" si="0"/>
        <v>0</v>
      </c>
      <c r="X12" s="9">
        <f t="shared" si="0"/>
        <v>0</v>
      </c>
      <c r="Y12" s="9">
        <f t="shared" si="0"/>
        <v>0</v>
      </c>
      <c r="Z12" s="9"/>
      <c r="AA12" s="9">
        <f t="shared" si="0"/>
        <v>0</v>
      </c>
      <c r="AB12" s="9">
        <f t="shared" si="0"/>
        <v>3137</v>
      </c>
      <c r="AC12" s="9">
        <f t="shared" si="0"/>
        <v>56863</v>
      </c>
    </row>
    <row r="18" spans="1:35" ht="24.2" customHeight="1">
      <c r="A18" s="56" t="s">
        <v>43</v>
      </c>
      <c r="B18" s="56"/>
      <c r="C18" s="56" t="s">
        <v>44</v>
      </c>
      <c r="D18" s="56"/>
      <c r="E18" s="56"/>
      <c r="F18" s="56"/>
      <c r="G18" s="57" t="s">
        <v>35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9"/>
      <c r="W18" s="60" t="s">
        <v>77</v>
      </c>
      <c r="X18" s="61"/>
      <c r="Y18" s="61"/>
      <c r="Z18" s="61"/>
      <c r="AA18" s="61"/>
      <c r="AB18" s="61"/>
      <c r="AC18" s="61"/>
      <c r="AD18" s="61"/>
      <c r="AE18" s="61"/>
      <c r="AF18" s="61"/>
      <c r="AG18" s="61"/>
    </row>
    <row r="19" spans="1:35" ht="58.5" customHeight="1">
      <c r="A19" s="34" t="s">
        <v>1</v>
      </c>
      <c r="B19" s="34"/>
      <c r="C19" s="62" t="s">
        <v>82</v>
      </c>
      <c r="D19" s="63"/>
      <c r="E19" s="63"/>
      <c r="F19" s="63"/>
      <c r="G19" s="53" t="s">
        <v>45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5"/>
      <c r="W19" s="62" t="s">
        <v>76</v>
      </c>
      <c r="X19" s="34"/>
      <c r="Y19" s="34"/>
      <c r="Z19" s="34"/>
      <c r="AA19" s="34"/>
      <c r="AB19" s="34"/>
      <c r="AC19" s="63"/>
      <c r="AD19" s="63"/>
      <c r="AE19" s="63"/>
      <c r="AF19" s="63"/>
      <c r="AG19" s="63"/>
    </row>
    <row r="20" spans="1:35" ht="17.45" customHeight="1">
      <c r="A20" s="45" t="s">
        <v>36</v>
      </c>
      <c r="B20" s="32" t="s">
        <v>2</v>
      </c>
      <c r="C20" s="32"/>
      <c r="D20" s="43" t="s">
        <v>3</v>
      </c>
      <c r="E20" s="31" t="s">
        <v>4</v>
      </c>
      <c r="F20" s="32" t="s">
        <v>5</v>
      </c>
      <c r="G20" s="19" t="s">
        <v>6</v>
      </c>
      <c r="H20" s="20"/>
      <c r="I20" s="20"/>
      <c r="J20" s="21"/>
      <c r="K20" s="32" t="s">
        <v>7</v>
      </c>
      <c r="L20" s="43" t="s">
        <v>8</v>
      </c>
      <c r="M20" s="43" t="s">
        <v>9</v>
      </c>
      <c r="N20" s="43"/>
      <c r="O20" s="43"/>
      <c r="P20" s="39" t="s">
        <v>10</v>
      </c>
      <c r="Q20" s="39"/>
      <c r="R20" s="39"/>
      <c r="S20" s="31" t="s">
        <v>11</v>
      </c>
      <c r="T20" s="39" t="s">
        <v>12</v>
      </c>
      <c r="U20" s="39"/>
      <c r="V20" s="39"/>
      <c r="W20" s="39"/>
      <c r="X20" s="39"/>
      <c r="Y20" s="39"/>
      <c r="Z20" s="39"/>
      <c r="AA20" s="39"/>
      <c r="AB20" s="40" t="s">
        <v>38</v>
      </c>
      <c r="AC20" s="43" t="s">
        <v>13</v>
      </c>
      <c r="AD20" s="43" t="s">
        <v>14</v>
      </c>
      <c r="AE20" s="43"/>
      <c r="AF20" s="43"/>
      <c r="AG20" s="43"/>
    </row>
    <row r="21" spans="1:35" ht="3.2" customHeight="1">
      <c r="A21" s="50"/>
      <c r="B21" s="32"/>
      <c r="C21" s="32"/>
      <c r="D21" s="43"/>
      <c r="E21" s="31"/>
      <c r="F21" s="32"/>
      <c r="G21" s="31" t="s">
        <v>16</v>
      </c>
      <c r="H21" s="31" t="s">
        <v>17</v>
      </c>
      <c r="I21" s="31" t="s">
        <v>15</v>
      </c>
      <c r="J21" s="2"/>
      <c r="K21" s="32"/>
      <c r="L21" s="43"/>
      <c r="M21" s="31" t="s">
        <v>18</v>
      </c>
      <c r="N21" s="44" t="s">
        <v>19</v>
      </c>
      <c r="O21" s="32" t="s">
        <v>20</v>
      </c>
      <c r="P21" s="31" t="s">
        <v>18</v>
      </c>
      <c r="Q21" s="44" t="s">
        <v>19</v>
      </c>
      <c r="R21" s="45" t="s">
        <v>40</v>
      </c>
      <c r="S21" s="31"/>
      <c r="T21" s="46" t="s">
        <v>21</v>
      </c>
      <c r="U21" s="31" t="s">
        <v>22</v>
      </c>
      <c r="V21" s="31" t="s">
        <v>23</v>
      </c>
      <c r="W21" s="31"/>
      <c r="X21" s="31" t="s">
        <v>24</v>
      </c>
      <c r="Y21" s="47" t="s">
        <v>66</v>
      </c>
      <c r="Z21" s="48" t="s">
        <v>39</v>
      </c>
      <c r="AA21" s="32" t="s">
        <v>26</v>
      </c>
      <c r="AB21" s="41"/>
      <c r="AC21" s="43"/>
      <c r="AD21" s="31" t="s">
        <v>27</v>
      </c>
      <c r="AE21" s="31" t="s">
        <v>16</v>
      </c>
      <c r="AF21" s="32" t="s">
        <v>17</v>
      </c>
      <c r="AG21" s="33" t="s">
        <v>37</v>
      </c>
    </row>
    <row r="22" spans="1:35" ht="51.2" customHeight="1">
      <c r="A22" s="50"/>
      <c r="B22" s="32"/>
      <c r="C22" s="32"/>
      <c r="D22" s="43"/>
      <c r="E22" s="31"/>
      <c r="F22" s="32"/>
      <c r="G22" s="31"/>
      <c r="H22" s="31"/>
      <c r="I22" s="31"/>
      <c r="J22" s="2" t="s">
        <v>79</v>
      </c>
      <c r="K22" s="32"/>
      <c r="L22" s="43"/>
      <c r="M22" s="31"/>
      <c r="N22" s="44"/>
      <c r="O22" s="32"/>
      <c r="P22" s="31"/>
      <c r="Q22" s="44"/>
      <c r="R22" s="31"/>
      <c r="S22" s="31"/>
      <c r="T22" s="46"/>
      <c r="U22" s="31"/>
      <c r="V22" s="31"/>
      <c r="W22" s="31"/>
      <c r="X22" s="31"/>
      <c r="Y22" s="32"/>
      <c r="Z22" s="49"/>
      <c r="AA22" s="32"/>
      <c r="AB22" s="42"/>
      <c r="AC22" s="43"/>
      <c r="AD22" s="31"/>
      <c r="AE22" s="31"/>
      <c r="AF22" s="32"/>
      <c r="AG22" s="34"/>
      <c r="AI22" t="s">
        <v>84</v>
      </c>
    </row>
    <row r="23" spans="1:35" ht="30" customHeight="1">
      <c r="A23" s="16" t="s">
        <v>47</v>
      </c>
      <c r="B23" s="35" t="s">
        <v>49</v>
      </c>
      <c r="C23" s="23"/>
      <c r="D23" s="36" t="s">
        <v>50</v>
      </c>
      <c r="E23" s="37" t="s">
        <v>51</v>
      </c>
      <c r="F23" s="36" t="s">
        <v>78</v>
      </c>
      <c r="G23" s="38" t="s">
        <v>52</v>
      </c>
      <c r="H23" s="36" t="s">
        <v>53</v>
      </c>
      <c r="I23" s="36" t="s">
        <v>54</v>
      </c>
      <c r="J23" s="18" t="s">
        <v>80</v>
      </c>
      <c r="K23" s="36" t="s">
        <v>55</v>
      </c>
      <c r="L23" s="36" t="s">
        <v>56</v>
      </c>
      <c r="M23" s="28" t="s">
        <v>57</v>
      </c>
      <c r="N23" s="28" t="s">
        <v>58</v>
      </c>
      <c r="O23" s="24" t="s">
        <v>59</v>
      </c>
      <c r="P23" s="28" t="s">
        <v>60</v>
      </c>
      <c r="Q23" s="28" t="s">
        <v>61</v>
      </c>
      <c r="R23" s="24" t="s">
        <v>68</v>
      </c>
      <c r="S23" s="28" t="s">
        <v>62</v>
      </c>
      <c r="T23" s="28" t="s">
        <v>63</v>
      </c>
      <c r="U23" s="37" t="s">
        <v>64</v>
      </c>
      <c r="V23" s="24" t="s">
        <v>65</v>
      </c>
      <c r="W23" s="24"/>
      <c r="X23" s="24" t="s">
        <v>69</v>
      </c>
      <c r="Y23" s="25" t="s">
        <v>67</v>
      </c>
      <c r="Z23" s="26" t="s">
        <v>70</v>
      </c>
      <c r="AA23" s="24" t="s">
        <v>71</v>
      </c>
      <c r="AB23" s="28" t="s">
        <v>72</v>
      </c>
      <c r="AC23" s="29" t="s">
        <v>81</v>
      </c>
      <c r="AD23" s="30" t="s">
        <v>73</v>
      </c>
      <c r="AE23" s="22" t="s">
        <v>74</v>
      </c>
      <c r="AF23" s="22" t="s">
        <v>74</v>
      </c>
      <c r="AG23" s="22" t="s">
        <v>74</v>
      </c>
    </row>
    <row r="24" spans="1:35" ht="37.5" customHeight="1">
      <c r="A24" s="17" t="s">
        <v>48</v>
      </c>
      <c r="B24" s="23" t="s">
        <v>28</v>
      </c>
      <c r="C24" s="23"/>
      <c r="D24" s="36"/>
      <c r="E24" s="37"/>
      <c r="F24" s="36"/>
      <c r="G24" s="38"/>
      <c r="H24" s="36"/>
      <c r="I24" s="36"/>
      <c r="J24" s="18"/>
      <c r="K24" s="36"/>
      <c r="L24" s="36"/>
      <c r="M24" s="28"/>
      <c r="N24" s="28"/>
      <c r="O24" s="24"/>
      <c r="P24" s="28"/>
      <c r="Q24" s="28"/>
      <c r="R24" s="24"/>
      <c r="S24" s="28"/>
      <c r="T24" s="28"/>
      <c r="U24" s="37"/>
      <c r="V24" s="24"/>
      <c r="W24" s="24"/>
      <c r="X24" s="24"/>
      <c r="Y24" s="25"/>
      <c r="Z24" s="27"/>
      <c r="AA24" s="24"/>
      <c r="AB24" s="28"/>
      <c r="AC24" s="29"/>
      <c r="AD24" s="30"/>
      <c r="AE24" s="22"/>
      <c r="AF24" s="22"/>
      <c r="AG24" s="22"/>
    </row>
    <row r="25" spans="1:35">
      <c r="A25" s="15" t="s">
        <v>75</v>
      </c>
      <c r="P25" s="9">
        <f t="shared" ref="P25:Y25" si="1">SUM(P23:P24)</f>
        <v>0</v>
      </c>
      <c r="Q25" s="9">
        <f t="shared" si="1"/>
        <v>0</v>
      </c>
      <c r="R25" s="9">
        <f t="shared" si="1"/>
        <v>0</v>
      </c>
      <c r="S25" s="9">
        <f t="shared" si="1"/>
        <v>0</v>
      </c>
      <c r="T25" s="9">
        <f t="shared" si="1"/>
        <v>0</v>
      </c>
      <c r="U25" s="9">
        <f t="shared" si="1"/>
        <v>0</v>
      </c>
      <c r="V25" s="9">
        <f t="shared" si="1"/>
        <v>0</v>
      </c>
      <c r="W25" s="9">
        <f t="shared" si="1"/>
        <v>0</v>
      </c>
      <c r="X25" s="9">
        <f t="shared" si="1"/>
        <v>0</v>
      </c>
      <c r="Y25" s="9">
        <f t="shared" si="1"/>
        <v>0</v>
      </c>
      <c r="Z25" s="9"/>
      <c r="AA25" s="9">
        <f>SUM(AA23:AA24)</f>
        <v>0</v>
      </c>
      <c r="AB25" s="9">
        <f>SUM(AB23:AB24)</f>
        <v>0</v>
      </c>
      <c r="AC25" s="9">
        <f>SUM(AC23:AC24)</f>
        <v>0</v>
      </c>
    </row>
  </sheetData>
  <mergeCells count="208">
    <mergeCell ref="AD3:AG3"/>
    <mergeCell ref="AB3:AB5"/>
    <mergeCell ref="Z10:Z11"/>
    <mergeCell ref="Z4:Z5"/>
    <mergeCell ref="A1:B1"/>
    <mergeCell ref="C1:F1"/>
    <mergeCell ref="G1:V1"/>
    <mergeCell ref="W1:AG1"/>
    <mergeCell ref="A2:B2"/>
    <mergeCell ref="C2:F2"/>
    <mergeCell ref="W2:AB2"/>
    <mergeCell ref="AC2:AG2"/>
    <mergeCell ref="A3:A5"/>
    <mergeCell ref="B3:C5"/>
    <mergeCell ref="D3:D5"/>
    <mergeCell ref="E3:E5"/>
    <mergeCell ref="F3:F5"/>
    <mergeCell ref="G3:I3"/>
    <mergeCell ref="K3:K5"/>
    <mergeCell ref="L3:L5"/>
    <mergeCell ref="M3:O3"/>
    <mergeCell ref="G4:G5"/>
    <mergeCell ref="H4:H5"/>
    <mergeCell ref="O4:O5"/>
    <mergeCell ref="P3:R3"/>
    <mergeCell ref="S3:S5"/>
    <mergeCell ref="T3:AA3"/>
    <mergeCell ref="AC3:AC5"/>
    <mergeCell ref="P4:P5"/>
    <mergeCell ref="Q4:Q5"/>
    <mergeCell ref="R4:R5"/>
    <mergeCell ref="T4:T5"/>
    <mergeCell ref="U4:U5"/>
    <mergeCell ref="V4:W5"/>
    <mergeCell ref="X4:X5"/>
    <mergeCell ref="Y4:Y5"/>
    <mergeCell ref="AA4:AA5"/>
    <mergeCell ref="AE4:AE5"/>
    <mergeCell ref="AF4:AF5"/>
    <mergeCell ref="AG4:AG5"/>
    <mergeCell ref="Z6:Z7"/>
    <mergeCell ref="Z8:Z9"/>
    <mergeCell ref="B6:C6"/>
    <mergeCell ref="D6:D7"/>
    <mergeCell ref="E6:E7"/>
    <mergeCell ref="F6:F7"/>
    <mergeCell ref="G6:G7"/>
    <mergeCell ref="H6:H7"/>
    <mergeCell ref="I6:I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I4:I5"/>
    <mergeCell ref="M4:M5"/>
    <mergeCell ref="N4:N5"/>
    <mergeCell ref="U6:U7"/>
    <mergeCell ref="V6:W7"/>
    <mergeCell ref="X6:X7"/>
    <mergeCell ref="Y6:Y7"/>
    <mergeCell ref="AA6:AA7"/>
    <mergeCell ref="AB6:AB7"/>
    <mergeCell ref="AC6:AC7"/>
    <mergeCell ref="AD6:AD7"/>
    <mergeCell ref="AD4:AD5"/>
    <mergeCell ref="AD8:AD9"/>
    <mergeCell ref="AE8:AE9"/>
    <mergeCell ref="AE6:AE7"/>
    <mergeCell ref="AF6:AF7"/>
    <mergeCell ref="AG6:AG7"/>
    <mergeCell ref="B7:C7"/>
    <mergeCell ref="B8:C8"/>
    <mergeCell ref="D8:D9"/>
    <mergeCell ref="E8:E9"/>
    <mergeCell ref="F8:F9"/>
    <mergeCell ref="G8:G9"/>
    <mergeCell ref="H8:H9"/>
    <mergeCell ref="I8:I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T6:T7"/>
    <mergeCell ref="S10:S11"/>
    <mergeCell ref="T10:T11"/>
    <mergeCell ref="U8:U9"/>
    <mergeCell ref="V8:W9"/>
    <mergeCell ref="X8:X9"/>
    <mergeCell ref="Y8:Y9"/>
    <mergeCell ref="AA8:AA9"/>
    <mergeCell ref="AB8:AB9"/>
    <mergeCell ref="AC8:AC9"/>
    <mergeCell ref="G2:V2"/>
    <mergeCell ref="A18:B18"/>
    <mergeCell ref="C18:F18"/>
    <mergeCell ref="G18:V18"/>
    <mergeCell ref="W18:AG18"/>
    <mergeCell ref="A19:B19"/>
    <mergeCell ref="C19:F19"/>
    <mergeCell ref="G19:V19"/>
    <mergeCell ref="W19:AB19"/>
    <mergeCell ref="AC19:AG19"/>
    <mergeCell ref="U10:U11"/>
    <mergeCell ref="B11:C11"/>
    <mergeCell ref="X10:X11"/>
    <mergeCell ref="Y10:Y11"/>
    <mergeCell ref="AA10:AA11"/>
    <mergeCell ref="AB10:AB11"/>
    <mergeCell ref="AC10:AC11"/>
    <mergeCell ref="AD10:AD11"/>
    <mergeCell ref="AE10:AE11"/>
    <mergeCell ref="AF8:AF9"/>
    <mergeCell ref="AG10:AG11"/>
    <mergeCell ref="AG8:AG9"/>
    <mergeCell ref="B9:C9"/>
    <mergeCell ref="B10:C10"/>
    <mergeCell ref="A20:A22"/>
    <mergeCell ref="B20:C22"/>
    <mergeCell ref="D20:D22"/>
    <mergeCell ref="E20:E22"/>
    <mergeCell ref="F20:F22"/>
    <mergeCell ref="K20:K22"/>
    <mergeCell ref="L20:L22"/>
    <mergeCell ref="M20:O20"/>
    <mergeCell ref="AF10:AF11"/>
    <mergeCell ref="V10:W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  <mergeCell ref="R10:R11"/>
    <mergeCell ref="T23:T24"/>
    <mergeCell ref="U23:U24"/>
    <mergeCell ref="P20:R20"/>
    <mergeCell ref="S20:S22"/>
    <mergeCell ref="T20:AA20"/>
    <mergeCell ref="AB20:AB22"/>
    <mergeCell ref="AC20:AC22"/>
    <mergeCell ref="AD20:AG20"/>
    <mergeCell ref="G21:G22"/>
    <mergeCell ref="H21:H22"/>
    <mergeCell ref="I21:I22"/>
    <mergeCell ref="M21:M22"/>
    <mergeCell ref="N21:N22"/>
    <mergeCell ref="O21:O22"/>
    <mergeCell ref="P21:P22"/>
    <mergeCell ref="Q21:Q22"/>
    <mergeCell ref="R21:R22"/>
    <mergeCell ref="T21:T22"/>
    <mergeCell ref="U21:U22"/>
    <mergeCell ref="V21:W22"/>
    <mergeCell ref="X21:X22"/>
    <mergeCell ref="Y21:Y22"/>
    <mergeCell ref="Z21:Z22"/>
    <mergeCell ref="AA21:AA22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G20:J20"/>
    <mergeCell ref="AF23:AF24"/>
    <mergeCell ref="AG23:AG24"/>
    <mergeCell ref="B24:C24"/>
    <mergeCell ref="V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D21:AD22"/>
    <mergeCell ref="AE21:AE22"/>
    <mergeCell ref="AF21:AF22"/>
    <mergeCell ref="AG21:AG22"/>
    <mergeCell ref="B23:C23"/>
    <mergeCell ref="D23:D24"/>
    <mergeCell ref="E23:E24"/>
    <mergeCell ref="F23:F24"/>
    <mergeCell ref="G23:G24"/>
    <mergeCell ref="H23:H24"/>
    <mergeCell ref="I23:I24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selection activeCell="H21" sqref="H21"/>
    </sheetView>
  </sheetViews>
  <sheetFormatPr defaultRowHeight="12.75"/>
  <cols>
    <col min="1" max="1" width="13.6640625" customWidth="1"/>
    <col min="20" max="20" width="8" customWidth="1"/>
    <col min="27" max="28" width="5.1640625" customWidth="1"/>
    <col min="36" max="36" width="5.6640625" customWidth="1"/>
  </cols>
  <sheetData>
    <row r="1" spans="1:36" ht="9" customHeight="1">
      <c r="A1" s="8" t="s">
        <v>32</v>
      </c>
      <c r="B1" s="5"/>
      <c r="C1" s="5"/>
      <c r="D1" s="5"/>
      <c r="E1" s="5"/>
      <c r="F1" s="5"/>
      <c r="G1" s="5" t="s">
        <v>35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02">
      <c r="A2" s="5"/>
      <c r="B2" s="5"/>
      <c r="C2" s="5" t="s">
        <v>34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41</v>
      </c>
      <c r="Z2" s="5"/>
      <c r="AA2" s="5"/>
      <c r="AB2" s="5"/>
      <c r="AC2" s="5"/>
      <c r="AD2" s="5"/>
      <c r="AE2" s="5" t="s">
        <v>42</v>
      </c>
      <c r="AF2" s="5"/>
      <c r="AG2" s="5"/>
      <c r="AH2" s="5"/>
      <c r="AI2" s="5"/>
      <c r="AJ2" s="5"/>
    </row>
    <row r="3" spans="1:36" ht="25.5">
      <c r="A3" s="7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4" t="s">
        <v>38</v>
      </c>
      <c r="AE3" s="75"/>
      <c r="AF3" s="5"/>
      <c r="AG3" s="73"/>
      <c r="AH3" s="73"/>
      <c r="AI3" s="73"/>
      <c r="AJ3" s="73"/>
    </row>
    <row r="4" spans="1:3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">
        <v>40</v>
      </c>
      <c r="U4" s="5"/>
      <c r="V4" s="5"/>
      <c r="W4" s="5"/>
      <c r="X4" s="5"/>
      <c r="Y4" s="5"/>
      <c r="Z4" s="5"/>
      <c r="AA4" s="5"/>
      <c r="AB4" s="78" t="s">
        <v>39</v>
      </c>
      <c r="AC4" s="5"/>
      <c r="AD4" s="76"/>
      <c r="AE4" s="77"/>
      <c r="AF4" s="5"/>
      <c r="AG4" s="5"/>
      <c r="AH4" s="5"/>
      <c r="AI4" s="5"/>
      <c r="AJ4" s="5" t="s">
        <v>37</v>
      </c>
    </row>
    <row r="5" spans="1:3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79"/>
      <c r="AC5" s="5"/>
      <c r="AD5" s="57"/>
      <c r="AE5" s="59"/>
      <c r="AF5" s="5"/>
      <c r="AG5" s="5"/>
      <c r="AH5" s="5"/>
      <c r="AI5" s="5"/>
      <c r="AJ5" s="5"/>
    </row>
    <row r="6" spans="1:36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78"/>
      <c r="AC6" s="5"/>
      <c r="AD6" s="5"/>
      <c r="AE6" s="5"/>
      <c r="AF6" s="5"/>
      <c r="AG6" s="5"/>
      <c r="AH6" s="5"/>
      <c r="AI6" s="5"/>
      <c r="AJ6" s="5"/>
    </row>
    <row r="7" spans="1:36">
      <c r="A7" s="13">
        <v>221100354678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79"/>
      <c r="AC7" s="5"/>
      <c r="AD7" s="5"/>
      <c r="AE7" s="5"/>
      <c r="AF7" s="5"/>
      <c r="AG7" s="5"/>
      <c r="AH7" s="5"/>
      <c r="AI7" s="5"/>
      <c r="AJ7" s="5"/>
    </row>
    <row r="8" spans="1:3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78"/>
      <c r="AC8" s="5"/>
      <c r="AD8" s="5"/>
      <c r="AE8" s="5"/>
      <c r="AF8" s="5"/>
      <c r="AG8" s="5"/>
      <c r="AH8" s="5"/>
      <c r="AI8" s="5"/>
      <c r="AJ8" s="5"/>
    </row>
    <row r="9" spans="1:3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79"/>
      <c r="AC9" s="5"/>
      <c r="AD9" s="5"/>
      <c r="AE9" s="5"/>
      <c r="AF9" s="5"/>
      <c r="AG9" s="5"/>
      <c r="AH9" s="5"/>
      <c r="AI9" s="5"/>
      <c r="AJ9" s="5"/>
    </row>
    <row r="10" spans="1:3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78"/>
      <c r="AC10" s="5"/>
      <c r="AD10" s="5"/>
      <c r="AE10" s="5"/>
      <c r="AF10" s="5"/>
      <c r="AG10" s="5"/>
      <c r="AH10" s="5"/>
      <c r="AI10" s="5"/>
      <c r="AJ10" s="5"/>
    </row>
    <row r="11" spans="1:3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79"/>
      <c r="AC11" s="5"/>
      <c r="AD11" s="5"/>
      <c r="AE11" s="5"/>
      <c r="AF11" s="5"/>
      <c r="AG11" s="5"/>
      <c r="AH11" s="5"/>
      <c r="AI11" s="5"/>
      <c r="AJ11" s="5"/>
    </row>
    <row r="12" spans="1:36">
      <c r="Q12">
        <f>SUM(Q6:Q11)</f>
        <v>0</v>
      </c>
      <c r="R12">
        <f t="shared" ref="R12:AF12" si="0">SUM(R6:R11)</f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</row>
  </sheetData>
  <mergeCells count="6">
    <mergeCell ref="AG3:AJ3"/>
    <mergeCell ref="AD3:AE5"/>
    <mergeCell ref="AB6:AB7"/>
    <mergeCell ref="AB8:AB9"/>
    <mergeCell ref="AB10:AB11"/>
    <mergeCell ref="AB4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selection activeCell="L24" sqref="L24"/>
    </sheetView>
  </sheetViews>
  <sheetFormatPr defaultRowHeight="12.75"/>
  <cols>
    <col min="1" max="1" width="13.6640625" customWidth="1"/>
    <col min="20" max="20" width="8" customWidth="1"/>
    <col min="27" max="28" width="5.1640625" customWidth="1"/>
    <col min="36" max="36" width="5.6640625" customWidth="1"/>
  </cols>
  <sheetData>
    <row r="1" spans="1:36" ht="14.25" customHeight="1">
      <c r="A1" s="4" t="s">
        <v>33</v>
      </c>
      <c r="B1" s="5"/>
      <c r="C1" s="5"/>
      <c r="D1" s="5"/>
      <c r="E1" s="5"/>
      <c r="F1" s="5"/>
      <c r="G1" s="5" t="s">
        <v>35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02">
      <c r="A2" s="5"/>
      <c r="B2" s="5"/>
      <c r="C2" s="5" t="s">
        <v>34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41</v>
      </c>
      <c r="Z2" s="5"/>
      <c r="AA2" s="5"/>
      <c r="AB2" s="5"/>
      <c r="AC2" s="5"/>
      <c r="AD2" s="5"/>
      <c r="AE2" s="5" t="s">
        <v>42</v>
      </c>
      <c r="AF2" s="5"/>
      <c r="AG2" s="5"/>
      <c r="AH2" s="5"/>
      <c r="AI2" s="5"/>
      <c r="AJ2" s="5"/>
    </row>
    <row r="3" spans="1:36" ht="25.5">
      <c r="A3" s="7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4" t="s">
        <v>38</v>
      </c>
      <c r="AE3" s="75"/>
      <c r="AF3" s="5"/>
      <c r="AG3" s="73"/>
      <c r="AH3" s="73"/>
      <c r="AI3" s="73"/>
      <c r="AJ3" s="73"/>
    </row>
    <row r="4" spans="1:3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">
        <v>40</v>
      </c>
      <c r="U4" s="5"/>
      <c r="V4" s="5"/>
      <c r="W4" s="5"/>
      <c r="X4" s="5"/>
      <c r="Y4" s="5"/>
      <c r="Z4" s="5"/>
      <c r="AA4" s="5"/>
      <c r="AB4" s="78" t="s">
        <v>39</v>
      </c>
      <c r="AC4" s="5"/>
      <c r="AD4" s="76"/>
      <c r="AE4" s="77"/>
      <c r="AF4" s="5"/>
      <c r="AG4" s="5"/>
      <c r="AH4" s="5"/>
      <c r="AI4" s="5"/>
      <c r="AJ4" s="5" t="s">
        <v>37</v>
      </c>
    </row>
    <row r="5" spans="1:3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79"/>
      <c r="AC5" s="5"/>
      <c r="AD5" s="57"/>
      <c r="AE5" s="59"/>
      <c r="AF5" s="5"/>
      <c r="AG5" s="5"/>
      <c r="AH5" s="5"/>
      <c r="AI5" s="5"/>
      <c r="AJ5" s="5"/>
    </row>
    <row r="6" spans="1:36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78"/>
      <c r="AC6" s="5"/>
      <c r="AD6" s="5"/>
      <c r="AE6" s="5"/>
      <c r="AF6" s="5"/>
      <c r="AG6" s="5"/>
      <c r="AH6" s="5"/>
      <c r="AI6" s="5"/>
      <c r="AJ6" s="5"/>
    </row>
    <row r="7" spans="1:36">
      <c r="A7" s="13">
        <v>221100354678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79"/>
      <c r="AC7" s="5"/>
      <c r="AD7" s="5"/>
      <c r="AE7" s="5"/>
      <c r="AF7" s="5"/>
      <c r="AG7" s="5"/>
      <c r="AH7" s="5"/>
      <c r="AI7" s="5"/>
      <c r="AJ7" s="5"/>
    </row>
    <row r="8" spans="1:3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78"/>
      <c r="AC8" s="5"/>
      <c r="AD8" s="5"/>
      <c r="AE8" s="5"/>
      <c r="AF8" s="5"/>
      <c r="AG8" s="5"/>
      <c r="AH8" s="5"/>
      <c r="AI8" s="5"/>
      <c r="AJ8" s="5"/>
    </row>
    <row r="9" spans="1:3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79"/>
      <c r="AC9" s="5"/>
      <c r="AD9" s="5"/>
      <c r="AE9" s="5"/>
      <c r="AF9" s="5"/>
      <c r="AG9" s="5"/>
      <c r="AH9" s="5"/>
      <c r="AI9" s="5"/>
      <c r="AJ9" s="5"/>
    </row>
    <row r="10" spans="1:3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78"/>
      <c r="AC10" s="5"/>
      <c r="AD10" s="5"/>
      <c r="AE10" s="5"/>
      <c r="AF10" s="5"/>
      <c r="AG10" s="5"/>
      <c r="AH10" s="5"/>
      <c r="AI10" s="5"/>
      <c r="AJ10" s="5"/>
    </row>
    <row r="11" spans="1:3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79"/>
      <c r="AC11" s="5"/>
      <c r="AD11" s="5"/>
      <c r="AE11" s="5"/>
      <c r="AF11" s="5"/>
      <c r="AG11" s="5"/>
      <c r="AH11" s="5"/>
      <c r="AI11" s="5"/>
      <c r="AJ11" s="5"/>
    </row>
    <row r="12" spans="1:36">
      <c r="Q12">
        <f>SUM(Q6:Q11)</f>
        <v>0</v>
      </c>
      <c r="R12">
        <f t="shared" ref="R12:AF12" si="0">SUM(R6:R11)</f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</row>
  </sheetData>
  <mergeCells count="6">
    <mergeCell ref="AG3:AJ3"/>
    <mergeCell ref="AD3:AE5"/>
    <mergeCell ref="AB6:AB7"/>
    <mergeCell ref="AB8:AB9"/>
    <mergeCell ref="AB10:AB11"/>
    <mergeCell ref="AB4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MAXWELL EMPLOYEE PAY SHEET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Seagate Crystal Reports ActiveX</dc:title>
  <dc:creator>SANDEEP</dc:creator>
  <cp:lastModifiedBy>Sandeep</cp:lastModifiedBy>
  <dcterms:created xsi:type="dcterms:W3CDTF">2024-08-09T08:50:44Z</dcterms:created>
  <dcterms:modified xsi:type="dcterms:W3CDTF">2024-08-09T10:49:59Z</dcterms:modified>
</cp:coreProperties>
</file>